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7204D14E-C614-4381-94AC-9EB2C044F274}" xr6:coauthVersionLast="47" xr6:coauthVersionMax="47" xr10:uidLastSave="{00000000-0000-0000-0000-000000000000}"/>
  <bookViews>
    <workbookView xWindow="-110" yWindow="-110" windowWidth="19420" windowHeight="10300" activeTab="1" xr2:uid="{00000000-000D-0000-FFFF-FFFF00000000}"/>
  </bookViews>
  <sheets>
    <sheet name="ANALYSIS" sheetId="8" r:id="rId1"/>
    <sheet name="DASHBOARD" sheetId="16" r:id="rId2"/>
    <sheet name="EV_INDUSTRY_DATA" sheetId="1" r:id="rId3"/>
  </sheets>
  <definedNames>
    <definedName name="_xlnm._FilterDatabase" localSheetId="2" hidden="1">EV_INDUSTRY_DATA!$A$1:$N$2005</definedName>
    <definedName name="Slicer_brand">#N/A</definedName>
    <definedName name="Slicer_year">#N/A</definedName>
    <definedName name="Slicer_year1">#N/A</definedName>
  </definedNames>
  <calcPr calcId="191029"/>
  <pivotCaches>
    <pivotCache cacheId="0" r:id="rId4"/>
    <pivotCache cacheId="1" r:id="rId5"/>
    <pivotCache cacheId="2" r:id="rId6"/>
    <pivotCache cacheId="3" r:id="rId7"/>
    <pivotCache cacheId="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U30" i="16" l="1"/>
  <c r="BU45" i="16"/>
  <c r="BU40" i="16"/>
  <c r="BU38" i="16"/>
  <c r="BU35" i="16"/>
  <c r="N2006"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C2004" i="1"/>
  <c r="F2003" i="1"/>
  <c r="F2002" i="1"/>
  <c r="H2003" i="1"/>
  <c r="H2002" i="1"/>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2" i="1"/>
</calcChain>
</file>

<file path=xl/sharedStrings.xml><?xml version="1.0" encoding="utf-8"?>
<sst xmlns="http://schemas.openxmlformats.org/spreadsheetml/2006/main" count="10186" uniqueCount="140">
  <si>
    <t>brand</t>
  </si>
  <si>
    <t>model</t>
  </si>
  <si>
    <t>year</t>
  </si>
  <si>
    <t>variant</t>
  </si>
  <si>
    <t>price_usd</t>
  </si>
  <si>
    <t>battery_capacity_kwh</t>
  </si>
  <si>
    <t>range_miles</t>
  </si>
  <si>
    <t>top_speed_mph</t>
  </si>
  <si>
    <t>body_type</t>
  </si>
  <si>
    <t>safety_rating</t>
  </si>
  <si>
    <t>market_segment</t>
  </si>
  <si>
    <t>annual_sales_units</t>
  </si>
  <si>
    <t>customer_rating</t>
  </si>
  <si>
    <t>Volkswagen</t>
  </si>
  <si>
    <t>ID. Buzz</t>
  </si>
  <si>
    <t>Performance</t>
  </si>
  <si>
    <t>Truck</t>
  </si>
  <si>
    <t>Luxury</t>
  </si>
  <si>
    <t>Toyota</t>
  </si>
  <si>
    <t>bZ Compact SUV</t>
  </si>
  <si>
    <t>Premium</t>
  </si>
  <si>
    <t>SUV</t>
  </si>
  <si>
    <t>Mid-range</t>
  </si>
  <si>
    <t>GM/Chevrolet</t>
  </si>
  <si>
    <t>Bolt EV</t>
  </si>
  <si>
    <t>Van</t>
  </si>
  <si>
    <t>Kia</t>
  </si>
  <si>
    <t>Sportage EV</t>
  </si>
  <si>
    <t>Long Range</t>
  </si>
  <si>
    <t>Tesla</t>
  </si>
  <si>
    <t>Model 3</t>
  </si>
  <si>
    <t>Model Y</t>
  </si>
  <si>
    <t>Hatchback</t>
  </si>
  <si>
    <t>Coupe</t>
  </si>
  <si>
    <t>Mercedes</t>
  </si>
  <si>
    <t>EQS</t>
  </si>
  <si>
    <t>Niro EV</t>
  </si>
  <si>
    <t>Blazer EV</t>
  </si>
  <si>
    <t>Base</t>
  </si>
  <si>
    <t>Model S</t>
  </si>
  <si>
    <t>Sedan</t>
  </si>
  <si>
    <t>Fisker</t>
  </si>
  <si>
    <t>Ronin</t>
  </si>
  <si>
    <t>Standard</t>
  </si>
  <si>
    <t>EQG</t>
  </si>
  <si>
    <t>BYD</t>
  </si>
  <si>
    <t>Seagull</t>
  </si>
  <si>
    <t>Budget</t>
  </si>
  <si>
    <t>Atto 3</t>
  </si>
  <si>
    <t>Hyundai</t>
  </si>
  <si>
    <t>Kona Electric</t>
  </si>
  <si>
    <t>ID.4</t>
  </si>
  <si>
    <t>Picanto EV</t>
  </si>
  <si>
    <t>Cybertruck</t>
  </si>
  <si>
    <t>Yuan Plus</t>
  </si>
  <si>
    <t>ID.5</t>
  </si>
  <si>
    <t>ID. Aero</t>
  </si>
  <si>
    <t>Ford</t>
  </si>
  <si>
    <t>Mustang Mach-E</t>
  </si>
  <si>
    <t>Model X</t>
  </si>
  <si>
    <t>Ioniq 6</t>
  </si>
  <si>
    <t>EV9</t>
  </si>
  <si>
    <t>E-Transit</t>
  </si>
  <si>
    <t>Leaf 50X</t>
  </si>
  <si>
    <t>BMW</t>
  </si>
  <si>
    <t>i7</t>
  </si>
  <si>
    <t>ID.3</t>
  </si>
  <si>
    <t>Audi</t>
  </si>
  <si>
    <t>e-tron GT</t>
  </si>
  <si>
    <t>Max</t>
  </si>
  <si>
    <t>i3</t>
  </si>
  <si>
    <t>Ioniq</t>
  </si>
  <si>
    <t>F-150 Lightning</t>
  </si>
  <si>
    <t>NIO</t>
  </si>
  <si>
    <t>ET6</t>
  </si>
  <si>
    <t>Rivian</t>
  </si>
  <si>
    <t>R3</t>
  </si>
  <si>
    <t>Dolphin</t>
  </si>
  <si>
    <t>EQC</t>
  </si>
  <si>
    <t>Explorer EV</t>
  </si>
  <si>
    <t>Porsche</t>
  </si>
  <si>
    <t>Macan Electric</t>
  </si>
  <si>
    <t>Bolt EUV</t>
  </si>
  <si>
    <t>Equinox EV</t>
  </si>
  <si>
    <t>GLE EV</t>
  </si>
  <si>
    <t>iX</t>
  </si>
  <si>
    <t>Q6 e-tron</t>
  </si>
  <si>
    <t>Ioniq 5</t>
  </si>
  <si>
    <t>Qin</t>
  </si>
  <si>
    <t>e-tron</t>
  </si>
  <si>
    <t>i30</t>
  </si>
  <si>
    <t>EL8</t>
  </si>
  <si>
    <t>Ocean</t>
  </si>
  <si>
    <t>bZ4X</t>
  </si>
  <si>
    <t>Taycan</t>
  </si>
  <si>
    <t>i5</t>
  </si>
  <si>
    <t>EV6</t>
  </si>
  <si>
    <t>i4</t>
  </si>
  <si>
    <t>Q4 e-tron</t>
  </si>
  <si>
    <t>Silverado EV</t>
  </si>
  <si>
    <t>EL6</t>
  </si>
  <si>
    <t>R2</t>
  </si>
  <si>
    <t>Volvo</t>
  </si>
  <si>
    <t>XC90 Recharge</t>
  </si>
  <si>
    <t>Lucid</t>
  </si>
  <si>
    <t>Air</t>
  </si>
  <si>
    <t>EQE</t>
  </si>
  <si>
    <t>EC6</t>
  </si>
  <si>
    <t>R1S</t>
  </si>
  <si>
    <t>Honda</t>
  </si>
  <si>
    <t>e:Ny1</t>
  </si>
  <si>
    <t>Xiaomi</t>
  </si>
  <si>
    <t>SU7</t>
  </si>
  <si>
    <t>R1T</t>
  </si>
  <si>
    <t>Polestar</t>
  </si>
  <si>
    <t>C40 Recharge</t>
  </si>
  <si>
    <t>ET5</t>
  </si>
  <si>
    <t>XC40 Recharge</t>
  </si>
  <si>
    <t>e</t>
  </si>
  <si>
    <t>Gravity</t>
  </si>
  <si>
    <t>Grand Total</t>
  </si>
  <si>
    <t>Row Labels</t>
  </si>
  <si>
    <t>Average of battery_capacity_kwh</t>
  </si>
  <si>
    <t>Sum of annual_sales_units</t>
  </si>
  <si>
    <t>Average of customer_rating</t>
  </si>
  <si>
    <t xml:space="preserve">total sales </t>
  </si>
  <si>
    <t>(blank)</t>
  </si>
  <si>
    <t>Average of top_speed_mph</t>
  </si>
  <si>
    <t>Base = affordable entry-level EV variant</t>
  </si>
  <si>
    <t>Standard = regular balanced EV configuration</t>
  </si>
  <si>
    <t>Long Range = EV variant optimized for maximum battery range</t>
  </si>
  <si>
    <t>Performance = high-performance EV variant with enhanced speed and power</t>
  </si>
  <si>
    <t>Premium = feature-rich high-end EV variant</t>
  </si>
  <si>
    <t>Average of safety_rating</t>
  </si>
  <si>
    <t>Polestar 2</t>
  </si>
  <si>
    <t>Polestar 4</t>
  </si>
  <si>
    <t>Polestar 3</t>
  </si>
  <si>
    <t xml:space="preserve"> Polestar2</t>
  </si>
  <si>
    <t>Count of variant</t>
  </si>
  <si>
    <t xml:space="preserve">market segment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</si>
</sst>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6" formatCode="0.0,,,&quot;B&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4" tint="0.39997558519241921"/>
      </right>
      <top style="double">
        <color theme="4"/>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0" borderId="0" xfId="0" applyAlignment="1">
      <alignment horizontal="left" indent="1"/>
    </xf>
    <xf numFmtId="43" fontId="0" fillId="0" borderId="0" xfId="42" applyFont="1"/>
    <xf numFmtId="0" fontId="0" fillId="33" borderId="0" xfId="0" applyFill="1"/>
    <xf numFmtId="0" fontId="19" fillId="0" borderId="0" xfId="0" applyFont="1"/>
    <xf numFmtId="43" fontId="16" fillId="0" borderId="10" xfId="0" applyNumberFormat="1" applyFont="1" applyBorder="1"/>
    <xf numFmtId="2" fontId="0" fillId="33" borderId="0" xfId="0" applyNumberFormat="1" applyFill="1"/>
    <xf numFmtId="166" fontId="0" fillId="33"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b val="0"/>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080487279515591"/>
          <c:y val="0.28203941130395349"/>
          <c:w val="0.37425675513965012"/>
          <c:h val="0.64466215937667481"/>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A8-4D89-816F-85BEDAB4B3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A8-4D89-816F-85BEDAB4B3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A8-4D89-816F-85BEDAB4B3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A8-4D89-816F-85BEDAB4B3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Budget</c:v>
              </c:pt>
              <c:pt idx="1">
                <c:v>Luxury</c:v>
              </c:pt>
              <c:pt idx="2">
                <c:v>Mid-range</c:v>
              </c:pt>
              <c:pt idx="3">
                <c:v>Premium</c:v>
              </c:pt>
            </c:strLit>
          </c:cat>
          <c:val>
            <c:numLit>
              <c:formatCode>General</c:formatCode>
              <c:ptCount val="4"/>
              <c:pt idx="0">
                <c:v>23353407</c:v>
              </c:pt>
              <c:pt idx="1">
                <c:v>65966088</c:v>
              </c:pt>
              <c:pt idx="2">
                <c:v>83479890</c:v>
              </c:pt>
              <c:pt idx="3">
                <c:v>86507799</c:v>
              </c:pt>
            </c:numLit>
          </c:val>
          <c:extLst>
            <c:ext xmlns:c16="http://schemas.microsoft.com/office/drawing/2014/chart" uri="{C3380CC4-5D6E-409C-BE32-E72D297353CC}">
              <c16:uniqueId val="{00000000-2142-4659-9F38-D7040142A6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[ev_market_2026.xlsx]ANALYSIS!PivotTable11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c:f>
              <c:strCache>
                <c:ptCount val="1"/>
                <c:pt idx="0">
                  <c:v>Total</c:v>
                </c:pt>
              </c:strCache>
            </c:strRef>
          </c:tx>
          <c:spPr>
            <a:solidFill>
              <a:schemeClr val="accent1"/>
            </a:solidFill>
            <a:ln>
              <a:noFill/>
            </a:ln>
            <a:effectLst/>
          </c:spPr>
          <c:invertIfNegative val="0"/>
          <c:cat>
            <c:strRef>
              <c:f>ANALYSIS!$A$5:$A$9</c:f>
              <c:strCache>
                <c:ptCount val="4"/>
                <c:pt idx="0">
                  <c:v>Budget</c:v>
                </c:pt>
                <c:pt idx="1">
                  <c:v>Luxury</c:v>
                </c:pt>
                <c:pt idx="2">
                  <c:v>Mid-range</c:v>
                </c:pt>
                <c:pt idx="3">
                  <c:v>Premium</c:v>
                </c:pt>
              </c:strCache>
            </c:strRef>
          </c:cat>
          <c:val>
            <c:numRef>
              <c:f>ANALYSIS!$B$5:$B$9</c:f>
              <c:numCache>
                <c:formatCode>0.00</c:formatCode>
                <c:ptCount val="4"/>
                <c:pt idx="0">
                  <c:v>4.3311258278145699</c:v>
                </c:pt>
                <c:pt idx="1">
                  <c:v>4.4101010101010099</c:v>
                </c:pt>
                <c:pt idx="2">
                  <c:v>4.3722741433021808</c:v>
                </c:pt>
                <c:pt idx="3">
                  <c:v>4.367977528089888</c:v>
                </c:pt>
              </c:numCache>
            </c:numRef>
          </c:val>
          <c:extLst>
            <c:ext xmlns:c16="http://schemas.microsoft.com/office/drawing/2014/chart" uri="{C3380CC4-5D6E-409C-BE32-E72D297353CC}">
              <c16:uniqueId val="{00000000-7925-4609-9152-834255178ABC}"/>
            </c:ext>
          </c:extLst>
        </c:ser>
        <c:dLbls>
          <c:showLegendKey val="0"/>
          <c:showVal val="0"/>
          <c:showCatName val="0"/>
          <c:showSerName val="0"/>
          <c:showPercent val="0"/>
          <c:showBubbleSize val="0"/>
        </c:dLbls>
        <c:gapWidth val="219"/>
        <c:overlap val="-27"/>
        <c:axId val="299872176"/>
        <c:axId val="299871760"/>
      </c:barChart>
      <c:catAx>
        <c:axId val="29987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71760"/>
        <c:crosses val="autoZero"/>
        <c:auto val="1"/>
        <c:lblAlgn val="ctr"/>
        <c:lblOffset val="100"/>
        <c:noMultiLvlLbl val="0"/>
      </c:catAx>
      <c:valAx>
        <c:axId val="2998717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7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[ev_market_2026.xlsx]ANALYSIS!PivotTable14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ANALYSIS!$J$40</c:f>
              <c:strCache>
                <c:ptCount val="1"/>
                <c:pt idx="0">
                  <c:v>Total</c:v>
                </c:pt>
              </c:strCache>
            </c:strRef>
          </c:tx>
          <c:spPr>
            <a:solidFill>
              <a:schemeClr val="accent1"/>
            </a:solidFill>
            <a:ln>
              <a:noFill/>
            </a:ln>
            <a:effectLst/>
            <a:sp3d/>
          </c:spPr>
          <c:invertIfNegative val="0"/>
          <c:cat>
            <c:strRef>
              <c:f>ANALYSIS!$I$41:$I$46</c:f>
              <c:strCache>
                <c:ptCount val="5"/>
                <c:pt idx="0">
                  <c:v>Honda</c:v>
                </c:pt>
                <c:pt idx="1">
                  <c:v>Mercedes</c:v>
                </c:pt>
                <c:pt idx="2">
                  <c:v>Porsche</c:v>
                </c:pt>
                <c:pt idx="3">
                  <c:v>Rivian</c:v>
                </c:pt>
                <c:pt idx="4">
                  <c:v>Toyota</c:v>
                </c:pt>
              </c:strCache>
            </c:strRef>
          </c:cat>
          <c:val>
            <c:numRef>
              <c:f>ANALYSIS!$J$41:$J$46</c:f>
              <c:numCache>
                <c:formatCode>0.00</c:formatCode>
                <c:ptCount val="5"/>
                <c:pt idx="0">
                  <c:v>92.85</c:v>
                </c:pt>
                <c:pt idx="1">
                  <c:v>77.683333333333337</c:v>
                </c:pt>
                <c:pt idx="2">
                  <c:v>77.614285714285714</c:v>
                </c:pt>
                <c:pt idx="3">
                  <c:v>76.418918918918934</c:v>
                </c:pt>
                <c:pt idx="4">
                  <c:v>77.168292682926833</c:v>
                </c:pt>
              </c:numCache>
            </c:numRef>
          </c:val>
          <c:extLst>
            <c:ext xmlns:c16="http://schemas.microsoft.com/office/drawing/2014/chart" uri="{C3380CC4-5D6E-409C-BE32-E72D297353CC}">
              <c16:uniqueId val="{00000000-FA5A-4B9E-9664-4539832E4CD7}"/>
            </c:ext>
          </c:extLst>
        </c:ser>
        <c:dLbls>
          <c:showLegendKey val="0"/>
          <c:showVal val="0"/>
          <c:showCatName val="0"/>
          <c:showSerName val="0"/>
          <c:showPercent val="0"/>
          <c:showBubbleSize val="0"/>
        </c:dLbls>
        <c:gapWidth val="150"/>
        <c:shape val="box"/>
        <c:axId val="1503192112"/>
        <c:axId val="1503202512"/>
        <c:axId val="0"/>
      </c:bar3DChart>
      <c:catAx>
        <c:axId val="1503192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02512"/>
        <c:crosses val="autoZero"/>
        <c:auto val="1"/>
        <c:lblAlgn val="ctr"/>
        <c:lblOffset val="100"/>
        <c:noMultiLvlLbl val="0"/>
      </c:catAx>
      <c:valAx>
        <c:axId val="1503202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19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[ev_market_2026.xlsx]ANALYSIS!PivotTable15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ANALYSIS!$R$4</c:f>
              <c:strCache>
                <c:ptCount val="1"/>
                <c:pt idx="0">
                  <c:v>Total</c:v>
                </c:pt>
              </c:strCache>
            </c:strRef>
          </c:tx>
          <c:spPr>
            <a:solidFill>
              <a:schemeClr val="accent1"/>
            </a:solidFill>
            <a:ln>
              <a:noFill/>
            </a:ln>
            <a:effectLst/>
          </c:spPr>
          <c:invertIfNegative val="0"/>
          <c:cat>
            <c:multiLvlStrRef>
              <c:f>ANALYSIS!$Q$5:$Q$120</c:f>
              <c:multiLvlStrCache>
                <c:ptCount val="95"/>
                <c:lvl>
                  <c:pt idx="0">
                    <c:v>Base</c:v>
                  </c:pt>
                  <c:pt idx="1">
                    <c:v>Long Range</c:v>
                  </c:pt>
                  <c:pt idx="2">
                    <c:v>Performance</c:v>
                  </c:pt>
                  <c:pt idx="3">
                    <c:v>Premium</c:v>
                  </c:pt>
                  <c:pt idx="4">
                    <c:v>Standard</c:v>
                  </c:pt>
                  <c:pt idx="5">
                    <c:v>Base</c:v>
                  </c:pt>
                  <c:pt idx="6">
                    <c:v>Long Range</c:v>
                  </c:pt>
                  <c:pt idx="7">
                    <c:v>Performance</c:v>
                  </c:pt>
                  <c:pt idx="8">
                    <c:v>Premium</c:v>
                  </c:pt>
                  <c:pt idx="9">
                    <c:v>Standard</c:v>
                  </c:pt>
                  <c:pt idx="10">
                    <c:v>Base</c:v>
                  </c:pt>
                  <c:pt idx="11">
                    <c:v>Long Range</c:v>
                  </c:pt>
                  <c:pt idx="12">
                    <c:v>Performance</c:v>
                  </c:pt>
                  <c:pt idx="13">
                    <c:v>Premium</c:v>
                  </c:pt>
                  <c:pt idx="14">
                    <c:v>Standard</c:v>
                  </c:pt>
                  <c:pt idx="15">
                    <c:v>Base</c:v>
                  </c:pt>
                  <c:pt idx="16">
                    <c:v>Long Range</c:v>
                  </c:pt>
                  <c:pt idx="17">
                    <c:v>Performance</c:v>
                  </c:pt>
                  <c:pt idx="18">
                    <c:v>Premium</c:v>
                  </c:pt>
                  <c:pt idx="19">
                    <c:v>Standard</c:v>
                  </c:pt>
                  <c:pt idx="20">
                    <c:v>Base</c:v>
                  </c:pt>
                  <c:pt idx="21">
                    <c:v>Long Range</c:v>
                  </c:pt>
                  <c:pt idx="22">
                    <c:v>Performance</c:v>
                  </c:pt>
                  <c:pt idx="23">
                    <c:v>Premium</c:v>
                  </c:pt>
                  <c:pt idx="24">
                    <c:v>Standard</c:v>
                  </c:pt>
                  <c:pt idx="25">
                    <c:v>Base</c:v>
                  </c:pt>
                  <c:pt idx="26">
                    <c:v>Long Range</c:v>
                  </c:pt>
                  <c:pt idx="27">
                    <c:v>Performance</c:v>
                  </c:pt>
                  <c:pt idx="28">
                    <c:v>Premium</c:v>
                  </c:pt>
                  <c:pt idx="29">
                    <c:v>Standard</c:v>
                  </c:pt>
                  <c:pt idx="30">
                    <c:v>Performance</c:v>
                  </c:pt>
                  <c:pt idx="31">
                    <c:v>Premium</c:v>
                  </c:pt>
                  <c:pt idx="32">
                    <c:v>Base</c:v>
                  </c:pt>
                  <c:pt idx="33">
                    <c:v>Long Range</c:v>
                  </c:pt>
                  <c:pt idx="34">
                    <c:v>Performance</c:v>
                  </c:pt>
                  <c:pt idx="35">
                    <c:v>Premium</c:v>
                  </c:pt>
                  <c:pt idx="36">
                    <c:v>Standard</c:v>
                  </c:pt>
                  <c:pt idx="37">
                    <c:v>Base</c:v>
                  </c:pt>
                  <c:pt idx="38">
                    <c:v>Long Range</c:v>
                  </c:pt>
                  <c:pt idx="39">
                    <c:v>Performance</c:v>
                  </c:pt>
                  <c:pt idx="40">
                    <c:v>Premium</c:v>
                  </c:pt>
                  <c:pt idx="41">
                    <c:v>Standard</c:v>
                  </c:pt>
                  <c:pt idx="42">
                    <c:v>Base</c:v>
                  </c:pt>
                  <c:pt idx="43">
                    <c:v>Performance</c:v>
                  </c:pt>
                  <c:pt idx="44">
                    <c:v>Premium</c:v>
                  </c:pt>
                  <c:pt idx="45">
                    <c:v>Standard</c:v>
                  </c:pt>
                  <c:pt idx="46">
                    <c:v>Base</c:v>
                  </c:pt>
                  <c:pt idx="47">
                    <c:v>Long Range</c:v>
                  </c:pt>
                  <c:pt idx="48">
                    <c:v>Performance</c:v>
                  </c:pt>
                  <c:pt idx="49">
                    <c:v>Premium</c:v>
                  </c:pt>
                  <c:pt idx="50">
                    <c:v>Standard</c:v>
                  </c:pt>
                  <c:pt idx="51">
                    <c:v>Base</c:v>
                  </c:pt>
                  <c:pt idx="52">
                    <c:v>Long Range</c:v>
                  </c:pt>
                  <c:pt idx="53">
                    <c:v>Performance</c:v>
                  </c:pt>
                  <c:pt idx="54">
                    <c:v>Premium</c:v>
                  </c:pt>
                  <c:pt idx="55">
                    <c:v>Standard</c:v>
                  </c:pt>
                  <c:pt idx="56">
                    <c:v>Base</c:v>
                  </c:pt>
                  <c:pt idx="57">
                    <c:v>Long Range</c:v>
                  </c:pt>
                  <c:pt idx="58">
                    <c:v>Performance</c:v>
                  </c:pt>
                  <c:pt idx="59">
                    <c:v>Premium</c:v>
                  </c:pt>
                  <c:pt idx="60">
                    <c:v>Standard</c:v>
                  </c:pt>
                  <c:pt idx="61">
                    <c:v>Base</c:v>
                  </c:pt>
                  <c:pt idx="62">
                    <c:v>Long Range</c:v>
                  </c:pt>
                  <c:pt idx="63">
                    <c:v>Performance</c:v>
                  </c:pt>
                  <c:pt idx="64">
                    <c:v>Premium</c:v>
                  </c:pt>
                  <c:pt idx="65">
                    <c:v>Standard</c:v>
                  </c:pt>
                  <c:pt idx="66">
                    <c:v>Base</c:v>
                  </c:pt>
                  <c:pt idx="67">
                    <c:v>Long Range</c:v>
                  </c:pt>
                  <c:pt idx="68">
                    <c:v>Performance</c:v>
                  </c:pt>
                  <c:pt idx="69">
                    <c:v>Premium</c:v>
                  </c:pt>
                  <c:pt idx="70">
                    <c:v>Standard</c:v>
                  </c:pt>
                  <c:pt idx="71">
                    <c:v>Base</c:v>
                  </c:pt>
                  <c:pt idx="72">
                    <c:v>Long Range</c:v>
                  </c:pt>
                  <c:pt idx="73">
                    <c:v>Performance</c:v>
                  </c:pt>
                  <c:pt idx="74">
                    <c:v>Premium</c:v>
                  </c:pt>
                  <c:pt idx="75">
                    <c:v>Standard</c:v>
                  </c:pt>
                  <c:pt idx="76">
                    <c:v>Base</c:v>
                  </c:pt>
                  <c:pt idx="77">
                    <c:v>Long Range</c:v>
                  </c:pt>
                  <c:pt idx="78">
                    <c:v>Performance</c:v>
                  </c:pt>
                  <c:pt idx="79">
                    <c:v>Premium</c:v>
                  </c:pt>
                  <c:pt idx="80">
                    <c:v>Standard</c:v>
                  </c:pt>
                  <c:pt idx="81">
                    <c:v>Base</c:v>
                  </c:pt>
                  <c:pt idx="82">
                    <c:v>Long Range</c:v>
                  </c:pt>
                  <c:pt idx="83">
                    <c:v>Performance</c:v>
                  </c:pt>
                  <c:pt idx="84">
                    <c:v>Premium</c:v>
                  </c:pt>
                  <c:pt idx="85">
                    <c:v>Standard</c:v>
                  </c:pt>
                  <c:pt idx="86">
                    <c:v>Base</c:v>
                  </c:pt>
                  <c:pt idx="87">
                    <c:v>Long Range</c:v>
                  </c:pt>
                  <c:pt idx="88">
                    <c:v>Performance</c:v>
                  </c:pt>
                  <c:pt idx="89">
                    <c:v>Premium</c:v>
                  </c:pt>
                  <c:pt idx="90">
                    <c:v>Standard</c:v>
                  </c:pt>
                  <c:pt idx="91">
                    <c:v>Base</c:v>
                  </c:pt>
                  <c:pt idx="92">
                    <c:v>Long Range</c:v>
                  </c:pt>
                  <c:pt idx="93">
                    <c:v>Performance</c:v>
                  </c:pt>
                  <c:pt idx="94">
                    <c:v>Premium</c:v>
                  </c:pt>
                </c:lvl>
                <c:lvl>
                  <c:pt idx="0">
                    <c:v>Audi</c:v>
                  </c:pt>
                  <c:pt idx="5">
                    <c:v>BMW</c:v>
                  </c:pt>
                  <c:pt idx="10">
                    <c:v>BYD</c:v>
                  </c:pt>
                  <c:pt idx="15">
                    <c:v>Fisker</c:v>
                  </c:pt>
                  <c:pt idx="20">
                    <c:v>Ford</c:v>
                  </c:pt>
                  <c:pt idx="25">
                    <c:v>GM/Chevrolet</c:v>
                  </c:pt>
                  <c:pt idx="30">
                    <c:v>Honda</c:v>
                  </c:pt>
                  <c:pt idx="32">
                    <c:v>Hyundai</c:v>
                  </c:pt>
                  <c:pt idx="37">
                    <c:v>Kia</c:v>
                  </c:pt>
                  <c:pt idx="42">
                    <c:v>Lucid</c:v>
                  </c:pt>
                  <c:pt idx="46">
                    <c:v>Mercedes</c:v>
                  </c:pt>
                  <c:pt idx="51">
                    <c:v>NIO</c:v>
                  </c:pt>
                  <c:pt idx="56">
                    <c:v>Polestar</c:v>
                  </c:pt>
                  <c:pt idx="61">
                    <c:v>Porsche</c:v>
                  </c:pt>
                  <c:pt idx="66">
                    <c:v>Rivian</c:v>
                  </c:pt>
                  <c:pt idx="71">
                    <c:v>Tesla</c:v>
                  </c:pt>
                  <c:pt idx="76">
                    <c:v>Toyota</c:v>
                  </c:pt>
                  <c:pt idx="81">
                    <c:v>Volkswagen</c:v>
                  </c:pt>
                  <c:pt idx="86">
                    <c:v>Volvo</c:v>
                  </c:pt>
                  <c:pt idx="91">
                    <c:v>Xiaomi</c:v>
                  </c:pt>
                </c:lvl>
              </c:multiLvlStrCache>
            </c:multiLvlStrRef>
          </c:cat>
          <c:val>
            <c:numRef>
              <c:f>ANALYSIS!$R$5:$R$120</c:f>
              <c:numCache>
                <c:formatCode>General</c:formatCode>
                <c:ptCount val="95"/>
                <c:pt idx="0">
                  <c:v>28</c:v>
                </c:pt>
                <c:pt idx="1">
                  <c:v>13</c:v>
                </c:pt>
                <c:pt idx="2">
                  <c:v>7</c:v>
                </c:pt>
                <c:pt idx="3">
                  <c:v>11</c:v>
                </c:pt>
                <c:pt idx="4">
                  <c:v>18</c:v>
                </c:pt>
                <c:pt idx="5">
                  <c:v>28</c:v>
                </c:pt>
                <c:pt idx="6">
                  <c:v>27</c:v>
                </c:pt>
                <c:pt idx="7">
                  <c:v>30</c:v>
                </c:pt>
                <c:pt idx="8">
                  <c:v>31</c:v>
                </c:pt>
                <c:pt idx="9">
                  <c:v>34</c:v>
                </c:pt>
                <c:pt idx="10">
                  <c:v>64</c:v>
                </c:pt>
                <c:pt idx="11">
                  <c:v>64</c:v>
                </c:pt>
                <c:pt idx="12">
                  <c:v>47</c:v>
                </c:pt>
                <c:pt idx="13">
                  <c:v>48</c:v>
                </c:pt>
                <c:pt idx="14">
                  <c:v>59</c:v>
                </c:pt>
                <c:pt idx="15">
                  <c:v>6</c:v>
                </c:pt>
                <c:pt idx="16">
                  <c:v>5</c:v>
                </c:pt>
                <c:pt idx="17">
                  <c:v>3</c:v>
                </c:pt>
                <c:pt idx="18">
                  <c:v>7</c:v>
                </c:pt>
                <c:pt idx="19">
                  <c:v>4</c:v>
                </c:pt>
                <c:pt idx="20">
                  <c:v>28</c:v>
                </c:pt>
                <c:pt idx="21">
                  <c:v>24</c:v>
                </c:pt>
                <c:pt idx="22">
                  <c:v>23</c:v>
                </c:pt>
                <c:pt idx="23">
                  <c:v>23</c:v>
                </c:pt>
                <c:pt idx="24">
                  <c:v>31</c:v>
                </c:pt>
                <c:pt idx="25">
                  <c:v>27</c:v>
                </c:pt>
                <c:pt idx="26">
                  <c:v>30</c:v>
                </c:pt>
                <c:pt idx="27">
                  <c:v>30</c:v>
                </c:pt>
                <c:pt idx="28">
                  <c:v>26</c:v>
                </c:pt>
                <c:pt idx="29">
                  <c:v>30</c:v>
                </c:pt>
                <c:pt idx="30">
                  <c:v>1</c:v>
                </c:pt>
                <c:pt idx="31">
                  <c:v>1</c:v>
                </c:pt>
                <c:pt idx="32">
                  <c:v>21</c:v>
                </c:pt>
                <c:pt idx="33">
                  <c:v>30</c:v>
                </c:pt>
                <c:pt idx="34">
                  <c:v>31</c:v>
                </c:pt>
                <c:pt idx="35">
                  <c:v>29</c:v>
                </c:pt>
                <c:pt idx="36">
                  <c:v>41</c:v>
                </c:pt>
                <c:pt idx="37">
                  <c:v>35</c:v>
                </c:pt>
                <c:pt idx="38">
                  <c:v>33</c:v>
                </c:pt>
                <c:pt idx="39">
                  <c:v>35</c:v>
                </c:pt>
                <c:pt idx="40">
                  <c:v>36</c:v>
                </c:pt>
                <c:pt idx="41">
                  <c:v>27</c:v>
                </c:pt>
                <c:pt idx="42">
                  <c:v>1</c:v>
                </c:pt>
                <c:pt idx="43">
                  <c:v>2</c:v>
                </c:pt>
                <c:pt idx="44">
                  <c:v>2</c:v>
                </c:pt>
                <c:pt idx="45">
                  <c:v>1</c:v>
                </c:pt>
                <c:pt idx="46">
                  <c:v>16</c:v>
                </c:pt>
                <c:pt idx="47">
                  <c:v>26</c:v>
                </c:pt>
                <c:pt idx="48">
                  <c:v>19</c:v>
                </c:pt>
                <c:pt idx="49">
                  <c:v>23</c:v>
                </c:pt>
                <c:pt idx="50">
                  <c:v>12</c:v>
                </c:pt>
                <c:pt idx="51">
                  <c:v>3</c:v>
                </c:pt>
                <c:pt idx="52">
                  <c:v>5</c:v>
                </c:pt>
                <c:pt idx="53">
                  <c:v>2</c:v>
                </c:pt>
                <c:pt idx="54">
                  <c:v>6</c:v>
                </c:pt>
                <c:pt idx="55">
                  <c:v>7</c:v>
                </c:pt>
                <c:pt idx="56">
                  <c:v>2</c:v>
                </c:pt>
                <c:pt idx="57">
                  <c:v>1</c:v>
                </c:pt>
                <c:pt idx="58">
                  <c:v>2</c:v>
                </c:pt>
                <c:pt idx="59">
                  <c:v>1</c:v>
                </c:pt>
                <c:pt idx="60">
                  <c:v>3</c:v>
                </c:pt>
                <c:pt idx="61">
                  <c:v>1</c:v>
                </c:pt>
                <c:pt idx="62">
                  <c:v>4</c:v>
                </c:pt>
                <c:pt idx="63">
                  <c:v>1</c:v>
                </c:pt>
                <c:pt idx="64">
                  <c:v>4</c:v>
                </c:pt>
                <c:pt idx="65">
                  <c:v>4</c:v>
                </c:pt>
                <c:pt idx="66">
                  <c:v>10</c:v>
                </c:pt>
                <c:pt idx="67">
                  <c:v>6</c:v>
                </c:pt>
                <c:pt idx="68">
                  <c:v>8</c:v>
                </c:pt>
                <c:pt idx="69">
                  <c:v>3</c:v>
                </c:pt>
                <c:pt idx="70">
                  <c:v>10</c:v>
                </c:pt>
                <c:pt idx="71">
                  <c:v>103</c:v>
                </c:pt>
                <c:pt idx="72">
                  <c:v>79</c:v>
                </c:pt>
                <c:pt idx="73">
                  <c:v>79</c:v>
                </c:pt>
                <c:pt idx="74">
                  <c:v>99</c:v>
                </c:pt>
                <c:pt idx="75">
                  <c:v>74</c:v>
                </c:pt>
                <c:pt idx="76">
                  <c:v>9</c:v>
                </c:pt>
                <c:pt idx="77">
                  <c:v>12</c:v>
                </c:pt>
                <c:pt idx="78">
                  <c:v>6</c:v>
                </c:pt>
                <c:pt idx="79">
                  <c:v>5</c:v>
                </c:pt>
                <c:pt idx="80">
                  <c:v>9</c:v>
                </c:pt>
                <c:pt idx="81">
                  <c:v>33</c:v>
                </c:pt>
                <c:pt idx="82">
                  <c:v>44</c:v>
                </c:pt>
                <c:pt idx="83">
                  <c:v>46</c:v>
                </c:pt>
                <c:pt idx="84">
                  <c:v>34</c:v>
                </c:pt>
                <c:pt idx="85">
                  <c:v>37</c:v>
                </c:pt>
                <c:pt idx="86">
                  <c:v>3</c:v>
                </c:pt>
                <c:pt idx="87">
                  <c:v>2</c:v>
                </c:pt>
                <c:pt idx="88">
                  <c:v>4</c:v>
                </c:pt>
                <c:pt idx="89">
                  <c:v>1</c:v>
                </c:pt>
                <c:pt idx="90">
                  <c:v>2</c:v>
                </c:pt>
                <c:pt idx="91">
                  <c:v>2</c:v>
                </c:pt>
                <c:pt idx="92">
                  <c:v>2</c:v>
                </c:pt>
                <c:pt idx="93">
                  <c:v>2</c:v>
                </c:pt>
                <c:pt idx="94">
                  <c:v>2</c:v>
                </c:pt>
              </c:numCache>
            </c:numRef>
          </c:val>
          <c:extLst>
            <c:ext xmlns:c16="http://schemas.microsoft.com/office/drawing/2014/chart" uri="{C3380CC4-5D6E-409C-BE32-E72D297353CC}">
              <c16:uniqueId val="{00000000-F115-4CBD-B963-3E4CCFD29FD1}"/>
            </c:ext>
          </c:extLst>
        </c:ser>
        <c:dLbls>
          <c:showLegendKey val="0"/>
          <c:showVal val="0"/>
          <c:showCatName val="0"/>
          <c:showSerName val="0"/>
          <c:showPercent val="0"/>
          <c:showBubbleSize val="0"/>
        </c:dLbls>
        <c:gapWidth val="219"/>
        <c:overlap val="-27"/>
        <c:axId val="639194496"/>
        <c:axId val="639188256"/>
      </c:barChart>
      <c:catAx>
        <c:axId val="63919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188256"/>
        <c:crosses val="autoZero"/>
        <c:auto val="1"/>
        <c:lblAlgn val="ctr"/>
        <c:lblOffset val="100"/>
        <c:noMultiLvlLbl val="0"/>
      </c:catAx>
      <c:valAx>
        <c:axId val="63918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19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4"/>
              <c:pt idx="0">
                <c:v>Budget</c:v>
              </c:pt>
              <c:pt idx="1">
                <c:v>Luxury</c:v>
              </c:pt>
              <c:pt idx="2">
                <c:v>Mid-range</c:v>
              </c:pt>
              <c:pt idx="3">
                <c:v>Premium</c:v>
              </c:pt>
            </c:strLit>
          </c:cat>
          <c:val>
            <c:numLit>
              <c:formatCode>General</c:formatCode>
              <c:ptCount val="4"/>
              <c:pt idx="0">
                <c:v>3.454966887417219</c:v>
              </c:pt>
              <c:pt idx="1">
                <c:v>3.6989494949494963</c:v>
              </c:pt>
              <c:pt idx="2">
                <c:v>3.5306074766355127</c:v>
              </c:pt>
              <c:pt idx="3">
                <c:v>3.5460112359550551</c:v>
              </c:pt>
            </c:numLit>
          </c:val>
          <c:extLst>
            <c:ext xmlns:c16="http://schemas.microsoft.com/office/drawing/2014/chart" uri="{C3380CC4-5D6E-409C-BE32-E72D297353CC}">
              <c16:uniqueId val="{00000000-F688-48E6-BE6E-6881B1BFA9BB}"/>
            </c:ext>
          </c:extLst>
        </c:ser>
        <c:dLbls>
          <c:showLegendKey val="0"/>
          <c:showVal val="0"/>
          <c:showCatName val="0"/>
          <c:showSerName val="0"/>
          <c:showPercent val="0"/>
          <c:showBubbleSize val="0"/>
        </c:dLbls>
        <c:gapWidth val="150"/>
        <c:shape val="box"/>
        <c:axId val="774724752"/>
        <c:axId val="774715600"/>
        <c:axId val="0"/>
      </c:bar3DChart>
      <c:catAx>
        <c:axId val="774724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715600"/>
        <c:crosses val="autoZero"/>
        <c:auto val="1"/>
        <c:lblAlgn val="ctr"/>
        <c:lblOffset val="100"/>
        <c:noMultiLvlLbl val="0"/>
      </c:catAx>
      <c:valAx>
        <c:axId val="77471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72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[ev_market_2026.xlsx]ANALYSIS!PivotTable6</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ANALYSIS!$B$50</c:f>
              <c:strCache>
                <c:ptCount val="1"/>
                <c:pt idx="0">
                  <c:v>Total</c:v>
                </c:pt>
              </c:strCache>
            </c:strRef>
          </c:tx>
          <c:spPr>
            <a:solidFill>
              <a:schemeClr val="accent1"/>
            </a:solidFill>
            <a:ln>
              <a:noFill/>
            </a:ln>
            <a:effectLst/>
          </c:spPr>
          <c:invertIfNegative val="0"/>
          <c:cat>
            <c:strRef>
              <c:f>ANALYSIS!$A$51:$A$56</c:f>
              <c:strCache>
                <c:ptCount val="5"/>
                <c:pt idx="0">
                  <c:v>Honda</c:v>
                </c:pt>
                <c:pt idx="1">
                  <c:v>Kia</c:v>
                </c:pt>
                <c:pt idx="2">
                  <c:v>Rivian</c:v>
                </c:pt>
                <c:pt idx="3">
                  <c:v>Volvo</c:v>
                </c:pt>
                <c:pt idx="4">
                  <c:v>Xiaomi</c:v>
                </c:pt>
              </c:strCache>
            </c:strRef>
          </c:cat>
          <c:val>
            <c:numRef>
              <c:f>ANALYSIS!$B$51:$B$56</c:f>
              <c:numCache>
                <c:formatCode>0.00</c:formatCode>
                <c:ptCount val="5"/>
                <c:pt idx="0">
                  <c:v>177</c:v>
                </c:pt>
                <c:pt idx="1">
                  <c:v>167.17469879518072</c:v>
                </c:pt>
                <c:pt idx="2">
                  <c:v>168.08108108108109</c:v>
                </c:pt>
                <c:pt idx="3">
                  <c:v>171</c:v>
                </c:pt>
                <c:pt idx="4">
                  <c:v>171.625</c:v>
                </c:pt>
              </c:numCache>
            </c:numRef>
          </c:val>
          <c:extLst>
            <c:ext xmlns:c16="http://schemas.microsoft.com/office/drawing/2014/chart" uri="{C3380CC4-5D6E-409C-BE32-E72D297353CC}">
              <c16:uniqueId val="{00000000-6AA5-4ABB-9DA6-F1BFA660FF13}"/>
            </c:ext>
          </c:extLst>
        </c:ser>
        <c:dLbls>
          <c:showLegendKey val="0"/>
          <c:showVal val="0"/>
          <c:showCatName val="0"/>
          <c:showSerName val="0"/>
          <c:showPercent val="0"/>
          <c:showBubbleSize val="0"/>
        </c:dLbls>
        <c:gapWidth val="219"/>
        <c:axId val="299871344"/>
        <c:axId val="299876336"/>
      </c:barChart>
      <c:catAx>
        <c:axId val="29987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76336"/>
        <c:crosses val="autoZero"/>
        <c:auto val="1"/>
        <c:lblAlgn val="ctr"/>
        <c:lblOffset val="100"/>
        <c:noMultiLvlLbl val="0"/>
      </c:catAx>
      <c:valAx>
        <c:axId val="2998763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7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8"/>
              <c:pt idx="0">
                <c:v>2020</c:v>
              </c:pt>
              <c:pt idx="1">
                <c:v>2021</c:v>
              </c:pt>
              <c:pt idx="2">
                <c:v>2022</c:v>
              </c:pt>
              <c:pt idx="3">
                <c:v>2023</c:v>
              </c:pt>
              <c:pt idx="4">
                <c:v>2024</c:v>
              </c:pt>
              <c:pt idx="5">
                <c:v>2025</c:v>
              </c:pt>
              <c:pt idx="6">
                <c:v>2026</c:v>
              </c:pt>
              <c:pt idx="7">
                <c:v>(blank)</c:v>
              </c:pt>
            </c:strLit>
          </c:cat>
          <c:val>
            <c:numLit>
              <c:formatCode>General</c:formatCode>
              <c:ptCount val="8"/>
              <c:pt idx="0">
                <c:v>4373954</c:v>
              </c:pt>
              <c:pt idx="1">
                <c:v>11762346</c:v>
              </c:pt>
              <c:pt idx="2">
                <c:v>21426170</c:v>
              </c:pt>
              <c:pt idx="3">
                <c:v>40791903</c:v>
              </c:pt>
              <c:pt idx="4">
                <c:v>64685343</c:v>
              </c:pt>
              <c:pt idx="5">
                <c:v>87603840</c:v>
              </c:pt>
              <c:pt idx="6">
                <c:v>23178276</c:v>
              </c:pt>
              <c:pt idx="7">
                <c:v>0</c:v>
              </c:pt>
            </c:numLit>
          </c:val>
          <c:smooth val="0"/>
          <c:extLst>
            <c:ext xmlns:c16="http://schemas.microsoft.com/office/drawing/2014/chart" uri="{C3380CC4-5D6E-409C-BE32-E72D297353CC}">
              <c16:uniqueId val="{00000000-DC55-4A66-9A60-F8CAE799C583}"/>
            </c:ext>
          </c:extLst>
        </c:ser>
        <c:dLbls>
          <c:showLegendKey val="0"/>
          <c:showVal val="0"/>
          <c:showCatName val="0"/>
          <c:showSerName val="0"/>
          <c:showPercent val="0"/>
          <c:showBubbleSize val="0"/>
        </c:dLbls>
        <c:marker val="1"/>
        <c:smooth val="0"/>
        <c:axId val="371777712"/>
        <c:axId val="371786448"/>
      </c:lineChart>
      <c:catAx>
        <c:axId val="37177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786448"/>
        <c:crosses val="autoZero"/>
        <c:auto val="1"/>
        <c:lblAlgn val="ctr"/>
        <c:lblOffset val="100"/>
        <c:noMultiLvlLbl val="0"/>
      </c:catAx>
      <c:valAx>
        <c:axId val="37178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77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[ev_market_2026.xlsx]ANALYSIS!PivotTable3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ANALYSIS!$B$23</c:f>
              <c:strCache>
                <c:ptCount val="1"/>
                <c:pt idx="0">
                  <c:v>Total</c:v>
                </c:pt>
              </c:strCache>
            </c:strRef>
          </c:tx>
          <c:spPr>
            <a:solidFill>
              <a:schemeClr val="accent1"/>
            </a:solidFill>
            <a:ln>
              <a:noFill/>
            </a:ln>
            <a:effectLst/>
          </c:spPr>
          <c:invertIfNegative val="0"/>
          <c:cat>
            <c:strRef>
              <c:f>ANALYSIS!$A$24:$A$29</c:f>
              <c:strCache>
                <c:ptCount val="5"/>
                <c:pt idx="0">
                  <c:v>BYD</c:v>
                </c:pt>
                <c:pt idx="1">
                  <c:v>Hyundai</c:v>
                </c:pt>
                <c:pt idx="2">
                  <c:v>Kia</c:v>
                </c:pt>
                <c:pt idx="3">
                  <c:v>Tesla</c:v>
                </c:pt>
                <c:pt idx="4">
                  <c:v>Volkswagen</c:v>
                </c:pt>
              </c:strCache>
            </c:strRef>
          </c:cat>
          <c:val>
            <c:numRef>
              <c:f>ANALYSIS!$B$24:$B$29</c:f>
              <c:numCache>
                <c:formatCode>General</c:formatCode>
                <c:ptCount val="5"/>
                <c:pt idx="0">
                  <c:v>50472617</c:v>
                </c:pt>
                <c:pt idx="1">
                  <c:v>15223045</c:v>
                </c:pt>
                <c:pt idx="2">
                  <c:v>16612129</c:v>
                </c:pt>
                <c:pt idx="3">
                  <c:v>101459482</c:v>
                </c:pt>
                <c:pt idx="4">
                  <c:v>48186657</c:v>
                </c:pt>
              </c:numCache>
            </c:numRef>
          </c:val>
          <c:extLst>
            <c:ext xmlns:c16="http://schemas.microsoft.com/office/drawing/2014/chart" uri="{C3380CC4-5D6E-409C-BE32-E72D297353CC}">
              <c16:uniqueId val="{00000000-4263-4BC7-BE4C-5F7B9414637B}"/>
            </c:ext>
          </c:extLst>
        </c:ser>
        <c:dLbls>
          <c:showLegendKey val="0"/>
          <c:showVal val="0"/>
          <c:showCatName val="0"/>
          <c:showSerName val="0"/>
          <c:showPercent val="0"/>
          <c:showBubbleSize val="0"/>
        </c:dLbls>
        <c:gapWidth val="219"/>
        <c:overlap val="-27"/>
        <c:axId val="1635186943"/>
        <c:axId val="1635189023"/>
      </c:barChart>
      <c:catAx>
        <c:axId val="163518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189023"/>
        <c:crosses val="autoZero"/>
        <c:auto val="1"/>
        <c:lblAlgn val="ctr"/>
        <c:lblOffset val="100"/>
        <c:noMultiLvlLbl val="0"/>
      </c:catAx>
      <c:valAx>
        <c:axId val="163518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18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[ev_market_2026.xlsx]ANALYSIS!PivotTable11</c:name>
    <c:fmtId val="9"/>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Safety Rating of the Cars </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ANALYSIS!$B$4</c:f>
              <c:strCache>
                <c:ptCount val="1"/>
                <c:pt idx="0">
                  <c:v>Total</c:v>
                </c:pt>
              </c:strCache>
            </c:strRef>
          </c:tx>
          <c:spPr>
            <a:solidFill>
              <a:schemeClr val="accent1"/>
            </a:solidFill>
            <a:ln>
              <a:noFill/>
            </a:ln>
            <a:effectLst/>
          </c:spPr>
          <c:invertIfNegative val="0"/>
          <c:cat>
            <c:strRef>
              <c:f>ANALYSIS!$A$5:$A$9</c:f>
              <c:strCache>
                <c:ptCount val="4"/>
                <c:pt idx="0">
                  <c:v>Budget</c:v>
                </c:pt>
                <c:pt idx="1">
                  <c:v>Luxury</c:v>
                </c:pt>
                <c:pt idx="2">
                  <c:v>Mid-range</c:v>
                </c:pt>
                <c:pt idx="3">
                  <c:v>Premium</c:v>
                </c:pt>
              </c:strCache>
            </c:strRef>
          </c:cat>
          <c:val>
            <c:numRef>
              <c:f>ANALYSIS!$B$5:$B$9</c:f>
              <c:numCache>
                <c:formatCode>0.00</c:formatCode>
                <c:ptCount val="4"/>
                <c:pt idx="0">
                  <c:v>4.3311258278145699</c:v>
                </c:pt>
                <c:pt idx="1">
                  <c:v>4.4101010101010099</c:v>
                </c:pt>
                <c:pt idx="2">
                  <c:v>4.3722741433021808</c:v>
                </c:pt>
                <c:pt idx="3">
                  <c:v>4.367977528089888</c:v>
                </c:pt>
              </c:numCache>
            </c:numRef>
          </c:val>
          <c:extLst>
            <c:ext xmlns:c16="http://schemas.microsoft.com/office/drawing/2014/chart" uri="{C3380CC4-5D6E-409C-BE32-E72D297353CC}">
              <c16:uniqueId val="{00000000-0754-4D34-BC84-F81BF78B47A9}"/>
            </c:ext>
          </c:extLst>
        </c:ser>
        <c:dLbls>
          <c:showLegendKey val="0"/>
          <c:showVal val="0"/>
          <c:showCatName val="0"/>
          <c:showSerName val="0"/>
          <c:showPercent val="0"/>
          <c:showBubbleSize val="0"/>
        </c:dLbls>
        <c:gapWidth val="219"/>
        <c:overlap val="-27"/>
        <c:axId val="299872176"/>
        <c:axId val="299871760"/>
      </c:barChart>
      <c:catAx>
        <c:axId val="29987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99871760"/>
        <c:crosses val="autoZero"/>
        <c:auto val="1"/>
        <c:lblAlgn val="ctr"/>
        <c:lblOffset val="100"/>
        <c:noMultiLvlLbl val="0"/>
      </c:catAx>
      <c:valAx>
        <c:axId val="2998717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99872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[ev_market_2026.xlsx]ANALYSIS!PivotTable13</c:name>
    <c:fmtId val="8"/>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Yearly Sales of Unit </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s>
    <c:plotArea>
      <c:layout/>
      <c:pieChart>
        <c:varyColors val="1"/>
        <c:ser>
          <c:idx val="0"/>
          <c:order val="0"/>
          <c:tx>
            <c:strRef>
              <c:f>ANALYSIS!$J$4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EA-4123-99AF-C1417026FE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EA-4123-99AF-C1417026FE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EA-4123-99AF-C1417026FE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EA-4123-99AF-C1417026FE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FEA-4123-99AF-C1417026FEE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FEA-4123-99AF-C1417026FEE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FEA-4123-99AF-C1417026FEE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FEA-4123-99AF-C1417026FEE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FEA-4123-99AF-C1417026FEE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FEA-4123-99AF-C1417026FEE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FEA-4123-99AF-C1417026FEE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FEA-4123-99AF-C1417026FEE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FEA-4123-99AF-C1417026FEE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FEA-4123-99AF-C1417026FEE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FEA-4123-99AF-C1417026FEE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FEA-4123-99AF-C1417026FEE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FEA-4123-99AF-C1417026FEE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FEA-4123-99AF-C1417026FEE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FEA-4123-99AF-C1417026FEE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8FEA-4123-99AF-C1417026FEE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8FEA-4123-99AF-C1417026FEE4}"/>
              </c:ext>
            </c:extLst>
          </c:dPt>
          <c:cat>
            <c:strRef>
              <c:f>ANALYSIS!$I$5:$I$13</c:f>
              <c:strCache>
                <c:ptCount val="8"/>
                <c:pt idx="0">
                  <c:v>2020</c:v>
                </c:pt>
                <c:pt idx="1">
                  <c:v>2021</c:v>
                </c:pt>
                <c:pt idx="2">
                  <c:v>2022</c:v>
                </c:pt>
                <c:pt idx="3">
                  <c:v>2023</c:v>
                </c:pt>
                <c:pt idx="4">
                  <c:v>2024</c:v>
                </c:pt>
                <c:pt idx="5">
                  <c:v>2025</c:v>
                </c:pt>
                <c:pt idx="6">
                  <c:v>2026</c:v>
                </c:pt>
                <c:pt idx="7">
                  <c:v>(blank)</c:v>
                </c:pt>
              </c:strCache>
            </c:strRef>
          </c:cat>
          <c:val>
            <c:numRef>
              <c:f>ANALYSIS!$J$5:$J$13</c:f>
              <c:numCache>
                <c:formatCode>General</c:formatCode>
                <c:ptCount val="8"/>
                <c:pt idx="0">
                  <c:v>4373954</c:v>
                </c:pt>
                <c:pt idx="1">
                  <c:v>11762346</c:v>
                </c:pt>
                <c:pt idx="2">
                  <c:v>21426170</c:v>
                </c:pt>
                <c:pt idx="3">
                  <c:v>40791903</c:v>
                </c:pt>
                <c:pt idx="4">
                  <c:v>64685343</c:v>
                </c:pt>
                <c:pt idx="5">
                  <c:v>87603840</c:v>
                </c:pt>
                <c:pt idx="6">
                  <c:v>23178276</c:v>
                </c:pt>
              </c:numCache>
            </c:numRef>
          </c:val>
          <c:extLst>
            <c:ext xmlns:c16="http://schemas.microsoft.com/office/drawing/2014/chart" uri="{C3380CC4-5D6E-409C-BE32-E72D297353CC}">
              <c16:uniqueId val="{0000002A-8FEA-4123-99AF-C1417026FE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b" anchorCtr="1"/>
          <a:lstStyle/>
          <a:p>
            <a:pPr>
              <a:defRPr sz="2800" b="1" i="0" u="none" strike="noStrike" kern="1200" spc="0" baseline="0">
                <a:solidFill>
                  <a:schemeClr val="tx1">
                    <a:lumMod val="65000"/>
                    <a:lumOff val="35000"/>
                  </a:schemeClr>
                </a:solidFill>
                <a:latin typeface="+mn-lt"/>
                <a:ea typeface="+mn-ea"/>
                <a:cs typeface="+mn-cs"/>
              </a:defRPr>
            </a:pPr>
            <a:r>
              <a:rPr lang="en-US" sz="2800" b="1"/>
              <a:t>Sales as</a:t>
            </a:r>
            <a:r>
              <a:rPr lang="en-US" sz="2800" b="1" baseline="0"/>
              <a:t> per </a:t>
            </a:r>
            <a:r>
              <a:rPr lang="en-US" sz="2800" b="1"/>
              <a:t>market segment </a:t>
            </a:r>
          </a:p>
        </c:rich>
      </c:tx>
      <c:overlay val="1"/>
      <c:spPr>
        <a:noFill/>
        <a:ln>
          <a:noFill/>
        </a:ln>
        <a:effectLst/>
      </c:spPr>
      <c:txPr>
        <a:bodyPr rot="0" spcFirstLastPara="1" vertOverflow="ellipsis" vert="horz" wrap="square" anchor="b"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23080487279515591"/>
          <c:y val="0.28203941130395349"/>
          <c:w val="0.37425675513965012"/>
          <c:h val="0.64466215937667481"/>
        </c:manualLayout>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4C-455F-86D9-9D970D84B2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4C-455F-86D9-9D970D84B2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64C-455F-86D9-9D970D84B2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64C-455F-86D9-9D970D84B237}"/>
              </c:ext>
            </c:extLst>
          </c:dPt>
          <c:dLbls>
            <c:spPr>
              <a:solidFill>
                <a:srgbClr val="4472C4">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8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Budget</c:v>
              </c:pt>
              <c:pt idx="1">
                <c:v>Luxury</c:v>
              </c:pt>
              <c:pt idx="2">
                <c:v>Mid-range</c:v>
              </c:pt>
              <c:pt idx="3">
                <c:v>Premium</c:v>
              </c:pt>
            </c:strLit>
          </c:cat>
          <c:val>
            <c:numLit>
              <c:formatCode>General</c:formatCode>
              <c:ptCount val="4"/>
              <c:pt idx="0">
                <c:v>23353407</c:v>
              </c:pt>
              <c:pt idx="1">
                <c:v>65966088</c:v>
              </c:pt>
              <c:pt idx="2">
                <c:v>83479890</c:v>
              </c:pt>
              <c:pt idx="3">
                <c:v>86507799</c:v>
              </c:pt>
            </c:numLit>
          </c:val>
          <c:extLst>
            <c:ext xmlns:c16="http://schemas.microsoft.com/office/drawing/2014/chart" uri="{C3380CC4-5D6E-409C-BE32-E72D297353CC}">
              <c16:uniqueId val="{00000008-764C-455F-86D9-9D970D84B23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3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[ev_market_2026.xlsx]ANALYSIS!PivotTable6</c:name>
    <c:fmtId val="8"/>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Top 5 Car Brands with average top speed </a:t>
            </a:r>
          </a:p>
        </c:rich>
      </c:tx>
      <c:layout>
        <c:manualLayout>
          <c:xMode val="edge"/>
          <c:yMode val="edge"/>
          <c:x val="0.1464975298399189"/>
          <c:y val="4.33051243828877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6717220538603"/>
          <c:y val="0.14516920718858745"/>
          <c:w val="0.78282761333607065"/>
          <c:h val="0.71903699805479671"/>
        </c:manualLayout>
      </c:layout>
      <c:barChart>
        <c:barDir val="bar"/>
        <c:grouping val="clustered"/>
        <c:varyColors val="0"/>
        <c:ser>
          <c:idx val="0"/>
          <c:order val="0"/>
          <c:tx>
            <c:strRef>
              <c:f>ANALYSIS!$B$50</c:f>
              <c:strCache>
                <c:ptCount val="1"/>
                <c:pt idx="0">
                  <c:v>Total</c:v>
                </c:pt>
              </c:strCache>
            </c:strRef>
          </c:tx>
          <c:spPr>
            <a:solidFill>
              <a:schemeClr val="accent1"/>
            </a:solidFill>
            <a:ln>
              <a:noFill/>
            </a:ln>
            <a:effectLst/>
          </c:spPr>
          <c:invertIfNegative val="0"/>
          <c:cat>
            <c:strRef>
              <c:f>ANALYSIS!$A$51:$A$56</c:f>
              <c:strCache>
                <c:ptCount val="5"/>
                <c:pt idx="0">
                  <c:v>Honda</c:v>
                </c:pt>
                <c:pt idx="1">
                  <c:v>Kia</c:v>
                </c:pt>
                <c:pt idx="2">
                  <c:v>Rivian</c:v>
                </c:pt>
                <c:pt idx="3">
                  <c:v>Volvo</c:v>
                </c:pt>
                <c:pt idx="4">
                  <c:v>Xiaomi</c:v>
                </c:pt>
              </c:strCache>
            </c:strRef>
          </c:cat>
          <c:val>
            <c:numRef>
              <c:f>ANALYSIS!$B$51:$B$56</c:f>
              <c:numCache>
                <c:formatCode>0.00</c:formatCode>
                <c:ptCount val="5"/>
                <c:pt idx="0">
                  <c:v>177</c:v>
                </c:pt>
                <c:pt idx="1">
                  <c:v>167.17469879518072</c:v>
                </c:pt>
                <c:pt idx="2">
                  <c:v>168.08108108108109</c:v>
                </c:pt>
                <c:pt idx="3">
                  <c:v>171</c:v>
                </c:pt>
                <c:pt idx="4">
                  <c:v>171.625</c:v>
                </c:pt>
              </c:numCache>
            </c:numRef>
          </c:val>
          <c:extLst>
            <c:ext xmlns:c16="http://schemas.microsoft.com/office/drawing/2014/chart" uri="{C3380CC4-5D6E-409C-BE32-E72D297353CC}">
              <c16:uniqueId val="{00000000-343F-49BA-95C7-B85DBF5A3E1F}"/>
            </c:ext>
          </c:extLst>
        </c:ser>
        <c:dLbls>
          <c:showLegendKey val="0"/>
          <c:showVal val="0"/>
          <c:showCatName val="0"/>
          <c:showSerName val="0"/>
          <c:showPercent val="0"/>
          <c:showBubbleSize val="0"/>
        </c:dLbls>
        <c:gapWidth val="219"/>
        <c:axId val="299871344"/>
        <c:axId val="299876336"/>
      </c:barChart>
      <c:catAx>
        <c:axId val="299871344"/>
        <c:scaling>
          <c:orientation val="minMax"/>
        </c:scaling>
        <c:delete val="0"/>
        <c:axPos val="l"/>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t>Car Brands </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99876336"/>
        <c:crosses val="autoZero"/>
        <c:auto val="1"/>
        <c:lblAlgn val="ctr"/>
        <c:lblOffset val="100"/>
        <c:noMultiLvlLbl val="0"/>
      </c:catAx>
      <c:valAx>
        <c:axId val="29987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Average top speed of the cars </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87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Customer</a:t>
            </a:r>
            <a:r>
              <a:rPr lang="en-US" sz="2000"/>
              <a:t> </a:t>
            </a:r>
            <a:r>
              <a:rPr lang="en-US" sz="2000" b="1"/>
              <a:t>Review</a:t>
            </a:r>
            <a:r>
              <a:rPr lang="en-US" sz="2000"/>
              <a:t> </a:t>
            </a:r>
            <a:r>
              <a:rPr lang="en-US" sz="2000" b="1"/>
              <a:t>Rating</a:t>
            </a:r>
            <a:r>
              <a:rPr lang="en-US" sz="2000"/>
              <a:t> </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4127577244938297E-2"/>
          <c:y val="0.13933477266941419"/>
          <c:w val="0.87682786937369583"/>
          <c:h val="0.76003374057146222"/>
        </c:manualLayout>
      </c:layout>
      <c:bar3DChart>
        <c:barDir val="col"/>
        <c:grouping val="clustered"/>
        <c:varyColors val="0"/>
        <c:ser>
          <c:idx val="0"/>
          <c:order val="0"/>
          <c:tx>
            <c:v>Total</c:v>
          </c:tx>
          <c:spPr>
            <a:solidFill>
              <a:schemeClr val="accent1"/>
            </a:solidFill>
            <a:ln>
              <a:noFill/>
            </a:ln>
            <a:effectLst/>
            <a:sp3d/>
          </c:spPr>
          <c:invertIfNegative val="0"/>
          <c:cat>
            <c:strLit>
              <c:ptCount val="4"/>
              <c:pt idx="0">
                <c:v>Budget</c:v>
              </c:pt>
              <c:pt idx="1">
                <c:v>Luxury</c:v>
              </c:pt>
              <c:pt idx="2">
                <c:v>Mid-range</c:v>
              </c:pt>
              <c:pt idx="3">
                <c:v>Premium</c:v>
              </c:pt>
            </c:strLit>
          </c:cat>
          <c:val>
            <c:numLit>
              <c:formatCode>General</c:formatCode>
              <c:ptCount val="4"/>
              <c:pt idx="0">
                <c:v>3.454966887417219</c:v>
              </c:pt>
              <c:pt idx="1">
                <c:v>3.6989494949494963</c:v>
              </c:pt>
              <c:pt idx="2">
                <c:v>3.5306074766355127</c:v>
              </c:pt>
              <c:pt idx="3">
                <c:v>3.5460112359550551</c:v>
              </c:pt>
            </c:numLit>
          </c:val>
          <c:extLst>
            <c:ext xmlns:c16="http://schemas.microsoft.com/office/drawing/2014/chart" uri="{C3380CC4-5D6E-409C-BE32-E72D297353CC}">
              <c16:uniqueId val="{00000000-A59F-47B2-A40A-2EBBE73A3F9D}"/>
            </c:ext>
          </c:extLst>
        </c:ser>
        <c:dLbls>
          <c:showLegendKey val="0"/>
          <c:showVal val="0"/>
          <c:showCatName val="0"/>
          <c:showSerName val="0"/>
          <c:showPercent val="0"/>
          <c:showBubbleSize val="0"/>
        </c:dLbls>
        <c:gapWidth val="150"/>
        <c:shape val="box"/>
        <c:axId val="774724752"/>
        <c:axId val="774715600"/>
        <c:axId val="0"/>
      </c:bar3DChart>
      <c:catAx>
        <c:axId val="774724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774715600"/>
        <c:crosses val="autoZero"/>
        <c:auto val="1"/>
        <c:lblAlgn val="ctr"/>
        <c:lblOffset val="100"/>
        <c:noMultiLvlLbl val="0"/>
      </c:catAx>
      <c:valAx>
        <c:axId val="77471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72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[ev_market_2026.xlsx]ANALYSIS!PivotTable14</c:name>
    <c:fmtId val="9"/>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Top 5 Brands with Best Battery Capacity</a:t>
            </a:r>
          </a:p>
          <a:p>
            <a:pPr>
              <a:defRPr sz="2000" b="1"/>
            </a:pPr>
            <a:endParaRPr lang="en-US" sz="2000" b="1"/>
          </a:p>
        </c:rich>
      </c:tx>
      <c:layout>
        <c:manualLayout>
          <c:xMode val="edge"/>
          <c:yMode val="edge"/>
          <c:x val="0.22985548018433086"/>
          <c:y val="1.733556860551275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ANALYSIS!$J$40</c:f>
              <c:strCache>
                <c:ptCount val="1"/>
                <c:pt idx="0">
                  <c:v>Total</c:v>
                </c:pt>
              </c:strCache>
            </c:strRef>
          </c:tx>
          <c:spPr>
            <a:solidFill>
              <a:schemeClr val="accent1"/>
            </a:solidFill>
            <a:ln>
              <a:noFill/>
            </a:ln>
            <a:effectLst/>
            <a:sp3d/>
          </c:spPr>
          <c:invertIfNegative val="0"/>
          <c:cat>
            <c:strRef>
              <c:f>ANALYSIS!$I$41:$I$46</c:f>
              <c:strCache>
                <c:ptCount val="5"/>
                <c:pt idx="0">
                  <c:v>Honda</c:v>
                </c:pt>
                <c:pt idx="1">
                  <c:v>Mercedes</c:v>
                </c:pt>
                <c:pt idx="2">
                  <c:v>Porsche</c:v>
                </c:pt>
                <c:pt idx="3">
                  <c:v>Rivian</c:v>
                </c:pt>
                <c:pt idx="4">
                  <c:v>Toyota</c:v>
                </c:pt>
              </c:strCache>
            </c:strRef>
          </c:cat>
          <c:val>
            <c:numRef>
              <c:f>ANALYSIS!$J$41:$J$46</c:f>
              <c:numCache>
                <c:formatCode>0.00</c:formatCode>
                <c:ptCount val="5"/>
                <c:pt idx="0">
                  <c:v>92.85</c:v>
                </c:pt>
                <c:pt idx="1">
                  <c:v>77.683333333333337</c:v>
                </c:pt>
                <c:pt idx="2">
                  <c:v>77.614285714285714</c:v>
                </c:pt>
                <c:pt idx="3">
                  <c:v>76.418918918918934</c:v>
                </c:pt>
                <c:pt idx="4">
                  <c:v>77.168292682926833</c:v>
                </c:pt>
              </c:numCache>
            </c:numRef>
          </c:val>
          <c:extLst>
            <c:ext xmlns:c16="http://schemas.microsoft.com/office/drawing/2014/chart" uri="{C3380CC4-5D6E-409C-BE32-E72D297353CC}">
              <c16:uniqueId val="{00000000-3C98-4790-97AF-4C448E296BA7}"/>
            </c:ext>
          </c:extLst>
        </c:ser>
        <c:dLbls>
          <c:showLegendKey val="0"/>
          <c:showVal val="0"/>
          <c:showCatName val="0"/>
          <c:showSerName val="0"/>
          <c:showPercent val="0"/>
          <c:showBubbleSize val="0"/>
        </c:dLbls>
        <c:gapWidth val="150"/>
        <c:shape val="box"/>
        <c:axId val="1503192112"/>
        <c:axId val="1503202512"/>
        <c:axId val="0"/>
      </c:bar3DChart>
      <c:catAx>
        <c:axId val="1503192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503202512"/>
        <c:crosses val="autoZero"/>
        <c:auto val="1"/>
        <c:lblAlgn val="ctr"/>
        <c:lblOffset val="100"/>
        <c:noMultiLvlLbl val="0"/>
      </c:catAx>
      <c:valAx>
        <c:axId val="15032025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0319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[ev_market_2026.xlsx]ANALYSIS!PivotTable3</c:name>
    <c:fmtId val="15"/>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Top Car Brands </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ANALYSIS!$B$23</c:f>
              <c:strCache>
                <c:ptCount val="1"/>
                <c:pt idx="0">
                  <c:v>Total</c:v>
                </c:pt>
              </c:strCache>
            </c:strRef>
          </c:tx>
          <c:spPr>
            <a:solidFill>
              <a:schemeClr val="accent1"/>
            </a:solidFill>
            <a:ln>
              <a:noFill/>
            </a:ln>
            <a:effectLst/>
          </c:spPr>
          <c:invertIfNegative val="0"/>
          <c:cat>
            <c:strRef>
              <c:f>ANALYSIS!$A$24:$A$29</c:f>
              <c:strCache>
                <c:ptCount val="5"/>
                <c:pt idx="0">
                  <c:v>BYD</c:v>
                </c:pt>
                <c:pt idx="1">
                  <c:v>Hyundai</c:v>
                </c:pt>
                <c:pt idx="2">
                  <c:v>Kia</c:v>
                </c:pt>
                <c:pt idx="3">
                  <c:v>Tesla</c:v>
                </c:pt>
                <c:pt idx="4">
                  <c:v>Volkswagen</c:v>
                </c:pt>
              </c:strCache>
            </c:strRef>
          </c:cat>
          <c:val>
            <c:numRef>
              <c:f>ANALYSIS!$B$24:$B$29</c:f>
              <c:numCache>
                <c:formatCode>General</c:formatCode>
                <c:ptCount val="5"/>
                <c:pt idx="0">
                  <c:v>50472617</c:v>
                </c:pt>
                <c:pt idx="1">
                  <c:v>15223045</c:v>
                </c:pt>
                <c:pt idx="2">
                  <c:v>16612129</c:v>
                </c:pt>
                <c:pt idx="3">
                  <c:v>101459482</c:v>
                </c:pt>
                <c:pt idx="4">
                  <c:v>48186657</c:v>
                </c:pt>
              </c:numCache>
            </c:numRef>
          </c:val>
          <c:extLst>
            <c:ext xmlns:c16="http://schemas.microsoft.com/office/drawing/2014/chart" uri="{C3380CC4-5D6E-409C-BE32-E72D297353CC}">
              <c16:uniqueId val="{00000000-39EF-46CD-924C-719DEE659B21}"/>
            </c:ext>
          </c:extLst>
        </c:ser>
        <c:dLbls>
          <c:showLegendKey val="0"/>
          <c:showVal val="0"/>
          <c:showCatName val="0"/>
          <c:showSerName val="0"/>
          <c:showPercent val="0"/>
          <c:showBubbleSize val="0"/>
        </c:dLbls>
        <c:gapWidth val="182"/>
        <c:axId val="836423424"/>
        <c:axId val="836425088"/>
      </c:barChart>
      <c:catAx>
        <c:axId val="836423424"/>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Car Brands </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836425088"/>
        <c:crosses val="autoZero"/>
        <c:auto val="1"/>
        <c:lblAlgn val="ctr"/>
        <c:lblOffset val="100"/>
        <c:noMultiLvlLbl val="0"/>
      </c:catAx>
      <c:valAx>
        <c:axId val="8364250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No. of Units Sold </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83642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227012</xdr:colOff>
      <xdr:row>65</xdr:row>
      <xdr:rowOff>182562</xdr:rowOff>
    </xdr:from>
    <xdr:to>
      <xdr:col>8</xdr:col>
      <xdr:colOff>1173162</xdr:colOff>
      <xdr:row>79</xdr:row>
      <xdr:rowOff>28575</xdr:rowOff>
    </xdr:to>
    <xdr:graphicFrame macro="">
      <xdr:nvGraphicFramePr>
        <xdr:cNvPr id="2" name="Chart 1">
          <a:extLst>
            <a:ext uri="{FF2B5EF4-FFF2-40B4-BE49-F238E27FC236}">
              <a16:creationId xmlns:a16="http://schemas.microsoft.com/office/drawing/2014/main" id="{97EFA45F-353A-4D21-B8A6-3B842070E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38</xdr:col>
      <xdr:colOff>312737</xdr:colOff>
      <xdr:row>51</xdr:row>
      <xdr:rowOff>196850</xdr:rowOff>
    </xdr:from>
    <xdr:to>
      <xdr:col>41</xdr:col>
      <xdr:colOff>384174</xdr:colOff>
      <xdr:row>65</xdr:row>
      <xdr:rowOff>128588</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E6E8763D-D4C3-404B-88F7-CB91B22608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5691308" y="9437007"/>
              <a:ext cx="1885723" cy="2484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117476</xdr:colOff>
      <xdr:row>0</xdr:row>
      <xdr:rowOff>38100</xdr:rowOff>
    </xdr:from>
    <xdr:to>
      <xdr:col>7</xdr:col>
      <xdr:colOff>680509</xdr:colOff>
      <xdr:row>15</xdr:row>
      <xdr:rowOff>39687</xdr:rowOff>
    </xdr:to>
    <xdr:graphicFrame macro="">
      <xdr:nvGraphicFramePr>
        <xdr:cNvPr id="7" name="Chart 6">
          <a:extLst>
            <a:ext uri="{FF2B5EF4-FFF2-40B4-BE49-F238E27FC236}">
              <a16:creationId xmlns:a16="http://schemas.microsoft.com/office/drawing/2014/main" id="{E6F77E61-A575-4192-8CCE-F98C82CA5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243905</xdr:colOff>
      <xdr:row>36</xdr:row>
      <xdr:rowOff>59511</xdr:rowOff>
    </xdr:from>
    <xdr:to>
      <xdr:col>14</xdr:col>
      <xdr:colOff>300445</xdr:colOff>
      <xdr:row>51</xdr:row>
      <xdr:rowOff>40461</xdr:rowOff>
    </xdr:to>
    <xdr:graphicFrame macro="">
      <xdr:nvGraphicFramePr>
        <xdr:cNvPr id="8" name="Chart 7">
          <a:extLst>
            <a:ext uri="{FF2B5EF4-FFF2-40B4-BE49-F238E27FC236}">
              <a16:creationId xmlns:a16="http://schemas.microsoft.com/office/drawing/2014/main" id="{9FDD6860-B1B3-45C7-8DAA-01540879E1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641350</xdr:colOff>
      <xdr:row>14</xdr:row>
      <xdr:rowOff>160337</xdr:rowOff>
    </xdr:from>
    <xdr:to>
      <xdr:col>29</xdr:col>
      <xdr:colOff>284163</xdr:colOff>
      <xdr:row>29</xdr:row>
      <xdr:rowOff>141287</xdr:rowOff>
    </xdr:to>
    <xdr:graphicFrame macro="">
      <xdr:nvGraphicFramePr>
        <xdr:cNvPr id="9" name="Chart 8">
          <a:extLst>
            <a:ext uri="{FF2B5EF4-FFF2-40B4-BE49-F238E27FC236}">
              <a16:creationId xmlns:a16="http://schemas.microsoft.com/office/drawing/2014/main" id="{ED5CE8C3-8FDB-470E-8DC8-A43F5EC20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122766</xdr:colOff>
      <xdr:row>32</xdr:row>
      <xdr:rowOff>113771</xdr:rowOff>
    </xdr:from>
    <xdr:to>
      <xdr:col>5</xdr:col>
      <xdr:colOff>2135717</xdr:colOff>
      <xdr:row>47</xdr:row>
      <xdr:rowOff>101071</xdr:rowOff>
    </xdr:to>
    <xdr:graphicFrame macro="">
      <xdr:nvGraphicFramePr>
        <xdr:cNvPr id="10" name="Chart 9">
          <a:extLst>
            <a:ext uri="{FF2B5EF4-FFF2-40B4-BE49-F238E27FC236}">
              <a16:creationId xmlns:a16="http://schemas.microsoft.com/office/drawing/2014/main" id="{84A2606D-E712-4103-9823-A9CA1A2B2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243946</xdr:colOff>
      <xdr:row>48</xdr:row>
      <xdr:rowOff>129117</xdr:rowOff>
    </xdr:from>
    <xdr:to>
      <xdr:col>5</xdr:col>
      <xdr:colOff>1646163</xdr:colOff>
      <xdr:row>59</xdr:row>
      <xdr:rowOff>73781</xdr:rowOff>
    </xdr:to>
    <xdr:graphicFrame macro="">
      <xdr:nvGraphicFramePr>
        <xdr:cNvPr id="11" name="Chart 10">
          <a:extLst>
            <a:ext uri="{FF2B5EF4-FFF2-40B4-BE49-F238E27FC236}">
              <a16:creationId xmlns:a16="http://schemas.microsoft.com/office/drawing/2014/main" id="{1F6287F6-94C3-45A3-A779-201F347BE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35076</xdr:colOff>
      <xdr:row>3</xdr:row>
      <xdr:rowOff>19957</xdr:rowOff>
    </xdr:from>
    <xdr:to>
      <xdr:col>13</xdr:col>
      <xdr:colOff>2737152</xdr:colOff>
      <xdr:row>18</xdr:row>
      <xdr:rowOff>41728</xdr:rowOff>
    </xdr:to>
    <xdr:graphicFrame macro="">
      <xdr:nvGraphicFramePr>
        <xdr:cNvPr id="12" name="Chart 11">
          <a:extLst>
            <a:ext uri="{FF2B5EF4-FFF2-40B4-BE49-F238E27FC236}">
              <a16:creationId xmlns:a16="http://schemas.microsoft.com/office/drawing/2014/main" id="{4E251836-3938-44A9-83CF-1B2A27254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671107</xdr:colOff>
      <xdr:row>16</xdr:row>
      <xdr:rowOff>66489</xdr:rowOff>
    </xdr:from>
    <xdr:to>
      <xdr:col>6</xdr:col>
      <xdr:colOff>536637</xdr:colOff>
      <xdr:row>31</xdr:row>
      <xdr:rowOff>8218</xdr:rowOff>
    </xdr:to>
    <xdr:graphicFrame macro="">
      <xdr:nvGraphicFramePr>
        <xdr:cNvPr id="4" name="Chart 3">
          <a:extLst>
            <a:ext uri="{FF2B5EF4-FFF2-40B4-BE49-F238E27FC236}">
              <a16:creationId xmlns:a16="http://schemas.microsoft.com/office/drawing/2014/main" id="{8FF24426-1282-4592-B526-E6EE9C9E0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198439</xdr:colOff>
      <xdr:row>1</xdr:row>
      <xdr:rowOff>42333</xdr:rowOff>
    </xdr:from>
    <xdr:to>
      <xdr:col>58</xdr:col>
      <xdr:colOff>257968</xdr:colOff>
      <xdr:row>98</xdr:row>
      <xdr:rowOff>39687</xdr:rowOff>
    </xdr:to>
    <xdr:sp macro="" textlink="">
      <xdr:nvSpPr>
        <xdr:cNvPr id="10" name="Rectangle 9">
          <a:extLst>
            <a:ext uri="{FF2B5EF4-FFF2-40B4-BE49-F238E27FC236}">
              <a16:creationId xmlns:a16="http://schemas.microsoft.com/office/drawing/2014/main" id="{F41D3950-760F-48ED-9C95-16DECDD1A65D}"/>
            </a:ext>
          </a:extLst>
        </xdr:cNvPr>
        <xdr:cNvSpPr/>
      </xdr:nvSpPr>
      <xdr:spPr>
        <a:xfrm>
          <a:off x="813595" y="220927"/>
          <a:ext cx="35123436" cy="17797198"/>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595312</xdr:colOff>
      <xdr:row>12</xdr:row>
      <xdr:rowOff>154364</xdr:rowOff>
    </xdr:from>
    <xdr:to>
      <xdr:col>40</xdr:col>
      <xdr:colOff>296333</xdr:colOff>
      <xdr:row>34</xdr:row>
      <xdr:rowOff>39686</xdr:rowOff>
    </xdr:to>
    <xdr:graphicFrame macro="">
      <xdr:nvGraphicFramePr>
        <xdr:cNvPr id="11" name="Chart 10">
          <a:extLst>
            <a:ext uri="{FF2B5EF4-FFF2-40B4-BE49-F238E27FC236}">
              <a16:creationId xmlns:a16="http://schemas.microsoft.com/office/drawing/2014/main" id="{E8342039-431E-46E4-B114-96AE4774D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449349</xdr:colOff>
      <xdr:row>35</xdr:row>
      <xdr:rowOff>160252</xdr:rowOff>
    </xdr:from>
    <xdr:to>
      <xdr:col>40</xdr:col>
      <xdr:colOff>119063</xdr:colOff>
      <xdr:row>65</xdr:row>
      <xdr:rowOff>99219</xdr:rowOff>
    </xdr:to>
    <xdr:graphicFrame macro="">
      <xdr:nvGraphicFramePr>
        <xdr:cNvPr id="12" name="Chart 11">
          <a:extLst>
            <a:ext uri="{FF2B5EF4-FFF2-40B4-BE49-F238E27FC236}">
              <a16:creationId xmlns:a16="http://schemas.microsoft.com/office/drawing/2014/main" id="{BB38ACBB-1B2C-4D11-B73C-A60C2F74D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498462</xdr:colOff>
      <xdr:row>34</xdr:row>
      <xdr:rowOff>127000</xdr:rowOff>
    </xdr:from>
    <xdr:to>
      <xdr:col>57</xdr:col>
      <xdr:colOff>296334</xdr:colOff>
      <xdr:row>68</xdr:row>
      <xdr:rowOff>1</xdr:rowOff>
    </xdr:to>
    <xdr:graphicFrame macro="">
      <xdr:nvGraphicFramePr>
        <xdr:cNvPr id="13" name="Chart 12">
          <a:extLst>
            <a:ext uri="{FF2B5EF4-FFF2-40B4-BE49-F238E27FC236}">
              <a16:creationId xmlns:a16="http://schemas.microsoft.com/office/drawing/2014/main" id="{38D4DD3D-84AC-42B5-81FC-2D9F903E5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242365</xdr:colOff>
      <xdr:row>64</xdr:row>
      <xdr:rowOff>30858</xdr:rowOff>
    </xdr:from>
    <xdr:to>
      <xdr:col>25</xdr:col>
      <xdr:colOff>297656</xdr:colOff>
      <xdr:row>91</xdr:row>
      <xdr:rowOff>19844</xdr:rowOff>
    </xdr:to>
    <xdr:graphicFrame macro="">
      <xdr:nvGraphicFramePr>
        <xdr:cNvPr id="15" name="Chart 14">
          <a:extLst>
            <a:ext uri="{FF2B5EF4-FFF2-40B4-BE49-F238E27FC236}">
              <a16:creationId xmlns:a16="http://schemas.microsoft.com/office/drawing/2014/main" id="{CD5E7DDF-5FB0-4AD7-B7EC-AC0EF8A4E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202275</xdr:colOff>
      <xdr:row>4</xdr:row>
      <xdr:rowOff>63500</xdr:rowOff>
    </xdr:from>
    <xdr:to>
      <xdr:col>57</xdr:col>
      <xdr:colOff>381000</xdr:colOff>
      <xdr:row>31</xdr:row>
      <xdr:rowOff>169333</xdr:rowOff>
    </xdr:to>
    <xdr:graphicFrame macro="">
      <xdr:nvGraphicFramePr>
        <xdr:cNvPr id="19" name="Chart 18">
          <a:extLst>
            <a:ext uri="{FF2B5EF4-FFF2-40B4-BE49-F238E27FC236}">
              <a16:creationId xmlns:a16="http://schemas.microsoft.com/office/drawing/2014/main" id="{D1E8A107-117B-40C2-B1C0-7F038EBBE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526621</xdr:colOff>
      <xdr:row>2</xdr:row>
      <xdr:rowOff>38364</xdr:rowOff>
    </xdr:from>
    <xdr:to>
      <xdr:col>8</xdr:col>
      <xdr:colOff>412647</xdr:colOff>
      <xdr:row>69</xdr:row>
      <xdr:rowOff>84667</xdr:rowOff>
    </xdr:to>
    <xdr:sp macro="" textlink="">
      <xdr:nvSpPr>
        <xdr:cNvPr id="21" name="Rectangle 20">
          <a:extLst>
            <a:ext uri="{FF2B5EF4-FFF2-40B4-BE49-F238E27FC236}">
              <a16:creationId xmlns:a16="http://schemas.microsoft.com/office/drawing/2014/main" id="{5DA454E7-4E64-4207-A7A0-45D90874081F}"/>
            </a:ext>
          </a:extLst>
        </xdr:cNvPr>
        <xdr:cNvSpPr/>
      </xdr:nvSpPr>
      <xdr:spPr>
        <a:xfrm>
          <a:off x="1140454" y="419364"/>
          <a:ext cx="4182860" cy="133178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5400"/>
        </a:p>
        <a:p>
          <a:pPr algn="l"/>
          <a:endParaRPr lang="en-IN" sz="5400"/>
        </a:p>
        <a:p>
          <a:pPr algn="ctr"/>
          <a:endParaRPr lang="en-IN" sz="1100" b="0" i="0" u="none" strike="noStrike">
            <a:solidFill>
              <a:schemeClr val="lt1"/>
            </a:solidFill>
            <a:effectLst/>
            <a:latin typeface="+mn-lt"/>
            <a:ea typeface="+mn-ea"/>
            <a:cs typeface="+mn-cs"/>
          </a:endParaRPr>
        </a:p>
        <a:p>
          <a:pPr algn="ctr"/>
          <a:r>
            <a:rPr lang="en-IN" sz="5400" b="1"/>
            <a:t>AND</a:t>
          </a:r>
          <a:endParaRPr lang="en-IN" sz="1100" b="1"/>
        </a:p>
      </xdr:txBody>
    </xdr:sp>
    <xdr:clientData/>
  </xdr:twoCellAnchor>
  <xdr:twoCellAnchor>
    <xdr:from>
      <xdr:col>1</xdr:col>
      <xdr:colOff>588191</xdr:colOff>
      <xdr:row>2</xdr:row>
      <xdr:rowOff>130258</xdr:rowOff>
    </xdr:from>
    <xdr:to>
      <xdr:col>8</xdr:col>
      <xdr:colOff>363803</xdr:colOff>
      <xdr:row>12</xdr:row>
      <xdr:rowOff>81412</xdr:rowOff>
    </xdr:to>
    <xdr:sp macro="" textlink="">
      <xdr:nvSpPr>
        <xdr:cNvPr id="24" name="Rectangle 23">
          <a:extLst>
            <a:ext uri="{FF2B5EF4-FFF2-40B4-BE49-F238E27FC236}">
              <a16:creationId xmlns:a16="http://schemas.microsoft.com/office/drawing/2014/main" id="{E635DF2B-0A36-498D-B05E-1114670D05B5}"/>
            </a:ext>
          </a:extLst>
        </xdr:cNvPr>
        <xdr:cNvSpPr/>
      </xdr:nvSpPr>
      <xdr:spPr>
        <a:xfrm>
          <a:off x="1203347" y="487446"/>
          <a:ext cx="4081706" cy="1737091"/>
        </a:xfrm>
        <a:prstGeom prst="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5400" b="1">
              <a:solidFill>
                <a:schemeClr val="bg1"/>
              </a:solidFill>
              <a:latin typeface="Agency FB" panose="020B0503020202020204" pitchFamily="34" charset="0"/>
            </a:rPr>
            <a:t>EV_INDUSTRY</a:t>
          </a:r>
          <a:br>
            <a:rPr lang="en-IN" sz="5400" b="1">
              <a:solidFill>
                <a:schemeClr val="bg1"/>
              </a:solidFill>
              <a:latin typeface="Agency FB" panose="020B0503020202020204" pitchFamily="34" charset="0"/>
            </a:rPr>
          </a:br>
          <a:r>
            <a:rPr lang="en-IN" sz="5400" b="1">
              <a:solidFill>
                <a:schemeClr val="bg1"/>
              </a:solidFill>
              <a:latin typeface="Agency FB" panose="020B0503020202020204" pitchFamily="34" charset="0"/>
            </a:rPr>
            <a:t>Analysis </a:t>
          </a:r>
          <a:br>
            <a:rPr lang="en-IN" sz="4800">
              <a:solidFill>
                <a:schemeClr val="bg1"/>
              </a:solidFill>
              <a:latin typeface="Agency FB" panose="020B0503020202020204" pitchFamily="34" charset="0"/>
            </a:rPr>
          </a:br>
          <a:endParaRPr lang="en-IN" sz="4800">
            <a:solidFill>
              <a:schemeClr val="bg1"/>
            </a:solidFill>
            <a:latin typeface="Agency FB" panose="020B0503020202020204" pitchFamily="34" charset="0"/>
          </a:endParaRPr>
        </a:p>
      </xdr:txBody>
    </xdr:sp>
    <xdr:clientData/>
  </xdr:twoCellAnchor>
  <xdr:twoCellAnchor>
    <xdr:from>
      <xdr:col>26</xdr:col>
      <xdr:colOff>369914</xdr:colOff>
      <xdr:row>3</xdr:row>
      <xdr:rowOff>30426</xdr:rowOff>
    </xdr:from>
    <xdr:to>
      <xdr:col>32</xdr:col>
      <xdr:colOff>197787</xdr:colOff>
      <xdr:row>11</xdr:row>
      <xdr:rowOff>168010</xdr:rowOff>
    </xdr:to>
    <xdr:sp macro="" textlink="$BU$30">
      <xdr:nvSpPr>
        <xdr:cNvPr id="27" name="Rectangle 26">
          <a:extLst>
            <a:ext uri="{FF2B5EF4-FFF2-40B4-BE49-F238E27FC236}">
              <a16:creationId xmlns:a16="http://schemas.microsoft.com/office/drawing/2014/main" id="{4B58B0BA-26E3-4D27-827D-C18F5736EE3B}"/>
            </a:ext>
          </a:extLst>
        </xdr:cNvPr>
        <xdr:cNvSpPr/>
      </xdr:nvSpPr>
      <xdr:spPr>
        <a:xfrm>
          <a:off x="16347333" y="583491"/>
          <a:ext cx="3514970" cy="1612422"/>
        </a:xfrm>
        <a:prstGeom prst="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i="0" u="none" strike="noStrike">
              <a:solidFill>
                <a:schemeClr val="bg1"/>
              </a:solidFill>
              <a:latin typeface="Calibri"/>
              <a:ea typeface="Calibri"/>
              <a:cs typeface="Calibri"/>
            </a:rPr>
            <a:t>SAFETY</a:t>
          </a:r>
          <a:r>
            <a:rPr lang="en-US" sz="4000" b="1" i="0" u="none" strike="noStrike" baseline="0">
              <a:solidFill>
                <a:schemeClr val="bg1"/>
              </a:solidFill>
              <a:latin typeface="Calibri"/>
              <a:ea typeface="Calibri"/>
              <a:cs typeface="Calibri"/>
            </a:rPr>
            <a:t> RATING</a:t>
          </a:r>
          <a:br>
            <a:rPr lang="en-US" sz="4000" b="1" i="0" u="none" strike="noStrike" baseline="0">
              <a:solidFill>
                <a:schemeClr val="bg1"/>
              </a:solidFill>
              <a:latin typeface="Calibri"/>
              <a:ea typeface="Calibri"/>
              <a:cs typeface="Calibri"/>
            </a:rPr>
          </a:br>
          <a:fld id="{2076BFB3-51BA-46F4-9512-3CFC139500E8}" type="TxLink">
            <a:rPr lang="en-US" sz="4800" b="1" i="0" u="none" strike="noStrike">
              <a:solidFill>
                <a:schemeClr val="bg1"/>
              </a:solidFill>
              <a:latin typeface="Calibri"/>
              <a:ea typeface="Calibri"/>
              <a:cs typeface="Calibri"/>
            </a:rPr>
            <a:pPr algn="ctr"/>
            <a:t>4.377</a:t>
          </a:fld>
          <a:endParaRPr lang="en-US" b="1">
            <a:solidFill>
              <a:schemeClr val="bg1"/>
            </a:solidFill>
          </a:endParaRPr>
        </a:p>
      </xdr:txBody>
    </xdr:sp>
    <xdr:clientData/>
  </xdr:twoCellAnchor>
  <xdr:twoCellAnchor>
    <xdr:from>
      <xdr:col>32</xdr:col>
      <xdr:colOff>449486</xdr:colOff>
      <xdr:row>3</xdr:row>
      <xdr:rowOff>41010</xdr:rowOff>
    </xdr:from>
    <xdr:to>
      <xdr:col>40</xdr:col>
      <xdr:colOff>321980</xdr:colOff>
      <xdr:row>12</xdr:row>
      <xdr:rowOff>0</xdr:rowOff>
    </xdr:to>
    <xdr:sp macro="" textlink="$BU$40">
      <xdr:nvSpPr>
        <xdr:cNvPr id="28" name="Rectangle 27">
          <a:extLst>
            <a:ext uri="{FF2B5EF4-FFF2-40B4-BE49-F238E27FC236}">
              <a16:creationId xmlns:a16="http://schemas.microsoft.com/office/drawing/2014/main" id="{D824E885-845C-40A8-8D74-0B034733993C}"/>
            </a:ext>
          </a:extLst>
        </xdr:cNvPr>
        <xdr:cNvSpPr/>
      </xdr:nvSpPr>
      <xdr:spPr>
        <a:xfrm>
          <a:off x="20114002" y="594075"/>
          <a:ext cx="4788623" cy="1618183"/>
        </a:xfrm>
        <a:prstGeom prst="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none" strike="noStrike">
              <a:solidFill>
                <a:schemeClr val="bg1"/>
              </a:solidFill>
              <a:latin typeface="Calibri"/>
              <a:ea typeface="Calibri"/>
              <a:cs typeface="Calibri"/>
            </a:rPr>
            <a:t>AVERAGE CUSTOMER RATING</a:t>
          </a:r>
          <a:r>
            <a:rPr lang="en-US" sz="3200" b="1" i="0" u="none" strike="noStrike">
              <a:solidFill>
                <a:schemeClr val="bg1"/>
              </a:solidFill>
              <a:latin typeface="Calibri"/>
              <a:ea typeface="Calibri"/>
              <a:cs typeface="Calibri"/>
            </a:rPr>
            <a:t> </a:t>
          </a:r>
        </a:p>
        <a:p>
          <a:pPr algn="ctr"/>
          <a:fld id="{26B8FC3A-173F-4AD2-B8AD-29FCC52508B6}" type="TxLink">
            <a:rPr lang="en-US" sz="6000" b="1" i="0" u="none" strike="noStrike">
              <a:solidFill>
                <a:schemeClr val="bg1"/>
              </a:solidFill>
              <a:latin typeface="Calibri"/>
              <a:ea typeface="Calibri"/>
              <a:cs typeface="Calibri"/>
            </a:rPr>
            <a:pPr algn="ctr"/>
            <a:t>3.57</a:t>
          </a:fld>
          <a:endParaRPr lang="en-IN" sz="800" b="1" i="0" u="none" strike="noStrike">
            <a:solidFill>
              <a:schemeClr val="bg1"/>
            </a:solidFill>
            <a:latin typeface="Calibri"/>
            <a:ea typeface="Calibri"/>
            <a:cs typeface="Calibri"/>
          </a:endParaRPr>
        </a:p>
      </xdr:txBody>
    </xdr:sp>
    <xdr:clientData/>
  </xdr:twoCellAnchor>
  <xdr:twoCellAnchor>
    <xdr:from>
      <xdr:col>9</xdr:col>
      <xdr:colOff>271290</xdr:colOff>
      <xdr:row>38</xdr:row>
      <xdr:rowOff>144341</xdr:rowOff>
    </xdr:from>
    <xdr:to>
      <xdr:col>25</xdr:col>
      <xdr:colOff>158750</xdr:colOff>
      <xdr:row>63</xdr:row>
      <xdr:rowOff>75085</xdr:rowOff>
    </xdr:to>
    <xdr:graphicFrame macro="">
      <xdr:nvGraphicFramePr>
        <xdr:cNvPr id="33" name="Chart 32">
          <a:extLst>
            <a:ext uri="{FF2B5EF4-FFF2-40B4-BE49-F238E27FC236}">
              <a16:creationId xmlns:a16="http://schemas.microsoft.com/office/drawing/2014/main" id="{AB24EEF9-FC29-4E4B-A0B6-47E51C0D7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230208</xdr:colOff>
      <xdr:row>13</xdr:row>
      <xdr:rowOff>48806</xdr:rowOff>
    </xdr:from>
    <xdr:to>
      <xdr:col>25</xdr:col>
      <xdr:colOff>198438</xdr:colOff>
      <xdr:row>37</xdr:row>
      <xdr:rowOff>158749</xdr:rowOff>
    </xdr:to>
    <xdr:graphicFrame macro="">
      <xdr:nvGraphicFramePr>
        <xdr:cNvPr id="34" name="Chart 33">
          <a:extLst>
            <a:ext uri="{FF2B5EF4-FFF2-40B4-BE49-F238E27FC236}">
              <a16:creationId xmlns:a16="http://schemas.microsoft.com/office/drawing/2014/main" id="{8F82F5EF-3EF9-490A-BBA6-12F25639A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119061</xdr:colOff>
      <xdr:row>15</xdr:row>
      <xdr:rowOff>181239</xdr:rowOff>
    </xdr:from>
    <xdr:to>
      <xdr:col>8</xdr:col>
      <xdr:colOff>198437</xdr:colOff>
      <xdr:row>18</xdr:row>
      <xdr:rowOff>169333</xdr:rowOff>
    </xdr:to>
    <xdr:sp macro="" textlink="">
      <xdr:nvSpPr>
        <xdr:cNvPr id="35" name="Rectangle 34">
          <a:extLst>
            <a:ext uri="{FF2B5EF4-FFF2-40B4-BE49-F238E27FC236}">
              <a16:creationId xmlns:a16="http://schemas.microsoft.com/office/drawing/2014/main" id="{5D5149F1-1B09-446E-A783-0F0AC9A0311E}"/>
            </a:ext>
          </a:extLst>
        </xdr:cNvPr>
        <xdr:cNvSpPr/>
      </xdr:nvSpPr>
      <xdr:spPr>
        <a:xfrm>
          <a:off x="1346728" y="3208072"/>
          <a:ext cx="3762376" cy="813594"/>
        </a:xfrm>
        <a:prstGeom prst="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t>DASHBOARD</a:t>
          </a:r>
          <a:endParaRPr lang="en-IN" sz="1100" b="1"/>
        </a:p>
      </xdr:txBody>
    </xdr:sp>
    <xdr:clientData/>
  </xdr:twoCellAnchor>
  <xdr:twoCellAnchor>
    <xdr:from>
      <xdr:col>8</xdr:col>
      <xdr:colOff>601931</xdr:colOff>
      <xdr:row>2</xdr:row>
      <xdr:rowOff>183715</xdr:rowOff>
    </xdr:from>
    <xdr:to>
      <xdr:col>18</xdr:col>
      <xdr:colOff>63373</xdr:colOff>
      <xdr:row>11</xdr:row>
      <xdr:rowOff>182127</xdr:rowOff>
    </xdr:to>
    <xdr:sp macro="" textlink="$BU$35">
      <xdr:nvSpPr>
        <xdr:cNvPr id="36" name="Rectangle 35">
          <a:extLst>
            <a:ext uri="{FF2B5EF4-FFF2-40B4-BE49-F238E27FC236}">
              <a16:creationId xmlns:a16="http://schemas.microsoft.com/office/drawing/2014/main" id="{5DB233F5-273E-48FE-8517-FCE775EA881B}"/>
            </a:ext>
          </a:extLst>
        </xdr:cNvPr>
        <xdr:cNvSpPr/>
      </xdr:nvSpPr>
      <xdr:spPr>
        <a:xfrm>
          <a:off x="5518060" y="552425"/>
          <a:ext cx="5606603" cy="1657605"/>
        </a:xfrm>
        <a:prstGeom prst="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4400" b="1" i="0" u="none" strike="noStrike">
              <a:solidFill>
                <a:schemeClr val="bg1"/>
              </a:solidFill>
              <a:latin typeface="Calibri"/>
              <a:ea typeface="Calibri"/>
              <a:cs typeface="Calibri"/>
            </a:rPr>
            <a:t>TOTAL SALES </a:t>
          </a:r>
          <a:br>
            <a:rPr lang="en-US" sz="4400" b="1" i="0" u="none" strike="noStrike">
              <a:solidFill>
                <a:schemeClr val="bg1"/>
              </a:solidFill>
              <a:latin typeface="Calibri"/>
              <a:ea typeface="Calibri"/>
              <a:cs typeface="Calibri"/>
            </a:rPr>
          </a:br>
          <a:fld id="{8D3F1630-682C-445B-A8B4-A10E5E42B9FB}" type="TxLink">
            <a:rPr lang="en-US" sz="4400" b="1" i="0" u="none" strike="noStrike">
              <a:solidFill>
                <a:schemeClr val="bg1"/>
              </a:solidFill>
              <a:latin typeface="Calibri"/>
              <a:ea typeface="Calibri"/>
              <a:cs typeface="Calibri"/>
            </a:rPr>
            <a:t>20224.9B</a:t>
          </a:fld>
          <a:endParaRPr lang="en-IN" sz="1600" b="1" i="0" u="none" strike="noStrike">
            <a:solidFill>
              <a:schemeClr val="bg1"/>
            </a:solidFill>
            <a:latin typeface="Calibri"/>
            <a:ea typeface="Calibri"/>
            <a:cs typeface="Calibri"/>
          </a:endParaRPr>
        </a:p>
      </xdr:txBody>
    </xdr:sp>
    <xdr:clientData/>
  </xdr:twoCellAnchor>
  <xdr:twoCellAnchor>
    <xdr:from>
      <xdr:col>18</xdr:col>
      <xdr:colOff>399436</xdr:colOff>
      <xdr:row>3</xdr:row>
      <xdr:rowOff>2046</xdr:rowOff>
    </xdr:from>
    <xdr:to>
      <xdr:col>26</xdr:col>
      <xdr:colOff>23045</xdr:colOff>
      <xdr:row>11</xdr:row>
      <xdr:rowOff>135071</xdr:rowOff>
    </xdr:to>
    <xdr:sp macro="" textlink="$BU$45">
      <xdr:nvSpPr>
        <xdr:cNvPr id="40" name="Rectangle 39">
          <a:extLst>
            <a:ext uri="{FF2B5EF4-FFF2-40B4-BE49-F238E27FC236}">
              <a16:creationId xmlns:a16="http://schemas.microsoft.com/office/drawing/2014/main" id="{7590C521-F0B9-4FC3-97EB-9C4648F6C8D9}"/>
            </a:ext>
          </a:extLst>
        </xdr:cNvPr>
        <xdr:cNvSpPr/>
      </xdr:nvSpPr>
      <xdr:spPr>
        <a:xfrm>
          <a:off x="11460726" y="555111"/>
          <a:ext cx="4539738" cy="1607863"/>
        </a:xfrm>
        <a:prstGeom prst="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4000" b="1" i="0" u="none" strike="noStrike">
              <a:solidFill>
                <a:schemeClr val="bg1"/>
              </a:solidFill>
              <a:latin typeface="Calibri"/>
              <a:ea typeface="Calibri"/>
              <a:cs typeface="Calibri"/>
            </a:rPr>
            <a:t>AVERAGE SALES </a:t>
          </a:r>
          <a:br>
            <a:rPr lang="en-US" sz="4000" b="1" i="0" u="none" strike="noStrike">
              <a:solidFill>
                <a:schemeClr val="bg1"/>
              </a:solidFill>
              <a:latin typeface="Calibri"/>
              <a:ea typeface="Calibri"/>
              <a:cs typeface="Calibri"/>
            </a:rPr>
          </a:br>
          <a:fld id="{7A1BC578-7496-4E38-AB2A-D206F106ED0F}" type="TxLink">
            <a:rPr lang="en-US" sz="4000" b="1" i="0" u="none" strike="noStrike">
              <a:solidFill>
                <a:schemeClr val="bg1"/>
              </a:solidFill>
              <a:latin typeface="Calibri"/>
              <a:ea typeface="Calibri"/>
              <a:cs typeface="Calibri"/>
            </a:rPr>
            <a:t>10.1B</a:t>
          </a:fld>
          <a:endParaRPr lang="en-IN" sz="11500" b="1" i="0" u="none" strike="noStrike">
            <a:solidFill>
              <a:schemeClr val="bg1"/>
            </a:solidFill>
            <a:latin typeface="Calibri"/>
            <a:ea typeface="Calibri"/>
            <a:cs typeface="Calibri"/>
          </a:endParaRPr>
        </a:p>
      </xdr:txBody>
    </xdr:sp>
    <xdr:clientData/>
  </xdr:twoCellAnchor>
  <xdr:twoCellAnchor editAs="oneCell">
    <xdr:from>
      <xdr:col>2</xdr:col>
      <xdr:colOff>88899</xdr:colOff>
      <xdr:row>19</xdr:row>
      <xdr:rowOff>61383</xdr:rowOff>
    </xdr:from>
    <xdr:to>
      <xdr:col>8</xdr:col>
      <xdr:colOff>306499</xdr:colOff>
      <xdr:row>32</xdr:row>
      <xdr:rowOff>109008</xdr:rowOff>
    </xdr:to>
    <mc:AlternateContent xmlns:mc="http://schemas.openxmlformats.org/markup-compatibility/2006" xmlns:a14="http://schemas.microsoft.com/office/drawing/2010/main">
      <mc:Choice Requires="a14">
        <xdr:graphicFrame macro="">
          <xdr:nvGraphicFramePr>
            <xdr:cNvPr id="41" name="year 1">
              <a:extLst>
                <a:ext uri="{FF2B5EF4-FFF2-40B4-BE49-F238E27FC236}">
                  <a16:creationId xmlns:a16="http://schemas.microsoft.com/office/drawing/2014/main" id="{EBA044EE-7AE9-433B-A1C7-EBD7E661189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16566" y="4188883"/>
              <a:ext cx="39006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141815</xdr:colOff>
      <xdr:row>37</xdr:row>
      <xdr:rowOff>61383</xdr:rowOff>
    </xdr:from>
    <xdr:to>
      <xdr:col>8</xdr:col>
      <xdr:colOff>317498</xdr:colOff>
      <xdr:row>60</xdr:row>
      <xdr:rowOff>42333</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6AB96481-4490-4886-98AB-39C6124AFFF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369482" y="7617883"/>
              <a:ext cx="3858683" cy="4362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695476</xdr:colOff>
      <xdr:row>2005</xdr:row>
      <xdr:rowOff>158751</xdr:rowOff>
    </xdr:from>
    <xdr:to>
      <xdr:col>4</xdr:col>
      <xdr:colOff>952501</xdr:colOff>
      <xdr:row>2008</xdr:row>
      <xdr:rowOff>136072</xdr:rowOff>
    </xdr:to>
    <xdr:sp macro="" textlink="$C$2004">
      <xdr:nvSpPr>
        <xdr:cNvPr id="2" name="Rectangle 1">
          <a:extLst>
            <a:ext uri="{FF2B5EF4-FFF2-40B4-BE49-F238E27FC236}">
              <a16:creationId xmlns:a16="http://schemas.microsoft.com/office/drawing/2014/main" id="{4587C385-2D76-4ECD-9C40-B7D35493400C}"/>
            </a:ext>
          </a:extLst>
        </xdr:cNvPr>
        <xdr:cNvSpPr/>
      </xdr:nvSpPr>
      <xdr:spPr>
        <a:xfrm>
          <a:off x="2623155" y="363930596"/>
          <a:ext cx="1784048" cy="529166"/>
        </a:xfrm>
        <a:prstGeom prst="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58956F9-952C-42EA-B5B9-F33F3FAA18AB}" type="TxLink">
            <a:rPr lang="en-US" sz="1100" b="0" i="0" u="none" strike="noStrike">
              <a:solidFill>
                <a:srgbClr val="000000"/>
              </a:solidFill>
              <a:latin typeface="Calibri"/>
              <a:ea typeface="Calibri"/>
              <a:cs typeface="Calibri"/>
            </a:rPr>
            <a:pPr algn="l"/>
            <a:t>2000</a:t>
          </a:fld>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9.497122569446" createdVersion="7" refreshedVersion="7" minRefreshableVersion="3" recordCount="2000" xr:uid="{00000000-000A-0000-FFFF-FFFF1F000000}">
  <cacheSource type="worksheet">
    <worksheetSource ref="A1:N2001" sheet="EV_INDUSTRY_DATA"/>
  </cacheSource>
  <cacheFields count="24">
    <cacheField name="brand" numFmtId="0">
      <sharedItems count="20">
        <s v="Volkswagen"/>
        <s v="Toyota"/>
        <s v="GM/Chevrolet"/>
        <s v="Kia"/>
        <s v="Tesla"/>
        <s v="Mercedes"/>
        <s v="Fisker"/>
        <s v="BYD"/>
        <s v="Hyundai"/>
        <s v="Ford"/>
        <s v="BMW"/>
        <s v="Audi"/>
        <s v="NIO"/>
        <s v="Rivian"/>
        <s v="Porsche"/>
        <s v="Volvo"/>
        <s v="Lucid"/>
        <s v="Honda"/>
        <s v="Xiaomi"/>
        <s v="Polestar"/>
      </sharedItems>
    </cacheField>
    <cacheField name="model" numFmtId="0">
      <sharedItems containsMixedTypes="1" containsNumber="1" containsInteger="1" minValue="2" maxValue="4"/>
    </cacheField>
    <cacheField name="year" numFmtId="0">
      <sharedItems containsSemiMixedTypes="0" containsString="0" containsNumber="1" containsInteger="1" minValue="2020" maxValue="2026" count="7">
        <n v="2023"/>
        <n v="2022"/>
        <n v="2024"/>
        <n v="2025"/>
        <n v="2021"/>
        <n v="2026"/>
        <n v="2020"/>
      </sharedItems>
    </cacheField>
    <cacheField name="variant" numFmtId="0">
      <sharedItems count="5">
        <s v="Performance"/>
        <s v="Premium"/>
        <s v="Long Range"/>
        <s v="Base"/>
        <s v="Standard"/>
      </sharedItems>
    </cacheField>
    <cacheField name="price_usd" numFmtId="0">
      <sharedItems containsSemiMixedTypes="0" containsString="0" containsNumber="1" minValue="16394.330000000002" maxValue="269775.2"/>
    </cacheField>
    <cacheField name="battery_capacity_kwh" numFmtId="0">
      <sharedItems containsSemiMixedTypes="0" containsString="0" containsNumber="1" minValue="40" maxValue="119.9"/>
    </cacheField>
    <cacheField name="range_miles" numFmtId="0">
      <sharedItems containsSemiMixedTypes="0" containsString="0" containsNumber="1" containsInteger="1" minValue="150" maxValue="447"/>
    </cacheField>
    <cacheField name="charging_speed_kw" numFmtId="0">
      <sharedItems containsSemiMixedTypes="0" containsString="0" containsNumber="1" minValue="50" maxValue="349.9"/>
    </cacheField>
    <cacheField name="acceleration_0_60_mph" numFmtId="0">
      <sharedItems containsSemiMixedTypes="0" containsString="0" containsNumber="1" minValue="2.5" maxValue="8"/>
    </cacheField>
    <cacheField name="top_speed_mph" numFmtId="0">
      <sharedItems containsSemiMixedTypes="0" containsString="0" containsNumber="1" containsInteger="1" minValue="118" maxValue="200"/>
    </cacheField>
    <cacheField name="horsepower" numFmtId="0">
      <sharedItems containsSemiMixedTypes="0" containsString="0" containsNumber="1" containsInteger="1" minValue="150" maxValue="1000"/>
    </cacheField>
    <cacheField name="torque_nm" numFmtId="0">
      <sharedItems containsSemiMixedTypes="0" containsString="0" containsNumber="1" containsInteger="1" minValue="200" maxValue="988"/>
    </cacheField>
    <cacheField name="drive_type" numFmtId="0">
      <sharedItems/>
    </cacheField>
    <cacheField name="seating_capacity" numFmtId="0">
      <sharedItems containsSemiMixedTypes="0" containsString="0" containsNumber="1" containsInteger="1" minValue="2" maxValue="7"/>
    </cacheField>
    <cacheField name="body_type" numFmtId="0">
      <sharedItems count="6">
        <s v="Truck"/>
        <s v="SUV"/>
        <s v="Van"/>
        <s v="Hatchback"/>
        <s v="Coupe"/>
        <s v="Sedan"/>
      </sharedItems>
    </cacheField>
    <cacheField name="cargo_volume_cubic_ft" numFmtId="0">
      <sharedItems containsSemiMixedTypes="0" containsString="0" containsNumber="1" minValue="15" maxValue="80"/>
    </cacheField>
    <cacheField name="weight_kg" numFmtId="0">
      <sharedItems containsSemiMixedTypes="0" containsString="0" containsNumber="1" containsInteger="1" minValue="1500" maxValue="3000"/>
    </cacheField>
    <cacheField name="safety_rating" numFmtId="0">
      <sharedItems containsSemiMixedTypes="0" containsString="0" containsNumber="1" containsInteger="1" minValue="3" maxValue="5" count="3">
        <n v="4"/>
        <n v="5"/>
        <n v="3"/>
      </sharedItems>
    </cacheField>
    <cacheField name="autopilot_level" numFmtId="0">
      <sharedItems containsSemiMixedTypes="0" containsString="0" containsNumber="1" containsInteger="1" minValue="0" maxValue="3"/>
    </cacheField>
    <cacheField name="country_of_origin" numFmtId="0">
      <sharedItems count="6">
        <s v="Germany"/>
        <s v="Japan"/>
        <s v="US"/>
        <s v="South Korea"/>
        <s v="China"/>
        <s v="Sweden"/>
      </sharedItems>
    </cacheField>
    <cacheField name="market_segment" numFmtId="0">
      <sharedItems count="4">
        <s v="Luxury"/>
        <s v="Mid-range"/>
        <s v="Premium"/>
        <s v="Budget"/>
      </sharedItems>
    </cacheField>
    <cacheField name="annual_sales_units" numFmtId="0">
      <sharedItems containsSemiMixedTypes="0" containsString="0" containsNumber="1" containsInteger="1" minValue="656" maxValue="499717"/>
    </cacheField>
    <cacheField name="customer_rating" numFmtId="0">
      <sharedItems containsSemiMixedTypes="0" containsString="0" containsNumber="1" minValue="3" maxValue="4.51"/>
    </cacheField>
    <cacheField name="warranty_years" numFmtId="0">
      <sharedItems containsSemiMixedTypes="0" containsString="0" containsNumber="1" containsInteger="1" minValue="3" maxValue="8"/>
    </cacheField>
  </cacheFields>
  <extLst>
    <ext xmlns:x14="http://schemas.microsoft.com/office/spreadsheetml/2009/9/main" uri="{725AE2AE-9491-48be-B2B4-4EB974FC3084}">
      <x14:pivotCacheDefinition pivotCacheId="8366553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9.929726388888" createdVersion="7" refreshedVersion="7" minRefreshableVersion="3" recordCount="2000" xr:uid="{23E8554B-1B13-426E-BC00-7B33F7793A25}">
  <cacheSource type="worksheet">
    <worksheetSource ref="A1:N2001" sheet="EV_INDUSTRY_DATA"/>
  </cacheSource>
  <cacheFields count="16">
    <cacheField name="brand" numFmtId="0">
      <sharedItems count="20">
        <s v="Toyota"/>
        <s v="Fisker"/>
        <s v="Tesla"/>
        <s v="BYD"/>
        <s v="Audi"/>
        <s v="Kia"/>
        <s v="Hyundai"/>
        <s v="Volkswagen"/>
        <s v="Ford"/>
        <s v="BMW"/>
        <s v="Polestar"/>
        <s v="Rivian"/>
        <s v="GM/Chevrolet"/>
        <s v="Mercedes"/>
        <s v="NIO"/>
        <s v="Porsche"/>
        <s v="Xiaomi"/>
        <s v="Volvo"/>
        <s v="Honda"/>
        <s v="Lucid"/>
      </sharedItems>
    </cacheField>
    <cacheField name="model" numFmtId="0">
      <sharedItems containsMixedTypes="1" containsNumber="1" containsInteger="1" minValue="2" maxValue="4"/>
    </cacheField>
    <cacheField name="year" numFmtId="0">
      <sharedItems containsSemiMixedTypes="0" containsString="0" containsNumber="1" containsInteger="1" minValue="2020" maxValue="2026" count="7">
        <n v="2020"/>
        <n v="2021"/>
        <n v="2022"/>
        <n v="2023"/>
        <n v="2024"/>
        <n v="2025"/>
        <n v="2026"/>
      </sharedItems>
    </cacheField>
    <cacheField name="variant" numFmtId="0">
      <sharedItems/>
    </cacheField>
    <cacheField name="price_usd" numFmtId="0">
      <sharedItems containsSemiMixedTypes="0" containsString="0" containsNumber="1" minValue="16394.330000000002" maxValue="269775.2"/>
    </cacheField>
    <cacheField name="battery_capacity_kwh" numFmtId="0">
      <sharedItems containsSemiMixedTypes="0" containsString="0" containsNumber="1" minValue="40" maxValue="119.9"/>
    </cacheField>
    <cacheField name="range_miles" numFmtId="0">
      <sharedItems containsSemiMixedTypes="0" containsString="0" containsNumber="1" containsInteger="1" minValue="150" maxValue="447"/>
    </cacheField>
    <cacheField name="top_speed_mph" numFmtId="0">
      <sharedItems containsSemiMixedTypes="0" containsString="0" containsNumber="1" containsInteger="1" minValue="118" maxValue="200"/>
    </cacheField>
    <cacheField name="body_type" numFmtId="0">
      <sharedItems/>
    </cacheField>
    <cacheField name="safety_rating" numFmtId="0">
      <sharedItems containsSemiMixedTypes="0" containsString="0" containsNumber="1" containsInteger="1" minValue="3" maxValue="5"/>
    </cacheField>
    <cacheField name="country_of_origin" numFmtId="0">
      <sharedItems/>
    </cacheField>
    <cacheField name="market_segment" numFmtId="0">
      <sharedItems/>
    </cacheField>
    <cacheField name="annual_sales_units" numFmtId="0">
      <sharedItems containsSemiMixedTypes="0" containsString="0" containsNumber="1" containsInteger="1" minValue="656" maxValue="499717"/>
    </cacheField>
    <cacheField name="customer_rating" numFmtId="0">
      <sharedItems containsSemiMixedTypes="0" containsString="0" containsNumber="1" minValue="3" maxValue="4.51"/>
    </cacheField>
    <cacheField name="warranty_years" numFmtId="0">
      <sharedItems containsSemiMixedTypes="0" containsString="0" containsNumber="1" containsInteger="1" minValue="3" maxValue="8"/>
    </cacheField>
    <cacheField name="total sales " numFmtId="43">
      <sharedItems containsSemiMixedTypes="0" containsString="0" containsNumber="1" minValue="25314411.060000002" maxValue="77561373501.360001"/>
    </cacheField>
  </cacheFields>
  <extLst>
    <ext xmlns:x14="http://schemas.microsoft.com/office/spreadsheetml/2009/9/main" uri="{725AE2AE-9491-48be-B2B4-4EB974FC3084}">
      <x14:pivotCacheDefinition pivotCacheId="90663239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9.932719328703" createdVersion="7" refreshedVersion="7" minRefreshableVersion="3" recordCount="2001" xr:uid="{9CFACA7C-7704-4C69-BB59-C23A3CCF80A3}">
  <cacheSource type="worksheet">
    <worksheetSource ref="A1:N2002" sheet="EV_INDUSTRY_DATA"/>
  </cacheSource>
  <cacheFields count="16">
    <cacheField name="brand" numFmtId="0">
      <sharedItems containsBlank="1" count="21">
        <s v="Toyota"/>
        <s v="Fisker"/>
        <s v="Tesla"/>
        <s v="BYD"/>
        <s v="Audi"/>
        <s v="Kia"/>
        <s v="Hyundai"/>
        <s v="Volkswagen"/>
        <s v="Ford"/>
        <s v="BMW"/>
        <s v="Polestar"/>
        <s v="Rivian"/>
        <s v="GM/Chevrolet"/>
        <s v="Mercedes"/>
        <s v="NIO"/>
        <s v="Porsche"/>
        <s v="Xiaomi"/>
        <s v="Volvo"/>
        <s v="Honda"/>
        <s v="Lucid"/>
        <m/>
      </sharedItems>
    </cacheField>
    <cacheField name="model" numFmtId="0">
      <sharedItems containsBlank="1" containsMixedTypes="1" containsNumber="1" containsInteger="1" minValue="2" maxValue="4" count="77">
        <s v="bZ Compact SUV"/>
        <s v="Ronin"/>
        <s v="Model S"/>
        <s v="Max"/>
        <s v="Q6 e-tron"/>
        <s v="Model Y"/>
        <s v="Atto 3"/>
        <s v="Niro EV"/>
        <s v="Dolphin"/>
        <s v="Ioniq 5"/>
        <s v="ID. Aero"/>
        <s v="Seagull"/>
        <s v="F-150 Lightning"/>
        <s v="Picanto EV"/>
        <s v="Qin"/>
        <s v="Sportage EV"/>
        <s v="i5"/>
        <s v="Model 3"/>
        <n v="2"/>
        <s v="i7"/>
        <s v="Ioniq"/>
        <s v="E-Transit"/>
        <s v="EV9"/>
        <s v="EV6"/>
        <s v="ID.4"/>
        <s v="R2"/>
        <s v="R1T"/>
        <s v="ID.3"/>
        <s v="ID. Buzz"/>
        <s v="Silverado EV"/>
        <s v="R3"/>
        <s v="Cybertruck"/>
        <s v="e-tron GT"/>
        <s v="EQE"/>
        <s v="Explorer EV"/>
        <s v="Model X"/>
        <s v="Bolt EUV"/>
        <s v="Leaf 50X"/>
        <s v="iX"/>
        <s v="i3"/>
        <s v="e-tron"/>
        <s v="EL8"/>
        <s v="Yuan Plus"/>
        <s v="Macan Electric"/>
        <s v="ID.5"/>
        <s v="Bolt EV"/>
        <s v="Equinox EV"/>
        <s v="bZ4X"/>
        <s v="GLE EV"/>
        <s v="SU7"/>
        <s v="Kona Electric"/>
        <s v="Ocean"/>
        <s v="Blazer EV"/>
        <s v="i30"/>
        <s v="EL6"/>
        <s v="i4"/>
        <s v="R1S"/>
        <s v="EQG"/>
        <s v="XC90 Recharge"/>
        <s v="EQC"/>
        <s v="Mustang Mach-E"/>
        <s v="Q4 e-tron"/>
        <s v="e"/>
        <s v="Ioniq 6"/>
        <s v="EQS"/>
        <s v="C40 Recharge"/>
        <s v="EC6"/>
        <s v="Taycan"/>
        <s v="ET5"/>
        <n v="4"/>
        <n v="3"/>
        <s v="Air"/>
        <s v="ET6"/>
        <s v="XC40 Recharge"/>
        <s v="Gravity"/>
        <s v="e:Ny1"/>
        <m/>
      </sharedItems>
    </cacheField>
    <cacheField name="year" numFmtId="0">
      <sharedItems containsString="0" containsBlank="1" containsNumber="1" containsInteger="1" minValue="2020" maxValue="2026"/>
    </cacheField>
    <cacheField name="variant" numFmtId="0">
      <sharedItems containsBlank="1" count="6">
        <s v="Long Range"/>
        <s v="Performance"/>
        <s v="Base"/>
        <s v="Standard"/>
        <s v="Premium"/>
        <m/>
      </sharedItems>
    </cacheField>
    <cacheField name="price_usd" numFmtId="0">
      <sharedItems containsString="0" containsBlank="1" containsNumber="1" minValue="16394.330000000002" maxValue="269775.2"/>
    </cacheField>
    <cacheField name="battery_capacity_kwh" numFmtId="0">
      <sharedItems containsString="0" containsBlank="1" containsNumber="1" minValue="40" maxValue="119.9"/>
    </cacheField>
    <cacheField name="range_miles" numFmtId="0">
      <sharedItems containsString="0" containsBlank="1" containsNumber="1" containsInteger="1" minValue="150" maxValue="447"/>
    </cacheField>
    <cacheField name="top_speed_mph" numFmtId="0">
      <sharedItems containsString="0" containsBlank="1" containsNumber="1" containsInteger="1" minValue="118" maxValue="200"/>
    </cacheField>
    <cacheField name="body_type" numFmtId="0">
      <sharedItems containsBlank="1"/>
    </cacheField>
    <cacheField name="safety_rating" numFmtId="0">
      <sharedItems containsString="0" containsBlank="1" containsNumber="1" containsInteger="1" minValue="3" maxValue="5"/>
    </cacheField>
    <cacheField name="country_of_origin" numFmtId="0">
      <sharedItems containsBlank="1" count="7">
        <s v="Japan"/>
        <s v="US"/>
        <s v="China"/>
        <s v="Germany"/>
        <s v="South Korea"/>
        <s v="Sweden"/>
        <m/>
      </sharedItems>
    </cacheField>
    <cacheField name="market_segment" numFmtId="0">
      <sharedItems containsBlank="1" count="5">
        <s v="Premium"/>
        <s v="Luxury"/>
        <s v="Mid-range"/>
        <s v="Budget"/>
        <m/>
      </sharedItems>
    </cacheField>
    <cacheField name="annual_sales_units" numFmtId="0">
      <sharedItems containsString="0" containsBlank="1" containsNumber="1" containsInteger="1" minValue="656" maxValue="499717"/>
    </cacheField>
    <cacheField name="customer_rating" numFmtId="0">
      <sharedItems containsString="0" containsBlank="1" containsNumber="1" minValue="3" maxValue="4.51"/>
    </cacheField>
    <cacheField name="warranty_years" numFmtId="0">
      <sharedItems containsString="0" containsBlank="1" containsNumber="1" containsInteger="1" minValue="3" maxValue="8"/>
    </cacheField>
    <cacheField name="total sales " numFmtId="43">
      <sharedItems containsSemiMixedTypes="0" containsString="0" containsNumber="1" minValue="25314411.060000002" maxValue="20224928609589.87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0.586912615741" createdVersion="7" refreshedVersion="7" minRefreshableVersion="3" recordCount="2001" xr:uid="{0B934B78-8BB9-4C6A-8204-02427600D355}">
  <cacheSource type="worksheet">
    <worksheetSource ref="A1:N2002" sheet="EV_INDUSTRY_DATA"/>
  </cacheSource>
  <cacheFields count="14">
    <cacheField name="brand" numFmtId="0">
      <sharedItems containsBlank="1" count="21">
        <s v="Toyota"/>
        <s v="Fisker"/>
        <s v="Tesla"/>
        <s v="BYD"/>
        <s v="Audi"/>
        <s v="Kia"/>
        <s v="Hyundai"/>
        <s v="Volkswagen"/>
        <s v="Ford"/>
        <s v="BMW"/>
        <s v="Polestar"/>
        <s v="Rivian"/>
        <s v="GM/Chevrolet"/>
        <s v="Mercedes"/>
        <s v="NIO"/>
        <s v="Porsche"/>
        <s v="Xiaomi"/>
        <s v="Volvo"/>
        <s v="Honda"/>
        <s v="Lucid"/>
        <m/>
      </sharedItems>
    </cacheField>
    <cacheField name="model" numFmtId="0">
      <sharedItems containsBlank="1" containsMixedTypes="1" containsNumber="1" containsInteger="1" minValue="2" maxValue="4"/>
    </cacheField>
    <cacheField name="year" numFmtId="0">
      <sharedItems containsString="0" containsBlank="1" containsNumber="1" containsInteger="1" minValue="2020" maxValue="2026" count="8">
        <n v="2020"/>
        <n v="2021"/>
        <n v="2022"/>
        <n v="2023"/>
        <n v="2024"/>
        <n v="2025"/>
        <n v="2026"/>
        <m/>
      </sharedItems>
    </cacheField>
    <cacheField name="variant" numFmtId="0">
      <sharedItems containsBlank="1" count="6">
        <s v="Long Range"/>
        <s v="Performance"/>
        <s v="Base"/>
        <s v="Standard"/>
        <s v="Premium"/>
        <m/>
      </sharedItems>
    </cacheField>
    <cacheField name="price_usd" numFmtId="0">
      <sharedItems containsString="0" containsBlank="1" containsNumber="1" minValue="16394.330000000002" maxValue="269775.2"/>
    </cacheField>
    <cacheField name="battery_capacity_kwh" numFmtId="0">
      <sharedItems containsString="0" containsBlank="1" containsNumber="1" minValue="40" maxValue="119.9"/>
    </cacheField>
    <cacheField name="range_miles" numFmtId="0">
      <sharedItems containsString="0" containsBlank="1" containsNumber="1" containsInteger="1" minValue="150" maxValue="447"/>
    </cacheField>
    <cacheField name="top_speed_mph" numFmtId="0">
      <sharedItems containsString="0" containsBlank="1" containsNumber="1" containsInteger="1" minValue="118" maxValue="200"/>
    </cacheField>
    <cacheField name="body_type" numFmtId="0">
      <sharedItems containsBlank="1"/>
    </cacheField>
    <cacheField name="safety_rating" numFmtId="0">
      <sharedItems containsString="0" containsBlank="1" containsNumber="1" containsInteger="1" minValue="3" maxValue="5"/>
    </cacheField>
    <cacheField name="market_segment" numFmtId="0">
      <sharedItems containsBlank="1"/>
    </cacheField>
    <cacheField name="annual_sales_units" numFmtId="0">
      <sharedItems containsBlank="1" containsMixedTypes="1" containsNumber="1" containsInteger="1" minValue="656" maxValue="499717"/>
    </cacheField>
    <cacheField name="customer_rating" numFmtId="0">
      <sharedItems containsString="0" containsBlank="1" containsNumber="1" minValue="3" maxValue="467122"/>
    </cacheField>
    <cacheField name="total sales " numFmtId="0">
      <sharedItems containsString="0" containsBlank="1" containsNumber="1" minValue="3.21" maxValue="77561373501.360001"/>
    </cacheField>
  </cacheFields>
  <extLst>
    <ext xmlns:x14="http://schemas.microsoft.com/office/spreadsheetml/2009/9/main" uri="{725AE2AE-9491-48be-B2B4-4EB974FC3084}">
      <x14:pivotCacheDefinition pivotCacheId="61242739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1.008414814816" createdVersion="7" refreshedVersion="7" minRefreshableVersion="3" recordCount="2000" xr:uid="{0A282BD4-010B-4FFE-9A8D-15428877C15F}">
  <cacheSource type="worksheet">
    <worksheetSource name="Table1"/>
  </cacheSource>
  <cacheFields count="14">
    <cacheField name="brand" numFmtId="0">
      <sharedItems count="20">
        <s v="Toyota"/>
        <s v="Fisker"/>
        <s v="Tesla"/>
        <s v="BYD"/>
        <s v="Audi"/>
        <s v="Kia"/>
        <s v="Hyundai"/>
        <s v="Volkswagen"/>
        <s v="Ford"/>
        <s v="BMW"/>
        <s v="Polestar"/>
        <s v="Rivian"/>
        <s v="GM/Chevrolet"/>
        <s v="Mercedes"/>
        <s v="NIO"/>
        <s v="Porsche"/>
        <s v="Xiaomi"/>
        <s v="Volvo"/>
        <s v="Honda"/>
        <s v="Lucid"/>
      </sharedItems>
    </cacheField>
    <cacheField name="model" numFmtId="0">
      <sharedItems/>
    </cacheField>
    <cacheField name="year" numFmtId="0">
      <sharedItems containsSemiMixedTypes="0" containsString="0" containsNumber="1" containsInteger="1" minValue="2020" maxValue="2026"/>
    </cacheField>
    <cacheField name="variant" numFmtId="0">
      <sharedItems count="5">
        <s v="Long Range"/>
        <s v="Performance"/>
        <s v="Base"/>
        <s v="Standard"/>
        <s v="Premium"/>
      </sharedItems>
    </cacheField>
    <cacheField name="price_usd" numFmtId="0">
      <sharedItems containsSemiMixedTypes="0" containsString="0" containsNumber="1" minValue="16394.330000000002" maxValue="269775.2"/>
    </cacheField>
    <cacheField name="battery_capacity_kwh" numFmtId="0">
      <sharedItems containsSemiMixedTypes="0" containsString="0" containsNumber="1" minValue="40" maxValue="119.9"/>
    </cacheField>
    <cacheField name="range_miles" numFmtId="0">
      <sharedItems containsSemiMixedTypes="0" containsString="0" containsNumber="1" containsInteger="1" minValue="150" maxValue="447"/>
    </cacheField>
    <cacheField name="top_speed_mph" numFmtId="0">
      <sharedItems containsSemiMixedTypes="0" containsString="0" containsNumber="1" containsInteger="1" minValue="118" maxValue="200"/>
    </cacheField>
    <cacheField name="body_type" numFmtId="0">
      <sharedItems/>
    </cacheField>
    <cacheField name="safety_rating" numFmtId="0">
      <sharedItems containsSemiMixedTypes="0" containsString="0" containsNumber="1" containsInteger="1" minValue="3" maxValue="5"/>
    </cacheField>
    <cacheField name="market_segment" numFmtId="0">
      <sharedItems count="8">
        <s v="Premium"/>
        <s v="Luxury"/>
        <s v="Mid-range"/>
        <s v="Budget"/>
        <s v="China"/>
        <s v="US"/>
        <s v="South Korea"/>
        <s v="Germany"/>
      </sharedItems>
    </cacheField>
    <cacheField name="annual_sales_units" numFmtId="0">
      <sharedItems containsMixedTypes="1" containsNumber="1" containsInteger="1" minValue="656" maxValue="499717"/>
    </cacheField>
    <cacheField name="customer_rating" numFmtId="0">
      <sharedItems containsSemiMixedTypes="0" containsString="0" containsNumber="1" minValue="3" maxValue="467122"/>
    </cacheField>
    <cacheField name="total sales " numFmtId="0">
      <sharedItems containsSemiMixedTypes="0" containsString="0" containsNumber="1" minValue="3.21" maxValue="77561373501.36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00">
  <r>
    <x v="0"/>
    <s v="ID. Buzz"/>
    <x v="0"/>
    <x v="0"/>
    <n v="104880.8"/>
    <n v="118.7"/>
    <n v="400"/>
    <n v="234.5"/>
    <n v="3.04"/>
    <n v="195"/>
    <n v="1000"/>
    <n v="895"/>
    <s v="AWD"/>
    <n v="7"/>
    <x v="0"/>
    <n v="54.2"/>
    <n v="2015"/>
    <x v="0"/>
    <n v="2"/>
    <x v="0"/>
    <x v="0"/>
    <n v="202182"/>
    <n v="4"/>
    <n v="4"/>
  </r>
  <r>
    <x v="1"/>
    <s v="bZ Compact SUV"/>
    <x v="1"/>
    <x v="1"/>
    <n v="48217.41"/>
    <n v="58.8"/>
    <n v="219"/>
    <n v="148.1"/>
    <n v="5.77"/>
    <n v="159"/>
    <n v="381"/>
    <n v="360"/>
    <s v="FWD"/>
    <n v="5"/>
    <x v="1"/>
    <n v="69"/>
    <n v="1709"/>
    <x v="0"/>
    <n v="0"/>
    <x v="1"/>
    <x v="1"/>
    <n v="7146"/>
    <n v="3.56"/>
    <n v="3"/>
  </r>
  <r>
    <x v="2"/>
    <s v="Bolt EV"/>
    <x v="2"/>
    <x v="1"/>
    <n v="49651.12"/>
    <n v="58.2"/>
    <n v="225"/>
    <n v="104.9"/>
    <n v="6.84"/>
    <n v="148"/>
    <n v="588"/>
    <n v="516"/>
    <s v="AWD"/>
    <n v="5"/>
    <x v="2"/>
    <n v="77"/>
    <n v="1533"/>
    <x v="0"/>
    <n v="1"/>
    <x v="2"/>
    <x v="1"/>
    <n v="16590"/>
    <n v="3.7"/>
    <n v="3"/>
  </r>
  <r>
    <x v="3"/>
    <s v="Sportage EV"/>
    <x v="2"/>
    <x v="2"/>
    <n v="38131.56"/>
    <n v="102.5"/>
    <n v="349"/>
    <n v="66.5"/>
    <n v="4.66"/>
    <n v="176"/>
    <n v="310"/>
    <n v="327"/>
    <s v="AWD"/>
    <n v="7"/>
    <x v="1"/>
    <n v="65.8"/>
    <n v="1935"/>
    <x v="0"/>
    <n v="2"/>
    <x v="3"/>
    <x v="1"/>
    <n v="127201"/>
    <n v="3.81"/>
    <n v="3"/>
  </r>
  <r>
    <x v="4"/>
    <s v="Model 3"/>
    <x v="1"/>
    <x v="2"/>
    <n v="144079.87"/>
    <n v="93.9"/>
    <n v="314"/>
    <n v="298.5"/>
    <n v="5.64"/>
    <n v="165"/>
    <n v="1000"/>
    <n v="883"/>
    <s v="RWD"/>
    <n v="5"/>
    <x v="1"/>
    <n v="38.299999999999997"/>
    <n v="2229"/>
    <x v="0"/>
    <n v="2"/>
    <x v="2"/>
    <x v="0"/>
    <n v="196401"/>
    <n v="3.83"/>
    <n v="4"/>
  </r>
  <r>
    <x v="4"/>
    <s v="Model Y"/>
    <x v="0"/>
    <x v="0"/>
    <n v="119590.27"/>
    <n v="78.3"/>
    <n v="251"/>
    <n v="334.6"/>
    <n v="2.84"/>
    <n v="200"/>
    <n v="947"/>
    <n v="858"/>
    <s v="AWD"/>
    <n v="5"/>
    <x v="3"/>
    <n v="35.5"/>
    <n v="1751"/>
    <x v="1"/>
    <n v="3"/>
    <x v="2"/>
    <x v="0"/>
    <n v="411764"/>
    <n v="3.67"/>
    <n v="5"/>
  </r>
  <r>
    <x v="4"/>
    <s v="Model 3"/>
    <x v="2"/>
    <x v="1"/>
    <n v="128427.66"/>
    <n v="68.599999999999994"/>
    <n v="222"/>
    <n v="201.9"/>
    <n v="6.68"/>
    <n v="149"/>
    <n v="992"/>
    <n v="899"/>
    <s v="RWD"/>
    <n v="5"/>
    <x v="4"/>
    <n v="39.299999999999997"/>
    <n v="1500"/>
    <x v="1"/>
    <n v="2"/>
    <x v="2"/>
    <x v="0"/>
    <n v="213937"/>
    <n v="3.54"/>
    <n v="6"/>
  </r>
  <r>
    <x v="5"/>
    <s v="EQS"/>
    <x v="3"/>
    <x v="0"/>
    <n v="131074.23000000001"/>
    <n v="82.7"/>
    <n v="292"/>
    <n v="202.5"/>
    <n v="2.99"/>
    <n v="200"/>
    <n v="764"/>
    <n v="737"/>
    <s v="RWD"/>
    <n v="7"/>
    <x v="1"/>
    <n v="61.2"/>
    <n v="2219"/>
    <x v="0"/>
    <n v="2"/>
    <x v="0"/>
    <x v="0"/>
    <n v="48277"/>
    <n v="4.1100000000000003"/>
    <n v="8"/>
  </r>
  <r>
    <x v="3"/>
    <s v="Niro EV"/>
    <x v="4"/>
    <x v="1"/>
    <n v="80530.570000000007"/>
    <n v="54.6"/>
    <n v="184"/>
    <n v="67.5"/>
    <n v="7.57"/>
    <n v="137"/>
    <n v="976"/>
    <n v="864"/>
    <s v="AWD"/>
    <n v="7"/>
    <x v="3"/>
    <n v="36.700000000000003"/>
    <n v="1511"/>
    <x v="2"/>
    <n v="1"/>
    <x v="3"/>
    <x v="2"/>
    <n v="90830"/>
    <n v="3.11"/>
    <n v="4"/>
  </r>
  <r>
    <x v="2"/>
    <s v="Blazer EV"/>
    <x v="3"/>
    <x v="3"/>
    <n v="56944.53"/>
    <n v="69.900000000000006"/>
    <n v="251"/>
    <n v="117.1"/>
    <n v="6.68"/>
    <n v="149"/>
    <n v="703"/>
    <n v="604"/>
    <s v="FWD"/>
    <n v="7"/>
    <x v="2"/>
    <n v="67.599999999999994"/>
    <n v="1520"/>
    <x v="1"/>
    <n v="2"/>
    <x v="2"/>
    <x v="1"/>
    <n v="8761"/>
    <n v="3.46"/>
    <n v="5"/>
  </r>
  <r>
    <x v="4"/>
    <s v="Model S"/>
    <x v="5"/>
    <x v="2"/>
    <n v="134165.81"/>
    <n v="103.2"/>
    <n v="347"/>
    <n v="324.39999999999998"/>
    <n v="4.5599999999999996"/>
    <n v="187"/>
    <n v="993"/>
    <n v="949"/>
    <s v="AWD"/>
    <n v="5"/>
    <x v="5"/>
    <n v="26.7"/>
    <n v="1720"/>
    <x v="0"/>
    <n v="2"/>
    <x v="2"/>
    <x v="0"/>
    <n v="211478"/>
    <n v="3.78"/>
    <n v="4"/>
  </r>
  <r>
    <x v="6"/>
    <s v="Ronin"/>
    <x v="3"/>
    <x v="4"/>
    <n v="88914.19"/>
    <n v="66.7"/>
    <n v="232"/>
    <n v="129.5"/>
    <n v="5.0999999999999996"/>
    <n v="173"/>
    <n v="727"/>
    <n v="689"/>
    <s v="AWD"/>
    <n v="7"/>
    <x v="0"/>
    <n v="64.7"/>
    <n v="2536"/>
    <x v="2"/>
    <n v="2"/>
    <x v="2"/>
    <x v="2"/>
    <n v="2408"/>
    <n v="3.67"/>
    <n v="5"/>
  </r>
  <r>
    <x v="5"/>
    <s v="EQG"/>
    <x v="3"/>
    <x v="0"/>
    <n v="210811.92"/>
    <n v="93.2"/>
    <n v="320"/>
    <n v="166.5"/>
    <n v="2.84"/>
    <n v="200"/>
    <n v="1000"/>
    <n v="919"/>
    <s v="RWD"/>
    <n v="7"/>
    <x v="3"/>
    <n v="17.600000000000001"/>
    <n v="1562"/>
    <x v="1"/>
    <n v="2"/>
    <x v="0"/>
    <x v="0"/>
    <n v="56039"/>
    <n v="3.59"/>
    <n v="7"/>
  </r>
  <r>
    <x v="7"/>
    <s v="Seagull"/>
    <x v="0"/>
    <x v="3"/>
    <n v="16394.330000000002"/>
    <n v="41.8"/>
    <n v="158"/>
    <n v="73.900000000000006"/>
    <n v="6.41"/>
    <n v="155"/>
    <n v="150"/>
    <n v="200"/>
    <s v="FWD"/>
    <n v="5"/>
    <x v="4"/>
    <n v="26.9"/>
    <n v="1744"/>
    <x v="1"/>
    <n v="0"/>
    <x v="4"/>
    <x v="3"/>
    <n v="224997"/>
    <n v="3.58"/>
    <n v="5"/>
  </r>
  <r>
    <x v="4"/>
    <s v="Model 3"/>
    <x v="2"/>
    <x v="1"/>
    <n v="95912.83"/>
    <n v="49.8"/>
    <n v="167"/>
    <n v="241.7"/>
    <n v="7.45"/>
    <n v="138"/>
    <n v="716"/>
    <n v="627"/>
    <s v="FWD"/>
    <n v="7"/>
    <x v="5"/>
    <n v="15.7"/>
    <n v="1556"/>
    <x v="0"/>
    <n v="3"/>
    <x v="2"/>
    <x v="2"/>
    <n v="124780"/>
    <n v="3.56"/>
    <n v="5"/>
  </r>
  <r>
    <x v="4"/>
    <s v="Model S"/>
    <x v="2"/>
    <x v="1"/>
    <n v="134964.13"/>
    <n v="67.400000000000006"/>
    <n v="250"/>
    <n v="343.3"/>
    <n v="7.46"/>
    <n v="135"/>
    <n v="992"/>
    <n v="875"/>
    <s v="RWD"/>
    <n v="5"/>
    <x v="2"/>
    <n v="76"/>
    <n v="1500"/>
    <x v="1"/>
    <n v="2"/>
    <x v="2"/>
    <x v="0"/>
    <n v="235048"/>
    <n v="3.81"/>
    <n v="5"/>
  </r>
  <r>
    <x v="7"/>
    <s v="Atto 3"/>
    <x v="2"/>
    <x v="4"/>
    <n v="64427.02"/>
    <n v="70.5"/>
    <n v="265"/>
    <n v="51"/>
    <n v="6.91"/>
    <n v="138"/>
    <n v="711"/>
    <n v="662"/>
    <s v="RWD"/>
    <n v="7"/>
    <x v="0"/>
    <n v="72.2"/>
    <n v="2756"/>
    <x v="1"/>
    <n v="1"/>
    <x v="4"/>
    <x v="1"/>
    <n v="204232"/>
    <n v="3.52"/>
    <n v="4"/>
  </r>
  <r>
    <x v="8"/>
    <s v="Kona Electric"/>
    <x v="2"/>
    <x v="1"/>
    <n v="63139.95"/>
    <n v="81"/>
    <n v="275"/>
    <n v="96.7"/>
    <n v="7.45"/>
    <n v="141"/>
    <n v="743"/>
    <n v="649"/>
    <s v="RWD"/>
    <n v="5"/>
    <x v="4"/>
    <n v="21.9"/>
    <n v="1750"/>
    <x v="0"/>
    <n v="1"/>
    <x v="3"/>
    <x v="1"/>
    <n v="132242"/>
    <n v="3.43"/>
    <n v="5"/>
  </r>
  <r>
    <x v="0"/>
    <s v="ID.4"/>
    <x v="2"/>
    <x v="2"/>
    <n v="77030"/>
    <n v="88"/>
    <n v="332"/>
    <n v="118.8"/>
    <n v="4.75"/>
    <n v="183"/>
    <n v="826"/>
    <n v="707"/>
    <s v="AWD"/>
    <n v="7"/>
    <x v="5"/>
    <n v="38.700000000000003"/>
    <n v="1634"/>
    <x v="0"/>
    <n v="0"/>
    <x v="0"/>
    <x v="2"/>
    <n v="238587"/>
    <n v="3.37"/>
    <n v="4"/>
  </r>
  <r>
    <x v="7"/>
    <s v="Atto 3"/>
    <x v="2"/>
    <x v="1"/>
    <n v="72336.67"/>
    <n v="77.900000000000006"/>
    <n v="295"/>
    <n v="60.5"/>
    <n v="5.5"/>
    <n v="178"/>
    <n v="800"/>
    <n v="732"/>
    <s v="AWD"/>
    <n v="5"/>
    <x v="2"/>
    <n v="60.6"/>
    <n v="1500"/>
    <x v="2"/>
    <n v="1"/>
    <x v="4"/>
    <x v="2"/>
    <n v="168778"/>
    <n v="3.53"/>
    <n v="3"/>
  </r>
  <r>
    <x v="3"/>
    <s v="Picanto EV"/>
    <x v="3"/>
    <x v="1"/>
    <n v="106848.2"/>
    <n v="54.1"/>
    <n v="193"/>
    <n v="132.69999999999999"/>
    <n v="7.95"/>
    <n v="135"/>
    <n v="1000"/>
    <n v="855"/>
    <s v="AWD"/>
    <n v="5"/>
    <x v="4"/>
    <n v="26.9"/>
    <n v="1500"/>
    <x v="0"/>
    <n v="1"/>
    <x v="3"/>
    <x v="0"/>
    <n v="85618"/>
    <n v="3.33"/>
    <n v="5"/>
  </r>
  <r>
    <x v="4"/>
    <s v="Cybertruck"/>
    <x v="0"/>
    <x v="3"/>
    <n v="70531.960000000006"/>
    <n v="70.5"/>
    <n v="256"/>
    <n v="281.7"/>
    <n v="5.5"/>
    <n v="165"/>
    <n v="507"/>
    <n v="445"/>
    <s v="AWD"/>
    <n v="7"/>
    <x v="0"/>
    <n v="72"/>
    <n v="2290"/>
    <x v="1"/>
    <n v="2"/>
    <x v="2"/>
    <x v="2"/>
    <n v="209622"/>
    <n v="3.6"/>
    <n v="4"/>
  </r>
  <r>
    <x v="7"/>
    <s v="Yuan Plus"/>
    <x v="2"/>
    <x v="0"/>
    <n v="114839.62"/>
    <n v="76.599999999999994"/>
    <n v="293"/>
    <n v="185.3"/>
    <n v="3.42"/>
    <n v="200"/>
    <n v="1000"/>
    <n v="902"/>
    <s v="RWD"/>
    <n v="5"/>
    <x v="1"/>
    <n v="68"/>
    <n v="1978"/>
    <x v="1"/>
    <n v="0"/>
    <x v="4"/>
    <x v="0"/>
    <n v="229532"/>
    <n v="3.41"/>
    <n v="4"/>
  </r>
  <r>
    <x v="0"/>
    <s v="ID.5"/>
    <x v="2"/>
    <x v="2"/>
    <n v="51142.17"/>
    <n v="101.7"/>
    <n v="359"/>
    <n v="99.2"/>
    <n v="5.15"/>
    <n v="161"/>
    <n v="493"/>
    <n v="434"/>
    <s v="RWD"/>
    <n v="5"/>
    <x v="4"/>
    <n v="26.9"/>
    <n v="1500"/>
    <x v="0"/>
    <n v="0"/>
    <x v="0"/>
    <x v="1"/>
    <n v="203079"/>
    <n v="3.64"/>
    <n v="5"/>
  </r>
  <r>
    <x v="0"/>
    <s v="ID. Aero"/>
    <x v="5"/>
    <x v="4"/>
    <n v="59824.88"/>
    <n v="70.900000000000006"/>
    <n v="263"/>
    <n v="63.4"/>
    <n v="5.9"/>
    <n v="167"/>
    <n v="618"/>
    <n v="540"/>
    <s v="AWD"/>
    <n v="5"/>
    <x v="5"/>
    <n v="34.799999999999997"/>
    <n v="1781"/>
    <x v="2"/>
    <n v="0"/>
    <x v="0"/>
    <x v="1"/>
    <n v="293709"/>
    <n v="3.28"/>
    <n v="5"/>
  </r>
  <r>
    <x v="9"/>
    <s v="Mustang Mach-E"/>
    <x v="3"/>
    <x v="0"/>
    <n v="96527.54"/>
    <n v="75.2"/>
    <n v="286"/>
    <n v="178"/>
    <n v="3.87"/>
    <n v="188"/>
    <n v="1000"/>
    <n v="924"/>
    <s v="FWD"/>
    <n v="7"/>
    <x v="4"/>
    <n v="38.9"/>
    <n v="1500"/>
    <x v="2"/>
    <n v="1"/>
    <x v="2"/>
    <x v="2"/>
    <n v="67670"/>
    <n v="3.6"/>
    <n v="4"/>
  </r>
  <r>
    <x v="4"/>
    <s v="Model X"/>
    <x v="0"/>
    <x v="4"/>
    <n v="67772.81"/>
    <n v="53.3"/>
    <n v="175"/>
    <n v="320.5"/>
    <n v="7.79"/>
    <n v="128"/>
    <n v="501"/>
    <n v="445"/>
    <s v="FWD"/>
    <n v="5"/>
    <x v="5"/>
    <n v="28.7"/>
    <n v="1539"/>
    <x v="1"/>
    <n v="2"/>
    <x v="2"/>
    <x v="2"/>
    <n v="207968"/>
    <n v="3.36"/>
    <n v="6"/>
  </r>
  <r>
    <x v="8"/>
    <s v="Ioniq 6"/>
    <x v="3"/>
    <x v="0"/>
    <n v="86045.75"/>
    <n v="96.3"/>
    <n v="314"/>
    <n v="180.3"/>
    <n v="3.08"/>
    <n v="200"/>
    <n v="1000"/>
    <n v="905"/>
    <s v="RWD"/>
    <n v="7"/>
    <x v="3"/>
    <n v="27.4"/>
    <n v="1500"/>
    <x v="1"/>
    <n v="0"/>
    <x v="3"/>
    <x v="2"/>
    <n v="124864"/>
    <n v="3.57"/>
    <n v="4"/>
  </r>
  <r>
    <x v="3"/>
    <s v="EV9"/>
    <x v="2"/>
    <x v="4"/>
    <n v="66876.75"/>
    <n v="66.7"/>
    <n v="236"/>
    <n v="96.7"/>
    <n v="6.02"/>
    <n v="164"/>
    <n v="754"/>
    <n v="647"/>
    <s v="RWD"/>
    <n v="5"/>
    <x v="1"/>
    <n v="66.8"/>
    <n v="1980"/>
    <x v="0"/>
    <n v="2"/>
    <x v="3"/>
    <x v="2"/>
    <n v="117514"/>
    <n v="3.53"/>
    <n v="3"/>
  </r>
  <r>
    <x v="4"/>
    <s v="Model Y"/>
    <x v="3"/>
    <x v="0"/>
    <n v="135780.6"/>
    <n v="105.2"/>
    <n v="383"/>
    <n v="344.9"/>
    <n v="4.0199999999999996"/>
    <n v="196"/>
    <n v="997"/>
    <n v="903"/>
    <s v="AWD"/>
    <n v="5"/>
    <x v="0"/>
    <n v="69"/>
    <n v="2015"/>
    <x v="1"/>
    <n v="2"/>
    <x v="2"/>
    <x v="0"/>
    <n v="411097"/>
    <n v="4.12"/>
    <n v="5"/>
  </r>
  <r>
    <x v="3"/>
    <s v="Niro EV"/>
    <x v="2"/>
    <x v="0"/>
    <n v="105946.66"/>
    <n v="79.3"/>
    <n v="245"/>
    <n v="222"/>
    <n v="3.24"/>
    <n v="200"/>
    <n v="1000"/>
    <n v="919"/>
    <s v="RWD"/>
    <n v="7"/>
    <x v="4"/>
    <n v="15.9"/>
    <n v="1701"/>
    <x v="0"/>
    <n v="1"/>
    <x v="3"/>
    <x v="0"/>
    <n v="147459"/>
    <n v="3.43"/>
    <n v="3"/>
  </r>
  <r>
    <x v="4"/>
    <s v="Model X"/>
    <x v="3"/>
    <x v="3"/>
    <n v="110771.86"/>
    <n v="52.9"/>
    <n v="177"/>
    <n v="216.7"/>
    <n v="6.55"/>
    <n v="151"/>
    <n v="826"/>
    <n v="728"/>
    <s v="AWD"/>
    <n v="5"/>
    <x v="1"/>
    <n v="35.700000000000003"/>
    <n v="1959"/>
    <x v="0"/>
    <n v="2"/>
    <x v="2"/>
    <x v="0"/>
    <n v="179640"/>
    <n v="3.42"/>
    <n v="5"/>
  </r>
  <r>
    <x v="4"/>
    <s v="Cybertruck"/>
    <x v="2"/>
    <x v="0"/>
    <n v="42827.24"/>
    <n v="89.9"/>
    <n v="311"/>
    <n v="240.1"/>
    <n v="2.94"/>
    <n v="200"/>
    <n v="263"/>
    <n v="241"/>
    <s v="AWD"/>
    <n v="5"/>
    <x v="0"/>
    <n v="55.5"/>
    <n v="2122"/>
    <x v="0"/>
    <n v="3"/>
    <x v="2"/>
    <x v="1"/>
    <n v="133489"/>
    <n v="3.82"/>
    <n v="5"/>
  </r>
  <r>
    <x v="1"/>
    <s v="bZ Compact SUV"/>
    <x v="6"/>
    <x v="2"/>
    <n v="70748.34"/>
    <n v="94.2"/>
    <n v="335"/>
    <n v="104.7"/>
    <n v="5.66"/>
    <n v="169"/>
    <n v="818"/>
    <n v="760"/>
    <s v="AWD"/>
    <n v="5"/>
    <x v="1"/>
    <n v="66.5"/>
    <n v="2056"/>
    <x v="1"/>
    <n v="0"/>
    <x v="1"/>
    <x v="2"/>
    <n v="2261"/>
    <n v="3.72"/>
    <n v="4"/>
  </r>
  <r>
    <x v="6"/>
    <s v="Ronin"/>
    <x v="5"/>
    <x v="3"/>
    <n v="50395.94"/>
    <n v="63.9"/>
    <n v="243"/>
    <n v="106.1"/>
    <n v="7.33"/>
    <n v="147"/>
    <n v="334"/>
    <n v="275"/>
    <s v="FWD"/>
    <n v="7"/>
    <x v="5"/>
    <n v="34.5"/>
    <n v="1500"/>
    <x v="1"/>
    <n v="1"/>
    <x v="2"/>
    <x v="1"/>
    <n v="11950"/>
    <n v="3.48"/>
    <n v="4"/>
  </r>
  <r>
    <x v="9"/>
    <s v="E-Transit"/>
    <x v="3"/>
    <x v="0"/>
    <n v="69597.509999999995"/>
    <n v="106.2"/>
    <n v="361"/>
    <n v="219"/>
    <n v="3.88"/>
    <n v="192"/>
    <n v="783"/>
    <n v="728"/>
    <s v="AWD"/>
    <n v="5"/>
    <x v="5"/>
    <n v="38.9"/>
    <n v="1500"/>
    <x v="1"/>
    <n v="1"/>
    <x v="2"/>
    <x v="2"/>
    <n v="24574"/>
    <n v="3.79"/>
    <n v="3"/>
  </r>
  <r>
    <x v="7"/>
    <s v="Leaf 50X"/>
    <x v="3"/>
    <x v="4"/>
    <n v="31434.26"/>
    <n v="60.6"/>
    <n v="229"/>
    <n v="98.1"/>
    <n v="7.69"/>
    <n v="136"/>
    <n v="285"/>
    <n v="269"/>
    <s v="RWD"/>
    <n v="5"/>
    <x v="3"/>
    <n v="31.5"/>
    <n v="1643"/>
    <x v="0"/>
    <n v="0"/>
    <x v="4"/>
    <x v="3"/>
    <n v="242953"/>
    <n v="3.29"/>
    <n v="4"/>
  </r>
  <r>
    <x v="4"/>
    <s v="Model X"/>
    <x v="0"/>
    <x v="3"/>
    <n v="109503.65"/>
    <n v="47.9"/>
    <n v="155"/>
    <n v="304.7"/>
    <n v="6.19"/>
    <n v="164"/>
    <n v="825"/>
    <n v="733"/>
    <s v="RWD"/>
    <n v="5"/>
    <x v="2"/>
    <n v="72.8"/>
    <n v="1500"/>
    <x v="1"/>
    <n v="3"/>
    <x v="2"/>
    <x v="0"/>
    <n v="174834"/>
    <n v="3.59"/>
    <n v="4"/>
  </r>
  <r>
    <x v="10"/>
    <s v="i7"/>
    <x v="3"/>
    <x v="0"/>
    <n v="156773.89000000001"/>
    <n v="81.400000000000006"/>
    <n v="266"/>
    <n v="182.2"/>
    <n v="4.2"/>
    <n v="190"/>
    <n v="1000"/>
    <n v="908"/>
    <s v="AWD"/>
    <n v="5"/>
    <x v="0"/>
    <n v="76.8"/>
    <n v="2499"/>
    <x v="1"/>
    <n v="1"/>
    <x v="0"/>
    <x v="0"/>
    <n v="58126"/>
    <n v="3.6"/>
    <n v="5"/>
  </r>
  <r>
    <x v="0"/>
    <s v="ID.3"/>
    <x v="4"/>
    <x v="2"/>
    <n v="52966.98"/>
    <n v="96.8"/>
    <n v="311"/>
    <n v="134.69999999999999"/>
    <n v="5.8"/>
    <n v="171"/>
    <n v="460"/>
    <n v="436"/>
    <s v="RWD"/>
    <n v="5"/>
    <x v="4"/>
    <n v="20.6"/>
    <n v="1853"/>
    <x v="1"/>
    <n v="0"/>
    <x v="0"/>
    <x v="1"/>
    <n v="232633"/>
    <n v="3.55"/>
    <n v="5"/>
  </r>
  <r>
    <x v="4"/>
    <s v="Cybertruck"/>
    <x v="2"/>
    <x v="4"/>
    <n v="121805.3"/>
    <n v="58.9"/>
    <n v="204"/>
    <n v="274.60000000000002"/>
    <n v="5.61"/>
    <n v="173"/>
    <n v="850"/>
    <n v="776"/>
    <s v="FWD"/>
    <n v="7"/>
    <x v="0"/>
    <n v="56.2"/>
    <n v="2502"/>
    <x v="0"/>
    <n v="3"/>
    <x v="2"/>
    <x v="0"/>
    <n v="225373"/>
    <n v="3.75"/>
    <n v="5"/>
  </r>
  <r>
    <x v="8"/>
    <s v="Ioniq 6"/>
    <x v="3"/>
    <x v="4"/>
    <n v="69769.460000000006"/>
    <n v="63.2"/>
    <n v="212"/>
    <n v="79"/>
    <n v="7.79"/>
    <n v="133"/>
    <n v="890"/>
    <n v="734"/>
    <s v="FWD"/>
    <n v="5"/>
    <x v="3"/>
    <n v="28.1"/>
    <n v="1500"/>
    <x v="0"/>
    <n v="0"/>
    <x v="3"/>
    <x v="2"/>
    <n v="50147"/>
    <n v="3.21"/>
    <n v="4"/>
  </r>
  <r>
    <x v="4"/>
    <s v="Model X"/>
    <x v="2"/>
    <x v="2"/>
    <n v="117517.98"/>
    <n v="101"/>
    <n v="350"/>
    <n v="245.4"/>
    <n v="4.6500000000000004"/>
    <n v="186"/>
    <n v="881"/>
    <n v="810"/>
    <s v="AWD"/>
    <n v="5"/>
    <x v="0"/>
    <n v="80"/>
    <n v="2225"/>
    <x v="1"/>
    <n v="2"/>
    <x v="2"/>
    <x v="0"/>
    <n v="122440"/>
    <n v="3.96"/>
    <n v="5"/>
  </r>
  <r>
    <x v="11"/>
    <s v="e-tron GT"/>
    <x v="3"/>
    <x v="4"/>
    <n v="53762.11"/>
    <n v="52.1"/>
    <n v="156"/>
    <n v="112.8"/>
    <n v="6.45"/>
    <n v="154"/>
    <n v="207"/>
    <n v="200"/>
    <s v="FWD"/>
    <n v="5"/>
    <x v="4"/>
    <n v="17.600000000000001"/>
    <n v="1899"/>
    <x v="0"/>
    <n v="2"/>
    <x v="0"/>
    <x v="1"/>
    <n v="69650"/>
    <n v="3.68"/>
    <n v="7"/>
  </r>
  <r>
    <x v="7"/>
    <s v="Max"/>
    <x v="2"/>
    <x v="3"/>
    <n v="24029.61"/>
    <n v="45.6"/>
    <n v="153"/>
    <n v="53.1"/>
    <n v="5.16"/>
    <n v="177"/>
    <n v="211"/>
    <n v="200"/>
    <s v="FWD"/>
    <n v="5"/>
    <x v="5"/>
    <n v="32.5"/>
    <n v="1669"/>
    <x v="1"/>
    <n v="0"/>
    <x v="4"/>
    <x v="3"/>
    <n v="157077"/>
    <n v="3.46"/>
    <n v="3"/>
  </r>
  <r>
    <x v="10"/>
    <s v="i3"/>
    <x v="2"/>
    <x v="2"/>
    <n v="120387.4"/>
    <n v="79.400000000000006"/>
    <n v="285"/>
    <n v="134.30000000000001"/>
    <n v="4.2"/>
    <n v="193"/>
    <n v="1000"/>
    <n v="988"/>
    <s v="RWD"/>
    <n v="5"/>
    <x v="0"/>
    <n v="62.9"/>
    <n v="2464"/>
    <x v="0"/>
    <n v="2"/>
    <x v="0"/>
    <x v="0"/>
    <n v="62864"/>
    <n v="3.27"/>
    <n v="8"/>
  </r>
  <r>
    <x v="7"/>
    <s v="Atto 3"/>
    <x v="3"/>
    <x v="3"/>
    <n v="26682.38"/>
    <n v="53.9"/>
    <n v="199"/>
    <n v="117.3"/>
    <n v="7.39"/>
    <n v="137"/>
    <n v="274"/>
    <n v="206"/>
    <s v="FWD"/>
    <n v="7"/>
    <x v="0"/>
    <n v="68.8"/>
    <n v="2367"/>
    <x v="0"/>
    <n v="0"/>
    <x v="4"/>
    <x v="3"/>
    <n v="158602"/>
    <n v="3.26"/>
    <n v="3"/>
  </r>
  <r>
    <x v="8"/>
    <s v="Ioniq"/>
    <x v="3"/>
    <x v="3"/>
    <n v="45100.09"/>
    <n v="79.5"/>
    <n v="257"/>
    <n v="85.6"/>
    <n v="5.25"/>
    <n v="174"/>
    <n v="478"/>
    <n v="396"/>
    <s v="AWD"/>
    <n v="5"/>
    <x v="3"/>
    <n v="39.6"/>
    <n v="1705"/>
    <x v="0"/>
    <n v="1"/>
    <x v="3"/>
    <x v="1"/>
    <n v="128526"/>
    <n v="3.61"/>
    <n v="4"/>
  </r>
  <r>
    <x v="3"/>
    <s v="Sportage EV"/>
    <x v="0"/>
    <x v="4"/>
    <n v="77484.789999999994"/>
    <n v="81.2"/>
    <n v="284"/>
    <n v="147.69999999999999"/>
    <n v="5.31"/>
    <n v="169"/>
    <n v="923"/>
    <n v="832"/>
    <s v="FWD"/>
    <n v="5"/>
    <x v="1"/>
    <n v="55.4"/>
    <n v="2017"/>
    <x v="2"/>
    <n v="1"/>
    <x v="3"/>
    <x v="2"/>
    <n v="101678"/>
    <n v="3.34"/>
    <n v="4"/>
  </r>
  <r>
    <x v="4"/>
    <s v="Model Y"/>
    <x v="0"/>
    <x v="4"/>
    <n v="98108.77"/>
    <n v="46.5"/>
    <n v="150"/>
    <n v="338.8"/>
    <n v="5.21"/>
    <n v="174"/>
    <n v="760"/>
    <n v="665"/>
    <s v="FWD"/>
    <n v="5"/>
    <x v="1"/>
    <n v="44.4"/>
    <n v="2146"/>
    <x v="1"/>
    <n v="2"/>
    <x v="2"/>
    <x v="2"/>
    <n v="431290"/>
    <n v="3.33"/>
    <n v="4"/>
  </r>
  <r>
    <x v="6"/>
    <s v="Ronin"/>
    <x v="6"/>
    <x v="0"/>
    <n v="143106.79"/>
    <n v="75.3"/>
    <n v="272"/>
    <n v="170.3"/>
    <n v="3.68"/>
    <n v="197"/>
    <n v="1000"/>
    <n v="935"/>
    <s v="AWD"/>
    <n v="5"/>
    <x v="3"/>
    <n v="38.4"/>
    <n v="1705"/>
    <x v="0"/>
    <n v="1"/>
    <x v="2"/>
    <x v="0"/>
    <n v="18708"/>
    <n v="3.53"/>
    <n v="4"/>
  </r>
  <r>
    <x v="9"/>
    <s v="F-150 Lightning"/>
    <x v="5"/>
    <x v="3"/>
    <n v="52266.720000000001"/>
    <n v="73.400000000000006"/>
    <n v="268"/>
    <n v="58.4"/>
    <n v="7.42"/>
    <n v="137"/>
    <n v="514"/>
    <n v="472"/>
    <s v="FWD"/>
    <n v="2"/>
    <x v="0"/>
    <n v="50.3"/>
    <n v="2850"/>
    <x v="1"/>
    <n v="0"/>
    <x v="2"/>
    <x v="1"/>
    <n v="62843"/>
    <n v="3.72"/>
    <n v="3"/>
  </r>
  <r>
    <x v="12"/>
    <s v="ET6"/>
    <x v="3"/>
    <x v="0"/>
    <n v="60624.73"/>
    <n v="82.4"/>
    <n v="278"/>
    <n v="174.8"/>
    <n v="2.63"/>
    <n v="200"/>
    <n v="476"/>
    <n v="420"/>
    <s v="RWD"/>
    <n v="7"/>
    <x v="1"/>
    <n v="48"/>
    <n v="2138"/>
    <x v="0"/>
    <n v="0"/>
    <x v="4"/>
    <x v="1"/>
    <n v="8857"/>
    <n v="3.49"/>
    <n v="4"/>
  </r>
  <r>
    <x v="11"/>
    <s v="e-tron GT"/>
    <x v="3"/>
    <x v="3"/>
    <n v="63332.23"/>
    <n v="84.4"/>
    <n v="310"/>
    <n v="92.7"/>
    <n v="5.62"/>
    <n v="162"/>
    <n v="284"/>
    <n v="288"/>
    <s v="RWD"/>
    <n v="7"/>
    <x v="4"/>
    <n v="31.7"/>
    <n v="1565"/>
    <x v="1"/>
    <n v="1"/>
    <x v="0"/>
    <x v="1"/>
    <n v="62327"/>
    <n v="3.85"/>
    <n v="6"/>
  </r>
  <r>
    <x v="3"/>
    <s v="Sportage EV"/>
    <x v="2"/>
    <x v="2"/>
    <n v="95244.75"/>
    <n v="77.2"/>
    <n v="262"/>
    <n v="94.4"/>
    <n v="4.04"/>
    <n v="194"/>
    <n v="1000"/>
    <n v="842"/>
    <s v="AWD"/>
    <n v="5"/>
    <x v="1"/>
    <n v="67.400000000000006"/>
    <n v="2045"/>
    <x v="0"/>
    <n v="1"/>
    <x v="3"/>
    <x v="2"/>
    <n v="76023"/>
    <n v="3.44"/>
    <n v="3"/>
  </r>
  <r>
    <x v="13"/>
    <s v="R3"/>
    <x v="2"/>
    <x v="3"/>
    <n v="66816.36"/>
    <n v="69.900000000000006"/>
    <n v="247"/>
    <n v="118.5"/>
    <n v="5.33"/>
    <n v="171"/>
    <n v="150"/>
    <n v="200"/>
    <s v="AWD"/>
    <n v="5"/>
    <x v="5"/>
    <n v="23.9"/>
    <n v="1757"/>
    <x v="1"/>
    <n v="0"/>
    <x v="2"/>
    <x v="2"/>
    <n v="27456"/>
    <n v="3.39"/>
    <n v="6"/>
  </r>
  <r>
    <x v="4"/>
    <s v="Model X"/>
    <x v="3"/>
    <x v="3"/>
    <n v="73015.63"/>
    <n v="82.4"/>
    <n v="304"/>
    <n v="275.5"/>
    <n v="5.58"/>
    <n v="156"/>
    <n v="528"/>
    <n v="501"/>
    <s v="RWD"/>
    <n v="7"/>
    <x v="0"/>
    <n v="62.4"/>
    <n v="2036"/>
    <x v="1"/>
    <n v="2"/>
    <x v="2"/>
    <x v="2"/>
    <n v="173406"/>
    <n v="3.75"/>
    <n v="5"/>
  </r>
  <r>
    <x v="4"/>
    <s v="Cybertruck"/>
    <x v="3"/>
    <x v="0"/>
    <n v="117415.98"/>
    <n v="78.099999999999994"/>
    <n v="263"/>
    <n v="215.8"/>
    <n v="2.94"/>
    <n v="200"/>
    <n v="927"/>
    <n v="847"/>
    <s v="AWD"/>
    <n v="5"/>
    <x v="0"/>
    <n v="61.7"/>
    <n v="2353"/>
    <x v="1"/>
    <n v="2"/>
    <x v="2"/>
    <x v="0"/>
    <n v="183531"/>
    <n v="3.7"/>
    <n v="5"/>
  </r>
  <r>
    <x v="4"/>
    <s v="Model 3"/>
    <x v="3"/>
    <x v="4"/>
    <n v="71316.86"/>
    <n v="73.900000000000006"/>
    <n v="249"/>
    <n v="282"/>
    <n v="6.73"/>
    <n v="144"/>
    <n v="502"/>
    <n v="509"/>
    <s v="RWD"/>
    <n v="5"/>
    <x v="1"/>
    <n v="52.9"/>
    <n v="2053"/>
    <x v="1"/>
    <n v="3"/>
    <x v="2"/>
    <x v="2"/>
    <n v="242716"/>
    <n v="3.7"/>
    <n v="5"/>
  </r>
  <r>
    <x v="7"/>
    <s v="Leaf 50X"/>
    <x v="3"/>
    <x v="3"/>
    <n v="59005.52"/>
    <n v="58.4"/>
    <n v="200"/>
    <n v="121.5"/>
    <n v="7.64"/>
    <n v="137"/>
    <n v="667"/>
    <n v="633"/>
    <s v="RWD"/>
    <n v="5"/>
    <x v="2"/>
    <n v="76.900000000000006"/>
    <n v="1500"/>
    <x v="1"/>
    <n v="0"/>
    <x v="4"/>
    <x v="1"/>
    <n v="127516"/>
    <n v="3.31"/>
    <n v="5"/>
  </r>
  <r>
    <x v="0"/>
    <s v="ID. Aero"/>
    <x v="2"/>
    <x v="2"/>
    <n v="42431.05"/>
    <n v="88.6"/>
    <n v="306"/>
    <n v="104.2"/>
    <n v="5.94"/>
    <n v="166"/>
    <n v="337"/>
    <n v="286"/>
    <s v="AWD"/>
    <n v="5"/>
    <x v="4"/>
    <n v="39.700000000000003"/>
    <n v="1590"/>
    <x v="2"/>
    <n v="1"/>
    <x v="0"/>
    <x v="1"/>
    <n v="260840"/>
    <n v="3.53"/>
    <n v="4"/>
  </r>
  <r>
    <x v="7"/>
    <s v="Dolphin"/>
    <x v="2"/>
    <x v="0"/>
    <n v="30671.06"/>
    <n v="87.5"/>
    <n v="303"/>
    <n v="233.1"/>
    <n v="4.18"/>
    <n v="190"/>
    <n v="345"/>
    <n v="269"/>
    <s v="AWD"/>
    <n v="5"/>
    <x v="5"/>
    <n v="29.5"/>
    <n v="1815"/>
    <x v="1"/>
    <n v="0"/>
    <x v="4"/>
    <x v="3"/>
    <n v="201621"/>
    <n v="3.28"/>
    <n v="4"/>
  </r>
  <r>
    <x v="5"/>
    <s v="EQC"/>
    <x v="3"/>
    <x v="0"/>
    <n v="188302.14"/>
    <n v="78.5"/>
    <n v="277"/>
    <n v="225"/>
    <n v="4.32"/>
    <n v="185"/>
    <n v="1000"/>
    <n v="943"/>
    <s v="RWD"/>
    <n v="7"/>
    <x v="4"/>
    <n v="28.5"/>
    <n v="1500"/>
    <x v="0"/>
    <n v="2"/>
    <x v="0"/>
    <x v="0"/>
    <n v="43172"/>
    <n v="4"/>
    <n v="7"/>
  </r>
  <r>
    <x v="0"/>
    <s v="ID.4"/>
    <x v="0"/>
    <x v="2"/>
    <n v="94330.19"/>
    <n v="105.4"/>
    <n v="383"/>
    <n v="105.8"/>
    <n v="5.17"/>
    <n v="177"/>
    <n v="1000"/>
    <n v="868"/>
    <s v="FWD"/>
    <n v="7"/>
    <x v="5"/>
    <n v="21.8"/>
    <n v="1500"/>
    <x v="1"/>
    <n v="1"/>
    <x v="0"/>
    <x v="2"/>
    <n v="232451"/>
    <n v="3.95"/>
    <n v="3"/>
  </r>
  <r>
    <x v="7"/>
    <s v="Dolphin"/>
    <x v="2"/>
    <x v="1"/>
    <n v="83518.44"/>
    <n v="77.099999999999994"/>
    <n v="267"/>
    <n v="148.30000000000001"/>
    <n v="7.36"/>
    <n v="146"/>
    <n v="954"/>
    <n v="884"/>
    <s v="AWD"/>
    <n v="5"/>
    <x v="4"/>
    <n v="21.5"/>
    <n v="1652"/>
    <x v="2"/>
    <n v="1"/>
    <x v="4"/>
    <x v="2"/>
    <n v="148454"/>
    <n v="3.28"/>
    <n v="5"/>
  </r>
  <r>
    <x v="3"/>
    <s v="Niro EV"/>
    <x v="2"/>
    <x v="1"/>
    <n v="68436.66"/>
    <n v="70"/>
    <n v="249"/>
    <n v="131.30000000000001"/>
    <n v="7.12"/>
    <n v="141"/>
    <n v="790"/>
    <n v="742"/>
    <s v="AWD"/>
    <n v="5"/>
    <x v="4"/>
    <n v="23"/>
    <n v="1556"/>
    <x v="2"/>
    <n v="0"/>
    <x v="3"/>
    <x v="2"/>
    <n v="81219"/>
    <n v="3.63"/>
    <n v="3"/>
  </r>
  <r>
    <x v="4"/>
    <s v="Model Y"/>
    <x v="3"/>
    <x v="0"/>
    <n v="43196.41"/>
    <n v="111.9"/>
    <n v="408"/>
    <n v="293.7"/>
    <n v="4.2300000000000004"/>
    <n v="197"/>
    <n v="338"/>
    <n v="357"/>
    <s v="RWD"/>
    <n v="7"/>
    <x v="0"/>
    <n v="70.3"/>
    <n v="2547"/>
    <x v="1"/>
    <n v="3"/>
    <x v="2"/>
    <x v="1"/>
    <n v="437912"/>
    <n v="4.03"/>
    <n v="5"/>
  </r>
  <r>
    <x v="9"/>
    <s v="Explorer EV"/>
    <x v="2"/>
    <x v="2"/>
    <n v="66402.61"/>
    <n v="90.5"/>
    <n v="334"/>
    <n v="96.1"/>
    <n v="5.88"/>
    <n v="162"/>
    <n v="752"/>
    <n v="677"/>
    <s v="RWD"/>
    <n v="5"/>
    <x v="2"/>
    <n v="67.5"/>
    <n v="1894"/>
    <x v="1"/>
    <n v="1"/>
    <x v="2"/>
    <x v="2"/>
    <n v="36517"/>
    <n v="3.69"/>
    <n v="3"/>
  </r>
  <r>
    <x v="4"/>
    <s v="Model X"/>
    <x v="2"/>
    <x v="0"/>
    <n v="42932.18"/>
    <n v="99"/>
    <n v="356"/>
    <n v="209.1"/>
    <n v="3.87"/>
    <n v="192"/>
    <n v="227"/>
    <n v="200"/>
    <s v="RWD"/>
    <n v="7"/>
    <x v="3"/>
    <n v="27.2"/>
    <n v="1500"/>
    <x v="1"/>
    <n v="2"/>
    <x v="2"/>
    <x v="1"/>
    <n v="238196"/>
    <n v="4"/>
    <n v="5"/>
  </r>
  <r>
    <x v="14"/>
    <s v="Macan Electric"/>
    <x v="1"/>
    <x v="2"/>
    <n v="101897.93"/>
    <n v="76.099999999999994"/>
    <n v="254"/>
    <n v="291"/>
    <n v="5.76"/>
    <n v="163"/>
    <n v="335"/>
    <n v="326"/>
    <s v="AWD"/>
    <n v="7"/>
    <x v="0"/>
    <n v="72.099999999999994"/>
    <n v="2679"/>
    <x v="1"/>
    <n v="0"/>
    <x v="0"/>
    <x v="0"/>
    <n v="26972"/>
    <n v="3.68"/>
    <n v="7"/>
  </r>
  <r>
    <x v="9"/>
    <s v="E-Transit"/>
    <x v="3"/>
    <x v="1"/>
    <n v="45539.59"/>
    <n v="55.1"/>
    <n v="198"/>
    <n v="143.80000000000001"/>
    <n v="5.26"/>
    <n v="173"/>
    <n v="379"/>
    <n v="335"/>
    <s v="AWD"/>
    <n v="5"/>
    <x v="3"/>
    <n v="16.399999999999999"/>
    <n v="1785"/>
    <x v="1"/>
    <n v="0"/>
    <x v="2"/>
    <x v="1"/>
    <n v="26865"/>
    <n v="3"/>
    <n v="3"/>
  </r>
  <r>
    <x v="4"/>
    <s v="Model S"/>
    <x v="2"/>
    <x v="1"/>
    <n v="66707.72"/>
    <n v="45.8"/>
    <n v="150"/>
    <n v="301.10000000000002"/>
    <n v="5.19"/>
    <n v="166"/>
    <n v="486"/>
    <n v="420"/>
    <s v="AWD"/>
    <n v="5"/>
    <x v="2"/>
    <n v="69.7"/>
    <n v="1686"/>
    <x v="1"/>
    <n v="2"/>
    <x v="2"/>
    <x v="2"/>
    <n v="187104"/>
    <n v="3.23"/>
    <n v="5"/>
  </r>
  <r>
    <x v="4"/>
    <s v="Model S"/>
    <x v="6"/>
    <x v="0"/>
    <n v="102900.51"/>
    <n v="74.099999999999994"/>
    <n v="231"/>
    <n v="323.39999999999998"/>
    <n v="2.61"/>
    <n v="200"/>
    <n v="708"/>
    <n v="567"/>
    <s v="RWD"/>
    <n v="5"/>
    <x v="0"/>
    <n v="79.8"/>
    <n v="2284"/>
    <x v="2"/>
    <n v="2"/>
    <x v="2"/>
    <x v="0"/>
    <n v="184383"/>
    <n v="3.8"/>
    <n v="5"/>
  </r>
  <r>
    <x v="9"/>
    <s v="Explorer EV"/>
    <x v="2"/>
    <x v="2"/>
    <n v="69723.399999999994"/>
    <n v="91.5"/>
    <n v="331"/>
    <n v="118.7"/>
    <n v="5.32"/>
    <n v="180"/>
    <n v="792"/>
    <n v="705"/>
    <s v="AWD"/>
    <n v="7"/>
    <x v="0"/>
    <n v="72.900000000000006"/>
    <n v="2451"/>
    <x v="1"/>
    <n v="0"/>
    <x v="2"/>
    <x v="2"/>
    <n v="54063"/>
    <n v="3.64"/>
    <n v="4"/>
  </r>
  <r>
    <x v="2"/>
    <s v="Bolt EUV"/>
    <x v="3"/>
    <x v="0"/>
    <n v="102049.38"/>
    <n v="116.6"/>
    <n v="395"/>
    <n v="163.19999999999999"/>
    <n v="4.21"/>
    <n v="192"/>
    <n v="1000"/>
    <n v="893"/>
    <s v="AWD"/>
    <n v="5"/>
    <x v="2"/>
    <n v="72.099999999999994"/>
    <n v="1834"/>
    <x v="0"/>
    <n v="1"/>
    <x v="2"/>
    <x v="0"/>
    <n v="7957"/>
    <n v="4.16"/>
    <n v="5"/>
  </r>
  <r>
    <x v="2"/>
    <s v="Equinox EV"/>
    <x v="2"/>
    <x v="2"/>
    <n v="78668.52"/>
    <n v="102.9"/>
    <n v="368"/>
    <n v="72.099999999999994"/>
    <n v="4.4400000000000004"/>
    <n v="179"/>
    <n v="1000"/>
    <n v="916"/>
    <s v="AWD"/>
    <n v="5"/>
    <x v="1"/>
    <n v="65.5"/>
    <n v="2096"/>
    <x v="1"/>
    <n v="0"/>
    <x v="2"/>
    <x v="2"/>
    <n v="14020"/>
    <n v="3.97"/>
    <n v="4"/>
  </r>
  <r>
    <x v="9"/>
    <s v="Mustang Mach-E"/>
    <x v="2"/>
    <x v="4"/>
    <n v="79438.2"/>
    <n v="82.5"/>
    <n v="299"/>
    <n v="128.6"/>
    <n v="6.77"/>
    <n v="149"/>
    <n v="967"/>
    <n v="916"/>
    <s v="RWD"/>
    <n v="5"/>
    <x v="2"/>
    <n v="80"/>
    <n v="1521"/>
    <x v="1"/>
    <n v="0"/>
    <x v="2"/>
    <x v="2"/>
    <n v="21827"/>
    <n v="3.81"/>
    <n v="3"/>
  </r>
  <r>
    <x v="4"/>
    <s v="Model 3"/>
    <x v="2"/>
    <x v="0"/>
    <n v="139025.28"/>
    <n v="93.4"/>
    <n v="320"/>
    <n v="293.89999999999998"/>
    <n v="3.06"/>
    <n v="200"/>
    <n v="995"/>
    <n v="917"/>
    <s v="AWD"/>
    <n v="5"/>
    <x v="4"/>
    <n v="17.8"/>
    <n v="1500"/>
    <x v="0"/>
    <n v="2"/>
    <x v="2"/>
    <x v="0"/>
    <n v="220216"/>
    <n v="4.07"/>
    <n v="5"/>
  </r>
  <r>
    <x v="0"/>
    <s v="ID.3"/>
    <x v="3"/>
    <x v="3"/>
    <n v="38889.440000000002"/>
    <n v="65"/>
    <n v="231"/>
    <n v="142.69999999999999"/>
    <n v="6.1"/>
    <n v="160"/>
    <n v="313"/>
    <n v="257"/>
    <s v="FWD"/>
    <n v="5"/>
    <x v="5"/>
    <n v="20.9"/>
    <n v="1571"/>
    <x v="1"/>
    <n v="1"/>
    <x v="0"/>
    <x v="1"/>
    <n v="293320"/>
    <n v="3.41"/>
    <n v="3"/>
  </r>
  <r>
    <x v="4"/>
    <s v="Model 3"/>
    <x v="3"/>
    <x v="0"/>
    <n v="169366.43"/>
    <n v="117.4"/>
    <n v="416"/>
    <n v="241.6"/>
    <n v="3.06"/>
    <n v="200"/>
    <n v="1000"/>
    <n v="931"/>
    <s v="RWD"/>
    <n v="7"/>
    <x v="1"/>
    <n v="44.7"/>
    <n v="1923"/>
    <x v="1"/>
    <n v="2"/>
    <x v="2"/>
    <x v="0"/>
    <n v="248754"/>
    <n v="4.09"/>
    <n v="5"/>
  </r>
  <r>
    <x v="5"/>
    <s v="GLE EV"/>
    <x v="0"/>
    <x v="4"/>
    <n v="144581.79"/>
    <n v="42.8"/>
    <n v="150"/>
    <n v="146.80000000000001"/>
    <n v="6.34"/>
    <n v="156"/>
    <n v="852"/>
    <n v="767"/>
    <s v="FWD"/>
    <n v="7"/>
    <x v="1"/>
    <n v="57.7"/>
    <n v="1857"/>
    <x v="0"/>
    <n v="1"/>
    <x v="0"/>
    <x v="0"/>
    <n v="76491"/>
    <n v="3.42"/>
    <n v="7"/>
  </r>
  <r>
    <x v="10"/>
    <s v="iX"/>
    <x v="0"/>
    <x v="1"/>
    <n v="86081.93"/>
    <n v="72.3"/>
    <n v="247"/>
    <n v="125.7"/>
    <n v="5.89"/>
    <n v="166"/>
    <n v="612"/>
    <n v="541"/>
    <s v="AWD"/>
    <n v="7"/>
    <x v="0"/>
    <n v="60.3"/>
    <n v="2745"/>
    <x v="0"/>
    <n v="2"/>
    <x v="0"/>
    <x v="2"/>
    <n v="51887"/>
    <n v="3.42"/>
    <n v="6"/>
  </r>
  <r>
    <x v="7"/>
    <s v="Max"/>
    <x v="5"/>
    <x v="0"/>
    <n v="101561.3"/>
    <n v="101.6"/>
    <n v="329"/>
    <n v="185.5"/>
    <n v="2.59"/>
    <n v="200"/>
    <n v="1000"/>
    <n v="906"/>
    <s v="RWD"/>
    <n v="5"/>
    <x v="0"/>
    <n v="62.3"/>
    <n v="2633"/>
    <x v="2"/>
    <n v="0"/>
    <x v="4"/>
    <x v="0"/>
    <n v="216998"/>
    <n v="3.69"/>
    <n v="3"/>
  </r>
  <r>
    <x v="4"/>
    <s v="Cybertruck"/>
    <x v="2"/>
    <x v="2"/>
    <n v="158925.9"/>
    <n v="82.5"/>
    <n v="291"/>
    <n v="310.8"/>
    <n v="4.0599999999999996"/>
    <n v="186"/>
    <n v="1000"/>
    <n v="962"/>
    <s v="AWD"/>
    <n v="5"/>
    <x v="0"/>
    <n v="67"/>
    <n v="2567"/>
    <x v="1"/>
    <n v="3"/>
    <x v="2"/>
    <x v="0"/>
    <n v="138950"/>
    <n v="3.85"/>
    <n v="6"/>
  </r>
  <r>
    <x v="7"/>
    <s v="Yuan Plus"/>
    <x v="0"/>
    <x v="4"/>
    <n v="21523.03"/>
    <n v="42.4"/>
    <n v="150"/>
    <n v="72.7"/>
    <n v="6.84"/>
    <n v="157"/>
    <n v="207"/>
    <n v="200"/>
    <s v="FWD"/>
    <n v="7"/>
    <x v="5"/>
    <n v="16.899999999999999"/>
    <n v="1621"/>
    <x v="0"/>
    <n v="0"/>
    <x v="4"/>
    <x v="3"/>
    <n v="183596"/>
    <n v="3.23"/>
    <n v="3"/>
  </r>
  <r>
    <x v="7"/>
    <s v="Leaf 50X"/>
    <x v="2"/>
    <x v="1"/>
    <n v="100360.19"/>
    <n v="50"/>
    <n v="193"/>
    <n v="132.4"/>
    <n v="6.15"/>
    <n v="155"/>
    <n v="1000"/>
    <n v="888"/>
    <s v="RWD"/>
    <n v="5"/>
    <x v="2"/>
    <n v="61.5"/>
    <n v="1876"/>
    <x v="1"/>
    <n v="0"/>
    <x v="4"/>
    <x v="0"/>
    <n v="137465"/>
    <n v="3.1"/>
    <n v="4"/>
  </r>
  <r>
    <x v="2"/>
    <s v="Bolt EUV"/>
    <x v="5"/>
    <x v="3"/>
    <n v="63696.78"/>
    <n v="78"/>
    <n v="262"/>
    <n v="101.2"/>
    <n v="7.32"/>
    <n v="136"/>
    <n v="835"/>
    <n v="746"/>
    <s v="FWD"/>
    <n v="5"/>
    <x v="0"/>
    <n v="62.1"/>
    <n v="2581"/>
    <x v="1"/>
    <n v="0"/>
    <x v="2"/>
    <x v="1"/>
    <n v="8032"/>
    <n v="3.56"/>
    <n v="3"/>
  </r>
  <r>
    <x v="10"/>
    <s v="i3"/>
    <x v="2"/>
    <x v="4"/>
    <n v="84405.92"/>
    <n v="52.5"/>
    <n v="173"/>
    <n v="105.6"/>
    <n v="5.09"/>
    <n v="169"/>
    <n v="612"/>
    <n v="505"/>
    <s v="RWD"/>
    <n v="5"/>
    <x v="0"/>
    <n v="57.9"/>
    <n v="2679"/>
    <x v="2"/>
    <n v="1"/>
    <x v="0"/>
    <x v="2"/>
    <n v="42777"/>
    <n v="3.19"/>
    <n v="6"/>
  </r>
  <r>
    <x v="11"/>
    <s v="Q6 e-tron"/>
    <x v="2"/>
    <x v="4"/>
    <n v="73910.789999999994"/>
    <n v="41.9"/>
    <n v="150"/>
    <n v="94.4"/>
    <n v="7.68"/>
    <n v="142"/>
    <n v="431"/>
    <n v="377"/>
    <s v="FWD"/>
    <n v="5"/>
    <x v="1"/>
    <n v="53"/>
    <n v="2121"/>
    <x v="0"/>
    <n v="1"/>
    <x v="0"/>
    <x v="2"/>
    <n v="36319"/>
    <n v="3"/>
    <n v="5"/>
  </r>
  <r>
    <x v="8"/>
    <s v="Ioniq 5"/>
    <x v="3"/>
    <x v="0"/>
    <n v="57904.84"/>
    <n v="80.5"/>
    <n v="286"/>
    <n v="194.1"/>
    <n v="2.76"/>
    <n v="200"/>
    <n v="704"/>
    <n v="589"/>
    <s v="AWD"/>
    <n v="7"/>
    <x v="5"/>
    <n v="30.1"/>
    <n v="1792"/>
    <x v="0"/>
    <n v="2"/>
    <x v="3"/>
    <x v="1"/>
    <n v="68118"/>
    <n v="3.73"/>
    <n v="4"/>
  </r>
  <r>
    <x v="4"/>
    <s v="Cybertruck"/>
    <x v="2"/>
    <x v="3"/>
    <n v="38394.15"/>
    <n v="47.7"/>
    <n v="189"/>
    <n v="334.7"/>
    <n v="5.25"/>
    <n v="169"/>
    <n v="227"/>
    <n v="200"/>
    <s v="AWD"/>
    <n v="7"/>
    <x v="0"/>
    <n v="68.099999999999994"/>
    <n v="2403"/>
    <x v="2"/>
    <n v="3"/>
    <x v="2"/>
    <x v="1"/>
    <n v="246203"/>
    <n v="3.51"/>
    <n v="4"/>
  </r>
  <r>
    <x v="2"/>
    <s v="Bolt EUV"/>
    <x v="5"/>
    <x v="4"/>
    <n v="71136.28"/>
    <n v="49.6"/>
    <n v="171"/>
    <n v="135.80000000000001"/>
    <n v="7.19"/>
    <n v="142"/>
    <n v="938"/>
    <n v="820"/>
    <s v="FWD"/>
    <n v="5"/>
    <x v="3"/>
    <n v="39.299999999999997"/>
    <n v="1500"/>
    <x v="1"/>
    <n v="0"/>
    <x v="2"/>
    <x v="2"/>
    <n v="27175"/>
    <n v="3.31"/>
    <n v="4"/>
  </r>
  <r>
    <x v="2"/>
    <s v="Blazer EV"/>
    <x v="2"/>
    <x v="2"/>
    <n v="76560.479999999996"/>
    <n v="82.9"/>
    <n v="300"/>
    <n v="143"/>
    <n v="4.1900000000000004"/>
    <n v="184"/>
    <n v="1000"/>
    <n v="882"/>
    <s v="RWD"/>
    <n v="5"/>
    <x v="2"/>
    <n v="75"/>
    <n v="1598"/>
    <x v="0"/>
    <n v="0"/>
    <x v="2"/>
    <x v="2"/>
    <n v="12139"/>
    <n v="3.5"/>
    <n v="4"/>
  </r>
  <r>
    <x v="3"/>
    <s v="Niro EV"/>
    <x v="0"/>
    <x v="1"/>
    <n v="92594.29"/>
    <n v="74.2"/>
    <n v="257"/>
    <n v="76.8"/>
    <n v="6.08"/>
    <n v="158"/>
    <n v="1000"/>
    <n v="874"/>
    <s v="AWD"/>
    <n v="5"/>
    <x v="4"/>
    <n v="23.4"/>
    <n v="1506"/>
    <x v="1"/>
    <n v="0"/>
    <x v="3"/>
    <x v="2"/>
    <n v="83731"/>
    <n v="3.6"/>
    <n v="4"/>
  </r>
  <r>
    <x v="9"/>
    <s v="Mustang Mach-E"/>
    <x v="0"/>
    <x v="2"/>
    <n v="76072"/>
    <n v="105.6"/>
    <n v="363"/>
    <n v="104.6"/>
    <n v="4.21"/>
    <n v="189"/>
    <n v="891"/>
    <n v="791"/>
    <s v="FWD"/>
    <n v="5"/>
    <x v="3"/>
    <n v="21.8"/>
    <n v="1734"/>
    <x v="1"/>
    <n v="0"/>
    <x v="2"/>
    <x v="2"/>
    <n v="48060"/>
    <n v="4.04"/>
    <n v="4"/>
  </r>
  <r>
    <x v="8"/>
    <s v="Ioniq"/>
    <x v="2"/>
    <x v="4"/>
    <n v="44654.99"/>
    <n v="65.400000000000006"/>
    <n v="223"/>
    <n v="143.4"/>
    <n v="7.07"/>
    <n v="146"/>
    <n v="440"/>
    <n v="435"/>
    <s v="RWD"/>
    <n v="5"/>
    <x v="1"/>
    <n v="43.9"/>
    <n v="1844"/>
    <x v="0"/>
    <n v="1"/>
    <x v="3"/>
    <x v="1"/>
    <n v="128091"/>
    <n v="3"/>
    <n v="4"/>
  </r>
  <r>
    <x v="8"/>
    <s v="Ioniq 6"/>
    <x v="3"/>
    <x v="0"/>
    <n v="45837.99"/>
    <n v="84.4"/>
    <n v="306"/>
    <n v="182.4"/>
    <n v="3.82"/>
    <n v="192"/>
    <n v="416"/>
    <n v="397"/>
    <s v="RWD"/>
    <n v="5"/>
    <x v="5"/>
    <n v="36.200000000000003"/>
    <n v="1557"/>
    <x v="1"/>
    <n v="0"/>
    <x v="3"/>
    <x v="1"/>
    <n v="96533"/>
    <n v="3.3"/>
    <n v="3"/>
  </r>
  <r>
    <x v="0"/>
    <s v="ID.4"/>
    <x v="0"/>
    <x v="0"/>
    <n v="80921.960000000006"/>
    <n v="108.9"/>
    <n v="399"/>
    <n v="199.3"/>
    <n v="3.77"/>
    <n v="198"/>
    <n v="878"/>
    <n v="828"/>
    <s v="RWD"/>
    <n v="5"/>
    <x v="3"/>
    <n v="29.1"/>
    <n v="1500"/>
    <x v="2"/>
    <n v="1"/>
    <x v="0"/>
    <x v="2"/>
    <n v="234095"/>
    <n v="3.86"/>
    <n v="5"/>
  </r>
  <r>
    <x v="4"/>
    <s v="Model X"/>
    <x v="0"/>
    <x v="0"/>
    <n v="184745.86"/>
    <n v="106.3"/>
    <n v="348"/>
    <n v="325.60000000000002"/>
    <n v="3.73"/>
    <n v="198"/>
    <n v="1000"/>
    <n v="915"/>
    <s v="RWD"/>
    <n v="5"/>
    <x v="4"/>
    <n v="31.5"/>
    <n v="1782"/>
    <x v="2"/>
    <n v="3"/>
    <x v="2"/>
    <x v="0"/>
    <n v="148529"/>
    <n v="4.29"/>
    <n v="5"/>
  </r>
  <r>
    <x v="4"/>
    <s v="Cybertruck"/>
    <x v="2"/>
    <x v="0"/>
    <n v="177944.09"/>
    <n v="93"/>
    <n v="295"/>
    <n v="334.1"/>
    <n v="3.79"/>
    <n v="193"/>
    <n v="1000"/>
    <n v="868"/>
    <s v="RWD"/>
    <n v="5"/>
    <x v="0"/>
    <n v="59.7"/>
    <n v="2270"/>
    <x v="2"/>
    <n v="3"/>
    <x v="2"/>
    <x v="0"/>
    <n v="234160"/>
    <n v="3.91"/>
    <n v="6"/>
  </r>
  <r>
    <x v="4"/>
    <s v="Cybertruck"/>
    <x v="2"/>
    <x v="3"/>
    <n v="59967.87"/>
    <n v="70"/>
    <n v="238"/>
    <n v="220.7"/>
    <n v="5.24"/>
    <n v="159"/>
    <n v="393"/>
    <n v="348"/>
    <s v="AWD"/>
    <n v="7"/>
    <x v="0"/>
    <n v="63.9"/>
    <n v="2448"/>
    <x v="0"/>
    <n v="2"/>
    <x v="2"/>
    <x v="1"/>
    <n v="228933"/>
    <n v="3.44"/>
    <n v="5"/>
  </r>
  <r>
    <x v="10"/>
    <s v="iX"/>
    <x v="2"/>
    <x v="0"/>
    <n v="84125.95"/>
    <n v="98.9"/>
    <n v="363"/>
    <n v="225.3"/>
    <n v="4.25"/>
    <n v="192"/>
    <n v="658"/>
    <n v="592"/>
    <s v="RWD"/>
    <n v="5"/>
    <x v="3"/>
    <n v="34.200000000000003"/>
    <n v="1588"/>
    <x v="1"/>
    <n v="1"/>
    <x v="0"/>
    <x v="2"/>
    <n v="33561"/>
    <n v="3.47"/>
    <n v="7"/>
  </r>
  <r>
    <x v="7"/>
    <s v="Qin"/>
    <x v="1"/>
    <x v="4"/>
    <n v="37515.42"/>
    <n v="52.5"/>
    <n v="194"/>
    <n v="133.19999999999999"/>
    <n v="7.93"/>
    <n v="137"/>
    <n v="360"/>
    <n v="323"/>
    <s v="AWD"/>
    <n v="5"/>
    <x v="0"/>
    <n v="51.2"/>
    <n v="2894"/>
    <x v="0"/>
    <n v="0"/>
    <x v="4"/>
    <x v="1"/>
    <n v="192045"/>
    <n v="3.31"/>
    <n v="5"/>
  </r>
  <r>
    <x v="8"/>
    <s v="Kona Electric"/>
    <x v="1"/>
    <x v="2"/>
    <n v="84513.62"/>
    <n v="109.9"/>
    <n v="400"/>
    <n v="83.7"/>
    <n v="5.88"/>
    <n v="165"/>
    <n v="1000"/>
    <n v="907"/>
    <s v="RWD"/>
    <n v="7"/>
    <x v="4"/>
    <n v="32.6"/>
    <n v="1784"/>
    <x v="0"/>
    <n v="1"/>
    <x v="3"/>
    <x v="2"/>
    <n v="95418"/>
    <n v="3.69"/>
    <n v="4"/>
  </r>
  <r>
    <x v="11"/>
    <s v="e-tron"/>
    <x v="3"/>
    <x v="1"/>
    <n v="80343.06"/>
    <n v="66.3"/>
    <n v="231"/>
    <n v="56.2"/>
    <n v="6.02"/>
    <n v="161"/>
    <n v="459"/>
    <n v="414"/>
    <s v="RWD"/>
    <n v="7"/>
    <x v="2"/>
    <n v="67.099999999999994"/>
    <n v="1500"/>
    <x v="1"/>
    <n v="1"/>
    <x v="0"/>
    <x v="2"/>
    <n v="43236"/>
    <n v="3.38"/>
    <n v="7"/>
  </r>
  <r>
    <x v="7"/>
    <s v="Leaf 50X"/>
    <x v="3"/>
    <x v="3"/>
    <n v="75747.87"/>
    <n v="69.2"/>
    <n v="279"/>
    <n v="108.2"/>
    <n v="6.2"/>
    <n v="154"/>
    <n v="815"/>
    <n v="722"/>
    <s v="FWD"/>
    <n v="5"/>
    <x v="5"/>
    <n v="30.5"/>
    <n v="1500"/>
    <x v="2"/>
    <n v="0"/>
    <x v="4"/>
    <x v="2"/>
    <n v="114789"/>
    <n v="3.65"/>
    <n v="3"/>
  </r>
  <r>
    <x v="0"/>
    <s v="ID.3"/>
    <x v="2"/>
    <x v="0"/>
    <n v="50097.49"/>
    <n v="98.3"/>
    <n v="341"/>
    <n v="179.6"/>
    <n v="2.79"/>
    <n v="200"/>
    <n v="436"/>
    <n v="358"/>
    <s v="FWD"/>
    <n v="5"/>
    <x v="2"/>
    <n v="75.099999999999994"/>
    <n v="1780"/>
    <x v="2"/>
    <n v="0"/>
    <x v="0"/>
    <x v="1"/>
    <n v="263009"/>
    <n v="3.76"/>
    <n v="5"/>
  </r>
  <r>
    <x v="2"/>
    <s v="Bolt EUV"/>
    <x v="2"/>
    <x v="1"/>
    <n v="43668.28"/>
    <n v="79.400000000000006"/>
    <n v="284"/>
    <n v="108.1"/>
    <n v="7.81"/>
    <n v="120"/>
    <n v="453"/>
    <n v="469"/>
    <s v="RWD"/>
    <n v="7"/>
    <x v="0"/>
    <n v="60.3"/>
    <n v="2572"/>
    <x v="0"/>
    <n v="1"/>
    <x v="2"/>
    <x v="1"/>
    <n v="1211"/>
    <n v="3.34"/>
    <n v="3"/>
  </r>
  <r>
    <x v="7"/>
    <s v="Qin"/>
    <x v="3"/>
    <x v="2"/>
    <n v="61700.639999999999"/>
    <n v="101.3"/>
    <n v="351"/>
    <n v="69.900000000000006"/>
    <n v="4.53"/>
    <n v="175"/>
    <n v="649"/>
    <n v="584"/>
    <s v="AWD"/>
    <n v="7"/>
    <x v="1"/>
    <n v="62.5"/>
    <n v="1726"/>
    <x v="1"/>
    <n v="1"/>
    <x v="4"/>
    <x v="1"/>
    <n v="190763"/>
    <n v="4"/>
    <n v="3"/>
  </r>
  <r>
    <x v="4"/>
    <s v="Model 3"/>
    <x v="3"/>
    <x v="1"/>
    <n v="152706.13"/>
    <n v="77.099999999999994"/>
    <n v="260"/>
    <n v="325.60000000000002"/>
    <n v="6.63"/>
    <n v="155"/>
    <n v="1000"/>
    <n v="857"/>
    <s v="AWD"/>
    <n v="5"/>
    <x v="1"/>
    <n v="42.1"/>
    <n v="1903"/>
    <x v="0"/>
    <n v="2"/>
    <x v="2"/>
    <x v="0"/>
    <n v="172494"/>
    <n v="3.77"/>
    <n v="5"/>
  </r>
  <r>
    <x v="7"/>
    <s v="Max"/>
    <x v="0"/>
    <x v="0"/>
    <n v="26461.18"/>
    <n v="71.3"/>
    <n v="265"/>
    <n v="249.5"/>
    <n v="2.9"/>
    <n v="200"/>
    <n v="236"/>
    <n v="202"/>
    <s v="RWD"/>
    <n v="7"/>
    <x v="1"/>
    <n v="41.5"/>
    <n v="2379"/>
    <x v="2"/>
    <n v="2"/>
    <x v="4"/>
    <x v="3"/>
    <n v="226324"/>
    <n v="3.6"/>
    <n v="3"/>
  </r>
  <r>
    <x v="4"/>
    <s v="Model 3"/>
    <x v="5"/>
    <x v="3"/>
    <n v="36489.360000000001"/>
    <n v="45.5"/>
    <n v="150"/>
    <n v="253.7"/>
    <n v="7.97"/>
    <n v="131"/>
    <n v="247"/>
    <n v="226"/>
    <s v="AWD"/>
    <n v="5"/>
    <x v="2"/>
    <n v="65.7"/>
    <n v="1500"/>
    <x v="2"/>
    <n v="2"/>
    <x v="2"/>
    <x v="1"/>
    <n v="214895"/>
    <n v="3.58"/>
    <n v="5"/>
  </r>
  <r>
    <x v="13"/>
    <s v="R3"/>
    <x v="4"/>
    <x v="3"/>
    <n v="60978.95"/>
    <n v="84.5"/>
    <n v="304"/>
    <n v="61.5"/>
    <n v="6.47"/>
    <n v="153"/>
    <n v="150"/>
    <n v="200"/>
    <s v="FWD"/>
    <n v="5"/>
    <x v="3"/>
    <n v="16.8"/>
    <n v="1500"/>
    <x v="1"/>
    <n v="2"/>
    <x v="2"/>
    <x v="1"/>
    <n v="7599"/>
    <n v="3.41"/>
    <n v="6"/>
  </r>
  <r>
    <x v="9"/>
    <s v="F-150 Lightning"/>
    <x v="3"/>
    <x v="3"/>
    <n v="57536.04"/>
    <n v="73.3"/>
    <n v="254"/>
    <n v="69.5"/>
    <n v="7.43"/>
    <n v="139"/>
    <n v="619"/>
    <n v="529"/>
    <s v="FWD"/>
    <n v="4"/>
    <x v="0"/>
    <n v="74.099999999999994"/>
    <n v="2341"/>
    <x v="0"/>
    <n v="1"/>
    <x v="2"/>
    <x v="1"/>
    <n v="44164"/>
    <n v="3.54"/>
    <n v="4"/>
  </r>
  <r>
    <x v="10"/>
    <s v="i3"/>
    <x v="3"/>
    <x v="0"/>
    <n v="162822.68"/>
    <n v="70.599999999999994"/>
    <n v="255"/>
    <n v="193.4"/>
    <n v="2.76"/>
    <n v="200"/>
    <n v="1000"/>
    <n v="867"/>
    <s v="AWD"/>
    <n v="7"/>
    <x v="0"/>
    <n v="62.6"/>
    <n v="2729"/>
    <x v="1"/>
    <n v="1"/>
    <x v="0"/>
    <x v="0"/>
    <n v="48304"/>
    <n v="3.22"/>
    <n v="7"/>
  </r>
  <r>
    <x v="5"/>
    <s v="EQG"/>
    <x v="0"/>
    <x v="2"/>
    <n v="163924.89000000001"/>
    <n v="83.9"/>
    <n v="285"/>
    <n v="119.9"/>
    <n v="4.66"/>
    <n v="180"/>
    <n v="1000"/>
    <n v="946"/>
    <s v="AWD"/>
    <n v="5"/>
    <x v="4"/>
    <n v="27.2"/>
    <n v="1540"/>
    <x v="0"/>
    <n v="1"/>
    <x v="0"/>
    <x v="0"/>
    <n v="50822"/>
    <n v="3.77"/>
    <n v="6"/>
  </r>
  <r>
    <x v="9"/>
    <s v="F-150 Lightning"/>
    <x v="2"/>
    <x v="2"/>
    <n v="54997.37"/>
    <n v="100.7"/>
    <n v="353"/>
    <n v="144.1"/>
    <n v="4.3499999999999996"/>
    <n v="183"/>
    <n v="523"/>
    <n v="469"/>
    <s v="FWD"/>
    <n v="2"/>
    <x v="0"/>
    <n v="60.8"/>
    <n v="2427"/>
    <x v="1"/>
    <n v="0"/>
    <x v="2"/>
    <x v="1"/>
    <n v="49671"/>
    <n v="3.66"/>
    <n v="3"/>
  </r>
  <r>
    <x v="4"/>
    <s v="Model Y"/>
    <x v="5"/>
    <x v="4"/>
    <n v="96644.91"/>
    <n v="76.400000000000006"/>
    <n v="244"/>
    <n v="238.4"/>
    <n v="5.98"/>
    <n v="164"/>
    <n v="684"/>
    <n v="604"/>
    <s v="RWD"/>
    <n v="5"/>
    <x v="5"/>
    <n v="28.9"/>
    <n v="1500"/>
    <x v="1"/>
    <n v="2"/>
    <x v="2"/>
    <x v="2"/>
    <n v="408778"/>
    <n v="4.03"/>
    <n v="4"/>
  </r>
  <r>
    <x v="11"/>
    <s v="e-tron"/>
    <x v="3"/>
    <x v="4"/>
    <n v="72972.25"/>
    <n v="58"/>
    <n v="223"/>
    <n v="129.9"/>
    <n v="7.8"/>
    <n v="139"/>
    <n v="409"/>
    <n v="398"/>
    <s v="FWD"/>
    <n v="7"/>
    <x v="1"/>
    <n v="63.6"/>
    <n v="1928"/>
    <x v="1"/>
    <n v="1"/>
    <x v="0"/>
    <x v="2"/>
    <n v="23427"/>
    <n v="3.35"/>
    <n v="5"/>
  </r>
  <r>
    <x v="3"/>
    <s v="Niro EV"/>
    <x v="0"/>
    <x v="1"/>
    <n v="38796.18"/>
    <n v="49.4"/>
    <n v="150"/>
    <n v="141.19999999999999"/>
    <n v="5.12"/>
    <n v="168"/>
    <n v="376"/>
    <n v="343"/>
    <s v="RWD"/>
    <n v="7"/>
    <x v="4"/>
    <n v="38.4"/>
    <n v="1751"/>
    <x v="1"/>
    <n v="1"/>
    <x v="3"/>
    <x v="1"/>
    <n v="146563"/>
    <n v="3.09"/>
    <n v="4"/>
  </r>
  <r>
    <x v="9"/>
    <s v="Mustang Mach-E"/>
    <x v="0"/>
    <x v="3"/>
    <n v="59885.41"/>
    <n v="65.900000000000006"/>
    <n v="231"/>
    <n v="81.2"/>
    <n v="6.28"/>
    <n v="148"/>
    <n v="667"/>
    <n v="623"/>
    <s v="AWD"/>
    <n v="5"/>
    <x v="0"/>
    <n v="65.7"/>
    <n v="2597"/>
    <x v="0"/>
    <n v="1"/>
    <x v="2"/>
    <x v="1"/>
    <n v="28589"/>
    <n v="3.5"/>
    <n v="4"/>
  </r>
  <r>
    <x v="11"/>
    <s v="Q6 e-tron"/>
    <x v="2"/>
    <x v="2"/>
    <n v="130606.12"/>
    <n v="106.6"/>
    <n v="385"/>
    <n v="58.2"/>
    <n v="5.2"/>
    <n v="169"/>
    <n v="1000"/>
    <n v="873"/>
    <s v="RWD"/>
    <n v="7"/>
    <x v="1"/>
    <n v="61.8"/>
    <n v="2080"/>
    <x v="1"/>
    <n v="2"/>
    <x v="0"/>
    <x v="0"/>
    <n v="39897"/>
    <n v="3.7"/>
    <n v="7"/>
  </r>
  <r>
    <x v="7"/>
    <s v="Atto 3"/>
    <x v="2"/>
    <x v="2"/>
    <n v="47823.41"/>
    <n v="77.2"/>
    <n v="258"/>
    <n v="118.3"/>
    <n v="4.47"/>
    <n v="182"/>
    <n v="535"/>
    <n v="460"/>
    <s v="RWD"/>
    <n v="7"/>
    <x v="4"/>
    <n v="33.5"/>
    <n v="1500"/>
    <x v="1"/>
    <n v="0"/>
    <x v="4"/>
    <x v="1"/>
    <n v="108045"/>
    <n v="3.61"/>
    <n v="4"/>
  </r>
  <r>
    <x v="4"/>
    <s v="Model S"/>
    <x v="0"/>
    <x v="0"/>
    <n v="65004.86"/>
    <n v="111"/>
    <n v="405"/>
    <n v="260.3"/>
    <n v="3.66"/>
    <n v="200"/>
    <n v="448"/>
    <n v="345"/>
    <s v="RWD"/>
    <n v="7"/>
    <x v="0"/>
    <n v="71.3"/>
    <n v="2744"/>
    <x v="0"/>
    <n v="3"/>
    <x v="2"/>
    <x v="2"/>
    <n v="208805"/>
    <n v="4.34"/>
    <n v="4"/>
  </r>
  <r>
    <x v="7"/>
    <s v="Qin"/>
    <x v="2"/>
    <x v="4"/>
    <n v="21712.400000000001"/>
    <n v="83.3"/>
    <n v="307"/>
    <n v="77.099999999999994"/>
    <n v="5.75"/>
    <n v="171"/>
    <n v="190"/>
    <n v="200"/>
    <s v="RWD"/>
    <n v="5"/>
    <x v="2"/>
    <n v="78.2"/>
    <n v="1628"/>
    <x v="0"/>
    <n v="0"/>
    <x v="4"/>
    <x v="3"/>
    <n v="169389"/>
    <n v="3.37"/>
    <n v="3"/>
  </r>
  <r>
    <x v="0"/>
    <s v="ID. Aero"/>
    <x v="2"/>
    <x v="2"/>
    <n v="54335.65"/>
    <n v="77.599999999999994"/>
    <n v="286"/>
    <n v="91.5"/>
    <n v="4.84"/>
    <n v="186"/>
    <n v="485"/>
    <n v="454"/>
    <s v="RWD"/>
    <n v="7"/>
    <x v="5"/>
    <n v="18.399999999999999"/>
    <n v="1630"/>
    <x v="1"/>
    <n v="0"/>
    <x v="0"/>
    <x v="1"/>
    <n v="284565"/>
    <n v="3.65"/>
    <n v="3"/>
  </r>
  <r>
    <x v="9"/>
    <s v="Explorer EV"/>
    <x v="2"/>
    <x v="3"/>
    <n v="53737.95"/>
    <n v="61.5"/>
    <n v="226"/>
    <n v="78.099999999999994"/>
    <n v="7.47"/>
    <n v="152"/>
    <n v="555"/>
    <n v="526"/>
    <s v="RWD"/>
    <n v="7"/>
    <x v="5"/>
    <n v="32.6"/>
    <n v="1500"/>
    <x v="2"/>
    <n v="1"/>
    <x v="2"/>
    <x v="1"/>
    <n v="62660"/>
    <n v="3.28"/>
    <n v="3"/>
  </r>
  <r>
    <x v="5"/>
    <s v="GLE EV"/>
    <x v="5"/>
    <x v="4"/>
    <n v="68994.81"/>
    <n v="48.5"/>
    <n v="168"/>
    <n v="130.19999999999999"/>
    <n v="6.02"/>
    <n v="157"/>
    <n v="287"/>
    <n v="240"/>
    <s v="FWD"/>
    <n v="7"/>
    <x v="2"/>
    <n v="60.2"/>
    <n v="1568"/>
    <x v="1"/>
    <n v="1"/>
    <x v="0"/>
    <x v="2"/>
    <n v="79213"/>
    <n v="3.77"/>
    <n v="7"/>
  </r>
  <r>
    <x v="4"/>
    <s v="Model Y"/>
    <x v="2"/>
    <x v="3"/>
    <n v="105607.38"/>
    <n v="44.4"/>
    <n v="150"/>
    <n v="201"/>
    <n v="6.21"/>
    <n v="163"/>
    <n v="784"/>
    <n v="689"/>
    <s v="FWD"/>
    <n v="7"/>
    <x v="2"/>
    <n v="79.8"/>
    <n v="1500"/>
    <x v="0"/>
    <n v="2"/>
    <x v="2"/>
    <x v="0"/>
    <n v="422392"/>
    <n v="3.52"/>
    <n v="5"/>
  </r>
  <r>
    <x v="8"/>
    <s v="i30"/>
    <x v="3"/>
    <x v="0"/>
    <n v="97964.98"/>
    <n v="106.9"/>
    <n v="392"/>
    <n v="183.9"/>
    <n v="3.92"/>
    <n v="192"/>
    <n v="1000"/>
    <n v="914"/>
    <s v="RWD"/>
    <n v="7"/>
    <x v="0"/>
    <n v="59.8"/>
    <n v="2842"/>
    <x v="0"/>
    <n v="0"/>
    <x v="3"/>
    <x v="2"/>
    <n v="98285"/>
    <n v="3.82"/>
    <n v="3"/>
  </r>
  <r>
    <x v="0"/>
    <s v="ID. Buzz"/>
    <x v="3"/>
    <x v="4"/>
    <n v="60229.21"/>
    <n v="40.6"/>
    <n v="150"/>
    <n v="137.80000000000001"/>
    <n v="7.86"/>
    <n v="145"/>
    <n v="580"/>
    <n v="569"/>
    <s v="FWD"/>
    <n v="7"/>
    <x v="1"/>
    <n v="45.9"/>
    <n v="2260"/>
    <x v="1"/>
    <n v="1"/>
    <x v="0"/>
    <x v="1"/>
    <n v="215577"/>
    <n v="3.2"/>
    <n v="4"/>
  </r>
  <r>
    <x v="7"/>
    <s v="Leaf 50X"/>
    <x v="3"/>
    <x v="1"/>
    <n v="41881.699999999997"/>
    <n v="82.8"/>
    <n v="280"/>
    <n v="147"/>
    <n v="7.2"/>
    <n v="138"/>
    <n v="459"/>
    <n v="427"/>
    <s v="AWD"/>
    <n v="7"/>
    <x v="1"/>
    <n v="61.7"/>
    <n v="2237"/>
    <x v="0"/>
    <n v="1"/>
    <x v="4"/>
    <x v="1"/>
    <n v="128802"/>
    <n v="3.46"/>
    <n v="3"/>
  </r>
  <r>
    <x v="4"/>
    <s v="Model 3"/>
    <x v="2"/>
    <x v="2"/>
    <n v="138760.95999999999"/>
    <n v="99.4"/>
    <n v="376"/>
    <n v="338.9"/>
    <n v="5.24"/>
    <n v="175"/>
    <n v="1000"/>
    <n v="928"/>
    <s v="FWD"/>
    <n v="5"/>
    <x v="5"/>
    <n v="19.899999999999999"/>
    <n v="1500"/>
    <x v="1"/>
    <n v="2"/>
    <x v="2"/>
    <x v="0"/>
    <n v="204411"/>
    <n v="3.95"/>
    <n v="5"/>
  </r>
  <r>
    <x v="7"/>
    <s v="Atto 3"/>
    <x v="3"/>
    <x v="2"/>
    <n v="90653.56"/>
    <n v="81.3"/>
    <n v="304"/>
    <n v="52.5"/>
    <n v="5.38"/>
    <n v="164"/>
    <n v="1000"/>
    <n v="895"/>
    <s v="FWD"/>
    <n v="5"/>
    <x v="2"/>
    <n v="64"/>
    <n v="1500"/>
    <x v="1"/>
    <n v="0"/>
    <x v="4"/>
    <x v="2"/>
    <n v="227338"/>
    <n v="3.64"/>
    <n v="4"/>
  </r>
  <r>
    <x v="12"/>
    <s v="EL8"/>
    <x v="1"/>
    <x v="3"/>
    <n v="53544.18"/>
    <n v="45"/>
    <n v="186"/>
    <n v="121.5"/>
    <n v="5.72"/>
    <n v="172"/>
    <n v="279"/>
    <n v="237"/>
    <s v="AWD"/>
    <n v="7"/>
    <x v="1"/>
    <n v="40.799999999999997"/>
    <n v="1956"/>
    <x v="0"/>
    <n v="1"/>
    <x v="4"/>
    <x v="1"/>
    <n v="10495"/>
    <n v="3.38"/>
    <n v="5"/>
  </r>
  <r>
    <x v="7"/>
    <s v="Dolphin"/>
    <x v="3"/>
    <x v="2"/>
    <n v="27390.16"/>
    <n v="86"/>
    <n v="278"/>
    <n v="137.30000000000001"/>
    <n v="4.17"/>
    <n v="187"/>
    <n v="321"/>
    <n v="285"/>
    <s v="AWD"/>
    <n v="7"/>
    <x v="4"/>
    <n v="19.8"/>
    <n v="1616"/>
    <x v="0"/>
    <n v="0"/>
    <x v="4"/>
    <x v="3"/>
    <n v="146828"/>
    <n v="3.67"/>
    <n v="4"/>
  </r>
  <r>
    <x v="8"/>
    <s v="Ioniq 5"/>
    <x v="3"/>
    <x v="2"/>
    <n v="94028.85"/>
    <n v="102.7"/>
    <n v="334"/>
    <n v="104.5"/>
    <n v="4.08"/>
    <n v="194"/>
    <n v="1000"/>
    <n v="949"/>
    <s v="AWD"/>
    <n v="5"/>
    <x v="1"/>
    <n v="55.4"/>
    <n v="2407"/>
    <x v="0"/>
    <n v="1"/>
    <x v="3"/>
    <x v="2"/>
    <n v="71912"/>
    <n v="3.59"/>
    <n v="3"/>
  </r>
  <r>
    <x v="2"/>
    <s v="Bolt EV"/>
    <x v="3"/>
    <x v="1"/>
    <n v="59620.99"/>
    <n v="44.8"/>
    <n v="150"/>
    <n v="111.3"/>
    <n v="7.42"/>
    <n v="142"/>
    <n v="825"/>
    <n v="763"/>
    <s v="RWD"/>
    <n v="7"/>
    <x v="4"/>
    <n v="20.100000000000001"/>
    <n v="1744"/>
    <x v="1"/>
    <n v="0"/>
    <x v="2"/>
    <x v="1"/>
    <n v="21979"/>
    <n v="3.27"/>
    <n v="4"/>
  </r>
  <r>
    <x v="0"/>
    <s v="ID. Buzz"/>
    <x v="3"/>
    <x v="0"/>
    <n v="78713.929999999993"/>
    <n v="85.5"/>
    <n v="300"/>
    <n v="199.7"/>
    <n v="2.86"/>
    <n v="200"/>
    <n v="812"/>
    <n v="761"/>
    <s v="AWD"/>
    <n v="5"/>
    <x v="0"/>
    <n v="60.2"/>
    <n v="2608"/>
    <x v="0"/>
    <n v="0"/>
    <x v="0"/>
    <x v="2"/>
    <n v="216549"/>
    <n v="3.66"/>
    <n v="4"/>
  </r>
  <r>
    <x v="6"/>
    <s v="Ocean"/>
    <x v="1"/>
    <x v="2"/>
    <n v="59484.88"/>
    <n v="82.4"/>
    <n v="287"/>
    <n v="106"/>
    <n v="5.72"/>
    <n v="163"/>
    <n v="389"/>
    <n v="407"/>
    <s v="RWD"/>
    <n v="7"/>
    <x v="3"/>
    <n v="19.8"/>
    <n v="1611"/>
    <x v="1"/>
    <n v="0"/>
    <x v="2"/>
    <x v="1"/>
    <n v="23860"/>
    <n v="3.43"/>
    <n v="5"/>
  </r>
  <r>
    <x v="1"/>
    <s v="bZ4X"/>
    <x v="3"/>
    <x v="0"/>
    <n v="62345.64"/>
    <n v="105.4"/>
    <n v="377"/>
    <n v="208.3"/>
    <n v="2.75"/>
    <n v="200"/>
    <n v="708"/>
    <n v="618"/>
    <s v="AWD"/>
    <n v="5"/>
    <x v="0"/>
    <n v="68.7"/>
    <n v="2450"/>
    <x v="1"/>
    <n v="0"/>
    <x v="1"/>
    <x v="1"/>
    <n v="15819"/>
    <n v="4.18"/>
    <n v="3"/>
  </r>
  <r>
    <x v="7"/>
    <s v="Dolphin"/>
    <x v="0"/>
    <x v="0"/>
    <n v="33904.31"/>
    <n v="91.8"/>
    <n v="310"/>
    <n v="177.7"/>
    <n v="3.62"/>
    <n v="200"/>
    <n v="356"/>
    <n v="315"/>
    <s v="RWD"/>
    <n v="5"/>
    <x v="5"/>
    <n v="33.1"/>
    <n v="1623"/>
    <x v="0"/>
    <n v="2"/>
    <x v="4"/>
    <x v="3"/>
    <n v="106140"/>
    <n v="3.65"/>
    <n v="3"/>
  </r>
  <r>
    <x v="8"/>
    <s v="Kona Electric"/>
    <x v="3"/>
    <x v="2"/>
    <n v="40497.64"/>
    <n v="109"/>
    <n v="417"/>
    <n v="73.7"/>
    <n v="4.97"/>
    <n v="177"/>
    <n v="340"/>
    <n v="302"/>
    <s v="AWD"/>
    <n v="7"/>
    <x v="1"/>
    <n v="41.8"/>
    <n v="2284"/>
    <x v="2"/>
    <n v="1"/>
    <x v="3"/>
    <x v="1"/>
    <n v="61921"/>
    <n v="3.92"/>
    <n v="3"/>
  </r>
  <r>
    <x v="7"/>
    <s v="Dolphin"/>
    <x v="2"/>
    <x v="1"/>
    <n v="89340.39"/>
    <n v="64.599999999999994"/>
    <n v="223"/>
    <n v="111.7"/>
    <n v="7.58"/>
    <n v="132"/>
    <n v="1000"/>
    <n v="861"/>
    <s v="AWD"/>
    <n v="7"/>
    <x v="2"/>
    <n v="67.3"/>
    <n v="1633"/>
    <x v="1"/>
    <n v="2"/>
    <x v="4"/>
    <x v="2"/>
    <n v="229760"/>
    <n v="3.35"/>
    <n v="4"/>
  </r>
  <r>
    <x v="7"/>
    <s v="Seagull"/>
    <x v="0"/>
    <x v="2"/>
    <n v="77902.259999999995"/>
    <n v="85.2"/>
    <n v="288"/>
    <n v="67"/>
    <n v="4.1900000000000004"/>
    <n v="183"/>
    <n v="837"/>
    <n v="747"/>
    <s v="AWD"/>
    <n v="5"/>
    <x v="1"/>
    <n v="54.1"/>
    <n v="1861"/>
    <x v="1"/>
    <n v="1"/>
    <x v="4"/>
    <x v="2"/>
    <n v="177211"/>
    <n v="3.38"/>
    <n v="3"/>
  </r>
  <r>
    <x v="4"/>
    <s v="Model S"/>
    <x v="3"/>
    <x v="4"/>
    <n v="67489.81"/>
    <n v="67.099999999999994"/>
    <n v="239"/>
    <n v="339.9"/>
    <n v="6.73"/>
    <n v="146"/>
    <n v="480"/>
    <n v="402"/>
    <s v="RWD"/>
    <n v="5"/>
    <x v="4"/>
    <n v="28.4"/>
    <n v="1692"/>
    <x v="0"/>
    <n v="2"/>
    <x v="2"/>
    <x v="2"/>
    <n v="226745"/>
    <n v="3.61"/>
    <n v="5"/>
  </r>
  <r>
    <x v="3"/>
    <s v="Sportage EV"/>
    <x v="3"/>
    <x v="0"/>
    <n v="99993.15"/>
    <n v="93.7"/>
    <n v="336"/>
    <n v="154"/>
    <n v="3.15"/>
    <n v="196"/>
    <n v="1000"/>
    <n v="897"/>
    <s v="RWD"/>
    <n v="5"/>
    <x v="1"/>
    <n v="39.6"/>
    <n v="2114"/>
    <x v="0"/>
    <n v="1"/>
    <x v="3"/>
    <x v="2"/>
    <n v="52100"/>
    <n v="3.59"/>
    <n v="3"/>
  </r>
  <r>
    <x v="8"/>
    <s v="Ioniq"/>
    <x v="2"/>
    <x v="3"/>
    <n v="29445.040000000001"/>
    <n v="64.2"/>
    <n v="222"/>
    <n v="133"/>
    <n v="5.4"/>
    <n v="173"/>
    <n v="180"/>
    <n v="200"/>
    <s v="FWD"/>
    <n v="7"/>
    <x v="3"/>
    <n v="30.7"/>
    <n v="1684"/>
    <x v="1"/>
    <n v="2"/>
    <x v="3"/>
    <x v="3"/>
    <n v="53245"/>
    <n v="3.2"/>
    <n v="3"/>
  </r>
  <r>
    <x v="4"/>
    <s v="Cybertruck"/>
    <x v="2"/>
    <x v="2"/>
    <n v="57586.87"/>
    <n v="108.4"/>
    <n v="364"/>
    <n v="235.9"/>
    <n v="5.26"/>
    <n v="163"/>
    <n v="428"/>
    <n v="397"/>
    <s v="RWD"/>
    <n v="5"/>
    <x v="0"/>
    <n v="69.599999999999994"/>
    <n v="2629"/>
    <x v="0"/>
    <n v="2"/>
    <x v="2"/>
    <x v="1"/>
    <n v="136381"/>
    <n v="3.84"/>
    <n v="4"/>
  </r>
  <r>
    <x v="7"/>
    <s v="Dolphin"/>
    <x v="0"/>
    <x v="4"/>
    <n v="50127.13"/>
    <n v="47.6"/>
    <n v="150"/>
    <n v="55.7"/>
    <n v="6.75"/>
    <n v="140"/>
    <n v="584"/>
    <n v="556"/>
    <s v="FWD"/>
    <n v="7"/>
    <x v="5"/>
    <n v="29.6"/>
    <n v="1618"/>
    <x v="0"/>
    <n v="1"/>
    <x v="4"/>
    <x v="1"/>
    <n v="176192"/>
    <n v="3.19"/>
    <n v="4"/>
  </r>
  <r>
    <x v="11"/>
    <s v="Q6 e-tron"/>
    <x v="2"/>
    <x v="4"/>
    <n v="112837.91"/>
    <n v="61"/>
    <n v="222"/>
    <n v="121.7"/>
    <n v="6.33"/>
    <n v="144"/>
    <n v="864"/>
    <n v="787"/>
    <s v="FWD"/>
    <n v="7"/>
    <x v="5"/>
    <n v="17.100000000000001"/>
    <n v="1591"/>
    <x v="2"/>
    <n v="1"/>
    <x v="0"/>
    <x v="0"/>
    <n v="45029"/>
    <n v="3.56"/>
    <n v="8"/>
  </r>
  <r>
    <x v="7"/>
    <s v="Max"/>
    <x v="0"/>
    <x v="1"/>
    <n v="29372.26"/>
    <n v="77"/>
    <n v="257"/>
    <n v="100.3"/>
    <n v="7.52"/>
    <n v="129"/>
    <n v="322"/>
    <n v="336"/>
    <s v="AWD"/>
    <n v="5"/>
    <x v="3"/>
    <n v="34.5"/>
    <n v="1500"/>
    <x v="0"/>
    <n v="0"/>
    <x v="4"/>
    <x v="3"/>
    <n v="240988"/>
    <n v="3.46"/>
    <n v="4"/>
  </r>
  <r>
    <x v="4"/>
    <s v="Model Y"/>
    <x v="2"/>
    <x v="3"/>
    <n v="40219.61"/>
    <n v="80.099999999999994"/>
    <n v="308"/>
    <n v="347.6"/>
    <n v="5.15"/>
    <n v="171"/>
    <n v="274"/>
    <n v="232"/>
    <s v="AWD"/>
    <n v="5"/>
    <x v="4"/>
    <n v="17"/>
    <n v="1547"/>
    <x v="1"/>
    <n v="2"/>
    <x v="2"/>
    <x v="1"/>
    <n v="429025"/>
    <n v="3.73"/>
    <n v="5"/>
  </r>
  <r>
    <x v="8"/>
    <s v="i30"/>
    <x v="3"/>
    <x v="3"/>
    <n v="51159.74"/>
    <n v="75.599999999999994"/>
    <n v="278"/>
    <n v="128.5"/>
    <n v="6.46"/>
    <n v="153"/>
    <n v="573"/>
    <n v="520"/>
    <s v="AWD"/>
    <n v="5"/>
    <x v="2"/>
    <n v="79"/>
    <n v="1683"/>
    <x v="1"/>
    <n v="1"/>
    <x v="3"/>
    <x v="1"/>
    <n v="89226"/>
    <n v="3.67"/>
    <n v="4"/>
  </r>
  <r>
    <x v="14"/>
    <s v="Taycan"/>
    <x v="2"/>
    <x v="1"/>
    <n v="142936.98000000001"/>
    <n v="54.2"/>
    <n v="186"/>
    <n v="345"/>
    <n v="7.83"/>
    <n v="130"/>
    <n v="677"/>
    <n v="554"/>
    <s v="RWD"/>
    <n v="5"/>
    <x v="1"/>
    <n v="67.8"/>
    <n v="2128"/>
    <x v="1"/>
    <n v="2"/>
    <x v="0"/>
    <x v="0"/>
    <n v="23751"/>
    <n v="3.87"/>
    <n v="5"/>
  </r>
  <r>
    <x v="7"/>
    <s v="Qin"/>
    <x v="2"/>
    <x v="0"/>
    <n v="99381.36"/>
    <n v="80.7"/>
    <n v="289"/>
    <n v="159.69999999999999"/>
    <n v="2.61"/>
    <n v="200"/>
    <n v="1000"/>
    <n v="891"/>
    <s v="AWD"/>
    <n v="5"/>
    <x v="0"/>
    <n v="68.3"/>
    <n v="2757"/>
    <x v="0"/>
    <n v="0"/>
    <x v="4"/>
    <x v="2"/>
    <n v="152043"/>
    <n v="3.48"/>
    <n v="4"/>
  </r>
  <r>
    <x v="10"/>
    <s v="i3"/>
    <x v="2"/>
    <x v="1"/>
    <n v="109123.19"/>
    <n v="75.8"/>
    <n v="284"/>
    <n v="68.8"/>
    <n v="7.25"/>
    <n v="136"/>
    <n v="922"/>
    <n v="817"/>
    <s v="AWD"/>
    <n v="5"/>
    <x v="2"/>
    <n v="68.900000000000006"/>
    <n v="1611"/>
    <x v="1"/>
    <n v="1"/>
    <x v="0"/>
    <x v="0"/>
    <n v="54152"/>
    <n v="3.63"/>
    <n v="8"/>
  </r>
  <r>
    <x v="9"/>
    <s v="F-150 Lightning"/>
    <x v="5"/>
    <x v="4"/>
    <n v="51712.72"/>
    <n v="44.2"/>
    <n v="150"/>
    <n v="136.69999999999999"/>
    <n v="5.73"/>
    <n v="160"/>
    <n v="475"/>
    <n v="390"/>
    <s v="RWD"/>
    <n v="4"/>
    <x v="0"/>
    <n v="59.7"/>
    <n v="2391"/>
    <x v="0"/>
    <n v="0"/>
    <x v="2"/>
    <x v="1"/>
    <n v="26384"/>
    <n v="3.09"/>
    <n v="5"/>
  </r>
  <r>
    <x v="7"/>
    <s v="Seagull"/>
    <x v="2"/>
    <x v="3"/>
    <n v="19470.990000000002"/>
    <n v="82.7"/>
    <n v="291"/>
    <n v="127.9"/>
    <n v="6.57"/>
    <n v="159"/>
    <n v="204"/>
    <n v="201"/>
    <s v="FWD"/>
    <n v="5"/>
    <x v="0"/>
    <n v="68.2"/>
    <n v="2552"/>
    <x v="2"/>
    <n v="1"/>
    <x v="4"/>
    <x v="3"/>
    <n v="210937"/>
    <n v="3.48"/>
    <n v="3"/>
  </r>
  <r>
    <x v="2"/>
    <s v="Blazer EV"/>
    <x v="3"/>
    <x v="4"/>
    <n v="46970.49"/>
    <n v="53.9"/>
    <n v="191"/>
    <n v="61.9"/>
    <n v="5.21"/>
    <n v="174"/>
    <n v="476"/>
    <n v="426"/>
    <s v="AWD"/>
    <n v="7"/>
    <x v="1"/>
    <n v="45.1"/>
    <n v="1866"/>
    <x v="0"/>
    <n v="1"/>
    <x v="2"/>
    <x v="1"/>
    <n v="6914"/>
    <n v="3.21"/>
    <n v="4"/>
  </r>
  <r>
    <x v="0"/>
    <s v="ID. Buzz"/>
    <x v="3"/>
    <x v="2"/>
    <n v="93619.57"/>
    <n v="83.5"/>
    <n v="289"/>
    <n v="76.7"/>
    <n v="5.01"/>
    <n v="172"/>
    <n v="1000"/>
    <n v="912"/>
    <s v="RWD"/>
    <n v="5"/>
    <x v="5"/>
    <n v="19.600000000000001"/>
    <n v="1697"/>
    <x v="1"/>
    <n v="1"/>
    <x v="0"/>
    <x v="2"/>
    <n v="222583"/>
    <n v="3.38"/>
    <n v="3"/>
  </r>
  <r>
    <x v="10"/>
    <s v="iX"/>
    <x v="3"/>
    <x v="2"/>
    <n v="124852.49"/>
    <n v="85.3"/>
    <n v="324"/>
    <n v="119.3"/>
    <n v="5.97"/>
    <n v="158"/>
    <n v="1000"/>
    <n v="865"/>
    <s v="FWD"/>
    <n v="7"/>
    <x v="5"/>
    <n v="24.9"/>
    <n v="1872"/>
    <x v="2"/>
    <n v="1"/>
    <x v="0"/>
    <x v="0"/>
    <n v="51096"/>
    <n v="3.39"/>
    <n v="7"/>
  </r>
  <r>
    <x v="10"/>
    <s v="i5"/>
    <x v="3"/>
    <x v="4"/>
    <n v="97046.62"/>
    <n v="60"/>
    <n v="209"/>
    <n v="79.599999999999994"/>
    <n v="7.79"/>
    <n v="131"/>
    <n v="788"/>
    <n v="683"/>
    <s v="AWD"/>
    <n v="5"/>
    <x v="3"/>
    <n v="18.3"/>
    <n v="1510"/>
    <x v="1"/>
    <n v="2"/>
    <x v="0"/>
    <x v="2"/>
    <n v="66065"/>
    <n v="3.41"/>
    <n v="5"/>
  </r>
  <r>
    <x v="8"/>
    <s v="Ioniq"/>
    <x v="4"/>
    <x v="1"/>
    <n v="81529.22"/>
    <n v="52"/>
    <n v="173"/>
    <n v="132.4"/>
    <n v="5.26"/>
    <n v="175"/>
    <n v="1000"/>
    <n v="933"/>
    <s v="AWD"/>
    <n v="5"/>
    <x v="0"/>
    <n v="70.7"/>
    <n v="2400"/>
    <x v="0"/>
    <n v="0"/>
    <x v="3"/>
    <x v="2"/>
    <n v="137712"/>
    <n v="3.33"/>
    <n v="4"/>
  </r>
  <r>
    <x v="4"/>
    <s v="Model 3"/>
    <x v="0"/>
    <x v="1"/>
    <n v="123494.48"/>
    <n v="79.099999999999994"/>
    <n v="283"/>
    <n v="211.3"/>
    <n v="5.34"/>
    <n v="175"/>
    <n v="888"/>
    <n v="781"/>
    <s v="AWD"/>
    <n v="7"/>
    <x v="1"/>
    <n v="68.900000000000006"/>
    <n v="2083"/>
    <x v="1"/>
    <n v="3"/>
    <x v="2"/>
    <x v="0"/>
    <n v="228731"/>
    <n v="3.4"/>
    <n v="4"/>
  </r>
  <r>
    <x v="5"/>
    <s v="GLE EV"/>
    <x v="2"/>
    <x v="1"/>
    <n v="194076.68"/>
    <n v="41.1"/>
    <n v="160"/>
    <n v="133.6"/>
    <n v="7.92"/>
    <n v="136"/>
    <n v="1000"/>
    <n v="932"/>
    <s v="RWD"/>
    <n v="5"/>
    <x v="3"/>
    <n v="39.6"/>
    <n v="1581"/>
    <x v="2"/>
    <n v="1"/>
    <x v="0"/>
    <x v="0"/>
    <n v="69583"/>
    <n v="3.65"/>
    <n v="7"/>
  </r>
  <r>
    <x v="7"/>
    <s v="Qin"/>
    <x v="4"/>
    <x v="4"/>
    <n v="47541.74"/>
    <n v="75.3"/>
    <n v="274"/>
    <n v="83.8"/>
    <n v="7.74"/>
    <n v="133"/>
    <n v="520"/>
    <n v="490"/>
    <s v="FWD"/>
    <n v="5"/>
    <x v="1"/>
    <n v="46"/>
    <n v="2063"/>
    <x v="2"/>
    <n v="1"/>
    <x v="4"/>
    <x v="1"/>
    <n v="230454"/>
    <n v="3.4"/>
    <n v="5"/>
  </r>
  <r>
    <x v="4"/>
    <s v="Model S"/>
    <x v="1"/>
    <x v="2"/>
    <n v="133033.76"/>
    <n v="83.6"/>
    <n v="310"/>
    <n v="331.6"/>
    <n v="4.49"/>
    <n v="181"/>
    <n v="932"/>
    <n v="846"/>
    <s v="AWD"/>
    <n v="7"/>
    <x v="4"/>
    <n v="34"/>
    <n v="1500"/>
    <x v="1"/>
    <n v="2"/>
    <x v="2"/>
    <x v="0"/>
    <n v="213496"/>
    <n v="3.81"/>
    <n v="5"/>
  </r>
  <r>
    <x v="4"/>
    <s v="Model X"/>
    <x v="0"/>
    <x v="1"/>
    <n v="41055.46"/>
    <n v="66.5"/>
    <n v="234"/>
    <n v="322.89999999999998"/>
    <n v="5.98"/>
    <n v="157"/>
    <n v="305"/>
    <n v="223"/>
    <s v="AWD"/>
    <n v="5"/>
    <x v="0"/>
    <n v="57.8"/>
    <n v="2601"/>
    <x v="1"/>
    <n v="3"/>
    <x v="2"/>
    <x v="1"/>
    <n v="203412"/>
    <n v="3.84"/>
    <n v="4"/>
  </r>
  <r>
    <x v="3"/>
    <s v="EV6"/>
    <x v="1"/>
    <x v="3"/>
    <n v="59652.7"/>
    <n v="67.900000000000006"/>
    <n v="238"/>
    <n v="84.3"/>
    <n v="5.99"/>
    <n v="156"/>
    <n v="588"/>
    <n v="557"/>
    <s v="RWD"/>
    <n v="5"/>
    <x v="1"/>
    <n v="64.2"/>
    <n v="1917"/>
    <x v="1"/>
    <n v="0"/>
    <x v="3"/>
    <x v="1"/>
    <n v="145797"/>
    <n v="3.55"/>
    <n v="3"/>
  </r>
  <r>
    <x v="10"/>
    <s v="i4"/>
    <x v="0"/>
    <x v="2"/>
    <n v="76874.69"/>
    <n v="96.7"/>
    <n v="338"/>
    <n v="51.5"/>
    <n v="5.84"/>
    <n v="159"/>
    <n v="528"/>
    <n v="453"/>
    <s v="AWD"/>
    <n v="7"/>
    <x v="5"/>
    <n v="23.8"/>
    <n v="1596"/>
    <x v="1"/>
    <n v="2"/>
    <x v="0"/>
    <x v="2"/>
    <n v="29925"/>
    <n v="3.89"/>
    <n v="5"/>
  </r>
  <r>
    <x v="4"/>
    <s v="Model Y"/>
    <x v="2"/>
    <x v="4"/>
    <n v="31623.119999999999"/>
    <n v="77.5"/>
    <n v="246"/>
    <n v="331.8"/>
    <n v="5.59"/>
    <n v="165"/>
    <n v="161"/>
    <n v="200"/>
    <s v="FWD"/>
    <n v="7"/>
    <x v="3"/>
    <n v="28"/>
    <n v="1500"/>
    <x v="1"/>
    <n v="2"/>
    <x v="2"/>
    <x v="3"/>
    <n v="457458"/>
    <n v="3.75"/>
    <n v="5"/>
  </r>
  <r>
    <x v="8"/>
    <s v="Kona Electric"/>
    <x v="3"/>
    <x v="2"/>
    <n v="43168.2"/>
    <n v="97.5"/>
    <n v="334"/>
    <n v="115.6"/>
    <n v="5.07"/>
    <n v="179"/>
    <n v="444"/>
    <n v="434"/>
    <s v="FWD"/>
    <n v="5"/>
    <x v="2"/>
    <n v="63.4"/>
    <n v="1663"/>
    <x v="0"/>
    <n v="0"/>
    <x v="3"/>
    <x v="1"/>
    <n v="84174"/>
    <n v="3.27"/>
    <n v="3"/>
  </r>
  <r>
    <x v="7"/>
    <s v="Leaf 50X"/>
    <x v="2"/>
    <x v="3"/>
    <n v="77144.36"/>
    <n v="70.900000000000006"/>
    <n v="259"/>
    <n v="60.7"/>
    <n v="7.34"/>
    <n v="137"/>
    <n v="850"/>
    <n v="788"/>
    <s v="FWD"/>
    <n v="5"/>
    <x v="3"/>
    <n v="22.8"/>
    <n v="1656"/>
    <x v="0"/>
    <n v="0"/>
    <x v="4"/>
    <x v="2"/>
    <n v="140199"/>
    <n v="3.58"/>
    <n v="5"/>
  </r>
  <r>
    <x v="10"/>
    <s v="i5"/>
    <x v="0"/>
    <x v="3"/>
    <n v="58951.66"/>
    <n v="72.400000000000006"/>
    <n v="252"/>
    <n v="112.7"/>
    <n v="5.44"/>
    <n v="167"/>
    <n v="253"/>
    <n v="248"/>
    <s v="FWD"/>
    <n v="5"/>
    <x v="2"/>
    <n v="63.5"/>
    <n v="1615"/>
    <x v="1"/>
    <n v="1"/>
    <x v="0"/>
    <x v="1"/>
    <n v="20422"/>
    <n v="3.39"/>
    <n v="8"/>
  </r>
  <r>
    <x v="4"/>
    <s v="Cybertruck"/>
    <x v="0"/>
    <x v="3"/>
    <n v="113861.27"/>
    <n v="81.2"/>
    <n v="306"/>
    <n v="220.4"/>
    <n v="7.93"/>
    <n v="131"/>
    <n v="809"/>
    <n v="719"/>
    <s v="AWD"/>
    <n v="7"/>
    <x v="0"/>
    <n v="61.3"/>
    <n v="2449"/>
    <x v="1"/>
    <n v="2"/>
    <x v="2"/>
    <x v="0"/>
    <n v="162424"/>
    <n v="3.82"/>
    <n v="4"/>
  </r>
  <r>
    <x v="2"/>
    <s v="Blazer EV"/>
    <x v="1"/>
    <x v="3"/>
    <n v="24572.41"/>
    <n v="46.5"/>
    <n v="182"/>
    <n v="128.69999999999999"/>
    <n v="5.73"/>
    <n v="168"/>
    <n v="150"/>
    <n v="200"/>
    <s v="AWD"/>
    <n v="7"/>
    <x v="0"/>
    <n v="60.8"/>
    <n v="2500"/>
    <x v="0"/>
    <n v="1"/>
    <x v="2"/>
    <x v="3"/>
    <n v="9346"/>
    <n v="3.53"/>
    <n v="3"/>
  </r>
  <r>
    <x v="0"/>
    <s v="ID.4"/>
    <x v="3"/>
    <x v="1"/>
    <n v="67323.210000000006"/>
    <n v="57.6"/>
    <n v="187"/>
    <n v="141"/>
    <n v="5.46"/>
    <n v="172"/>
    <n v="684"/>
    <n v="618"/>
    <s v="RWD"/>
    <n v="5"/>
    <x v="2"/>
    <n v="64.2"/>
    <n v="1500"/>
    <x v="1"/>
    <n v="0"/>
    <x v="0"/>
    <x v="2"/>
    <n v="295974"/>
    <n v="3.47"/>
    <n v="5"/>
  </r>
  <r>
    <x v="12"/>
    <s v="ET6"/>
    <x v="3"/>
    <x v="2"/>
    <n v="108463.22"/>
    <n v="80"/>
    <n v="263"/>
    <n v="101.8"/>
    <n v="4.01"/>
    <n v="200"/>
    <n v="1000"/>
    <n v="882"/>
    <s v="FWD"/>
    <n v="7"/>
    <x v="1"/>
    <n v="41.2"/>
    <n v="1856"/>
    <x v="2"/>
    <n v="1"/>
    <x v="4"/>
    <x v="0"/>
    <n v="18130"/>
    <n v="3.2"/>
    <n v="4"/>
  </r>
  <r>
    <x v="4"/>
    <s v="Model X"/>
    <x v="3"/>
    <x v="3"/>
    <n v="71274.600000000006"/>
    <n v="49.2"/>
    <n v="150"/>
    <n v="349.3"/>
    <n v="6.44"/>
    <n v="160"/>
    <n v="586"/>
    <n v="509"/>
    <s v="RWD"/>
    <n v="7"/>
    <x v="2"/>
    <n v="60"/>
    <n v="1837"/>
    <x v="1"/>
    <n v="2"/>
    <x v="2"/>
    <x v="2"/>
    <n v="132658"/>
    <n v="3.6"/>
    <n v="4"/>
  </r>
  <r>
    <x v="7"/>
    <s v="Leaf 50X"/>
    <x v="2"/>
    <x v="4"/>
    <n v="55111.29"/>
    <n v="68.400000000000006"/>
    <n v="223"/>
    <n v="87.6"/>
    <n v="5.3"/>
    <n v="171"/>
    <n v="566"/>
    <n v="572"/>
    <s v="RWD"/>
    <n v="5"/>
    <x v="3"/>
    <n v="25.2"/>
    <n v="1630"/>
    <x v="0"/>
    <n v="1"/>
    <x v="4"/>
    <x v="1"/>
    <n v="112631"/>
    <n v="3.46"/>
    <n v="5"/>
  </r>
  <r>
    <x v="4"/>
    <s v="Model 3"/>
    <x v="3"/>
    <x v="4"/>
    <n v="132101.43"/>
    <n v="47.9"/>
    <n v="150"/>
    <n v="307.60000000000002"/>
    <n v="7.33"/>
    <n v="144"/>
    <n v="997"/>
    <n v="944"/>
    <s v="RWD"/>
    <n v="5"/>
    <x v="1"/>
    <n v="35.9"/>
    <n v="1751"/>
    <x v="1"/>
    <n v="3"/>
    <x v="2"/>
    <x v="0"/>
    <n v="220080"/>
    <n v="3.43"/>
    <n v="6"/>
  </r>
  <r>
    <x v="13"/>
    <s v="R3"/>
    <x v="0"/>
    <x v="0"/>
    <n v="104608.91"/>
    <n v="116.3"/>
    <n v="395"/>
    <n v="220.2"/>
    <n v="3.1"/>
    <n v="200"/>
    <n v="1000"/>
    <n v="932"/>
    <s v="RWD"/>
    <n v="7"/>
    <x v="5"/>
    <n v="15.8"/>
    <n v="1647"/>
    <x v="1"/>
    <n v="1"/>
    <x v="2"/>
    <x v="0"/>
    <n v="4453"/>
    <n v="3.72"/>
    <n v="4"/>
  </r>
  <r>
    <x v="11"/>
    <s v="e-tron GT"/>
    <x v="5"/>
    <x v="0"/>
    <n v="126813.57"/>
    <n v="114.9"/>
    <n v="393"/>
    <n v="230.5"/>
    <n v="4.2"/>
    <n v="190"/>
    <n v="1000"/>
    <n v="899"/>
    <s v="AWD"/>
    <n v="5"/>
    <x v="5"/>
    <n v="21.8"/>
    <n v="1634"/>
    <x v="1"/>
    <n v="1"/>
    <x v="0"/>
    <x v="0"/>
    <n v="35466"/>
    <n v="3.84"/>
    <n v="7"/>
  </r>
  <r>
    <x v="7"/>
    <s v="Atto 3"/>
    <x v="5"/>
    <x v="1"/>
    <n v="102365.27"/>
    <n v="40.6"/>
    <n v="150"/>
    <n v="99.9"/>
    <n v="5.22"/>
    <n v="182"/>
    <n v="1000"/>
    <n v="960"/>
    <s v="RWD"/>
    <n v="5"/>
    <x v="5"/>
    <n v="35.5"/>
    <n v="1770"/>
    <x v="0"/>
    <n v="1"/>
    <x v="4"/>
    <x v="0"/>
    <n v="112568"/>
    <n v="3.22"/>
    <n v="4"/>
  </r>
  <r>
    <x v="10"/>
    <s v="i5"/>
    <x v="3"/>
    <x v="1"/>
    <n v="71335.77"/>
    <n v="45.4"/>
    <n v="168"/>
    <n v="70.7"/>
    <n v="7.21"/>
    <n v="143"/>
    <n v="436"/>
    <n v="426"/>
    <s v="RWD"/>
    <n v="7"/>
    <x v="3"/>
    <n v="25.4"/>
    <n v="1688"/>
    <x v="0"/>
    <n v="2"/>
    <x v="0"/>
    <x v="2"/>
    <n v="26069"/>
    <n v="3.19"/>
    <n v="7"/>
  </r>
  <r>
    <x v="9"/>
    <s v="E-Transit"/>
    <x v="5"/>
    <x v="0"/>
    <n v="52666.03"/>
    <n v="83.7"/>
    <n v="310"/>
    <n v="230.2"/>
    <n v="3.27"/>
    <n v="197"/>
    <n v="496"/>
    <n v="444"/>
    <s v="AWD"/>
    <n v="5"/>
    <x v="1"/>
    <n v="59.5"/>
    <n v="1927"/>
    <x v="1"/>
    <n v="1"/>
    <x v="2"/>
    <x v="1"/>
    <n v="76169"/>
    <n v="3.67"/>
    <n v="4"/>
  </r>
  <r>
    <x v="3"/>
    <s v="EV9"/>
    <x v="2"/>
    <x v="1"/>
    <n v="65472.17"/>
    <n v="78.2"/>
    <n v="224"/>
    <n v="99"/>
    <n v="7.54"/>
    <n v="133"/>
    <n v="716"/>
    <n v="680"/>
    <s v="AWD"/>
    <n v="5"/>
    <x v="1"/>
    <n v="55"/>
    <n v="2132"/>
    <x v="0"/>
    <n v="0"/>
    <x v="3"/>
    <x v="2"/>
    <n v="60682"/>
    <n v="3.3"/>
    <n v="3"/>
  </r>
  <r>
    <x v="8"/>
    <s v="i30"/>
    <x v="1"/>
    <x v="4"/>
    <n v="35583.1"/>
    <n v="60.1"/>
    <n v="220"/>
    <n v="137.69999999999999"/>
    <n v="5.87"/>
    <n v="157"/>
    <n v="272"/>
    <n v="230"/>
    <s v="FWD"/>
    <n v="5"/>
    <x v="5"/>
    <n v="19.600000000000001"/>
    <n v="1500"/>
    <x v="1"/>
    <n v="0"/>
    <x v="3"/>
    <x v="1"/>
    <n v="116403"/>
    <n v="3.38"/>
    <n v="3"/>
  </r>
  <r>
    <x v="7"/>
    <s v="Dolphin"/>
    <x v="3"/>
    <x v="3"/>
    <n v="62107.839999999997"/>
    <n v="82.5"/>
    <n v="291"/>
    <n v="96.3"/>
    <n v="7.45"/>
    <n v="142"/>
    <n v="648"/>
    <n v="600"/>
    <s v="RWD"/>
    <n v="5"/>
    <x v="0"/>
    <n v="77.2"/>
    <n v="2468"/>
    <x v="0"/>
    <n v="0"/>
    <x v="4"/>
    <x v="1"/>
    <n v="129397"/>
    <n v="3.55"/>
    <n v="5"/>
  </r>
  <r>
    <x v="4"/>
    <s v="Model S"/>
    <x v="2"/>
    <x v="0"/>
    <n v="119857.21"/>
    <n v="83.5"/>
    <n v="307"/>
    <n v="348.4"/>
    <n v="3.03"/>
    <n v="200"/>
    <n v="861"/>
    <n v="780"/>
    <s v="AWD"/>
    <n v="5"/>
    <x v="0"/>
    <n v="74.099999999999994"/>
    <n v="2510"/>
    <x v="0"/>
    <n v="2"/>
    <x v="2"/>
    <x v="0"/>
    <n v="142701"/>
    <n v="4.1399999999999997"/>
    <n v="5"/>
  </r>
  <r>
    <x v="11"/>
    <s v="e-tron GT"/>
    <x v="3"/>
    <x v="2"/>
    <n v="70111.179999999993"/>
    <n v="75.599999999999994"/>
    <n v="262"/>
    <n v="143.30000000000001"/>
    <n v="5.27"/>
    <n v="166"/>
    <n v="375"/>
    <n v="380"/>
    <s v="FWD"/>
    <n v="5"/>
    <x v="4"/>
    <n v="18"/>
    <n v="1548"/>
    <x v="2"/>
    <n v="1"/>
    <x v="0"/>
    <x v="2"/>
    <n v="79614"/>
    <n v="3.53"/>
    <n v="5"/>
  </r>
  <r>
    <x v="11"/>
    <s v="Q6 e-tron"/>
    <x v="3"/>
    <x v="1"/>
    <n v="138510.75"/>
    <n v="62.7"/>
    <n v="204"/>
    <n v="124.6"/>
    <n v="7.99"/>
    <n v="133"/>
    <n v="1000"/>
    <n v="963"/>
    <s v="RWD"/>
    <n v="5"/>
    <x v="4"/>
    <n v="37.200000000000003"/>
    <n v="1588"/>
    <x v="0"/>
    <n v="1"/>
    <x v="0"/>
    <x v="0"/>
    <n v="58972"/>
    <n v="3.24"/>
    <n v="6"/>
  </r>
  <r>
    <x v="10"/>
    <s v="iX"/>
    <x v="0"/>
    <x v="3"/>
    <n v="90267.93"/>
    <n v="63"/>
    <n v="260"/>
    <n v="67.099999999999994"/>
    <n v="5.59"/>
    <n v="172"/>
    <n v="713"/>
    <n v="591"/>
    <s v="AWD"/>
    <n v="5"/>
    <x v="3"/>
    <n v="24.7"/>
    <n v="1500"/>
    <x v="0"/>
    <n v="1"/>
    <x v="0"/>
    <x v="2"/>
    <n v="26056"/>
    <n v="3.46"/>
    <n v="5"/>
  </r>
  <r>
    <x v="7"/>
    <s v="Max"/>
    <x v="6"/>
    <x v="3"/>
    <n v="67729.77"/>
    <n v="44.2"/>
    <n v="157"/>
    <n v="50.1"/>
    <n v="7.68"/>
    <n v="137"/>
    <n v="692"/>
    <n v="628"/>
    <s v="RWD"/>
    <n v="7"/>
    <x v="0"/>
    <n v="60.1"/>
    <n v="2386"/>
    <x v="0"/>
    <n v="0"/>
    <x v="4"/>
    <x v="2"/>
    <n v="160145"/>
    <n v="3.2"/>
    <n v="4"/>
  </r>
  <r>
    <x v="7"/>
    <s v="Yuan Plus"/>
    <x v="1"/>
    <x v="4"/>
    <n v="27939.32"/>
    <n v="56.5"/>
    <n v="182"/>
    <n v="129.80000000000001"/>
    <n v="7.12"/>
    <n v="141"/>
    <n v="254"/>
    <n v="200"/>
    <s v="AWD"/>
    <n v="7"/>
    <x v="1"/>
    <n v="68.5"/>
    <n v="1964"/>
    <x v="1"/>
    <n v="0"/>
    <x v="4"/>
    <x v="3"/>
    <n v="100593"/>
    <n v="3.2"/>
    <n v="4"/>
  </r>
  <r>
    <x v="2"/>
    <s v="Bolt EUV"/>
    <x v="5"/>
    <x v="2"/>
    <n v="70455.09"/>
    <n v="97.8"/>
    <n v="367"/>
    <n v="125.7"/>
    <n v="5.21"/>
    <n v="173"/>
    <n v="972"/>
    <n v="860"/>
    <s v="RWD"/>
    <n v="5"/>
    <x v="0"/>
    <n v="76.8"/>
    <n v="2305"/>
    <x v="0"/>
    <n v="0"/>
    <x v="2"/>
    <x v="2"/>
    <n v="1598"/>
    <n v="3.6"/>
    <n v="5"/>
  </r>
  <r>
    <x v="11"/>
    <s v="e-tron GT"/>
    <x v="3"/>
    <x v="3"/>
    <n v="104530.78"/>
    <n v="61.3"/>
    <n v="194"/>
    <n v="96.2"/>
    <n v="7.71"/>
    <n v="135"/>
    <n v="795"/>
    <n v="707"/>
    <s v="RWD"/>
    <n v="7"/>
    <x v="1"/>
    <n v="50.8"/>
    <n v="2104"/>
    <x v="1"/>
    <n v="2"/>
    <x v="0"/>
    <x v="0"/>
    <n v="52472"/>
    <n v="3.51"/>
    <n v="8"/>
  </r>
  <r>
    <x v="11"/>
    <s v="Q6 e-tron"/>
    <x v="3"/>
    <x v="2"/>
    <n v="97248.51"/>
    <n v="90.6"/>
    <n v="304"/>
    <n v="80.3"/>
    <n v="5.49"/>
    <n v="168"/>
    <n v="720"/>
    <n v="612"/>
    <s v="RWD"/>
    <n v="5"/>
    <x v="2"/>
    <n v="75.7"/>
    <n v="1500"/>
    <x v="1"/>
    <n v="1"/>
    <x v="0"/>
    <x v="2"/>
    <n v="46587"/>
    <n v="3.19"/>
    <n v="6"/>
  </r>
  <r>
    <x v="9"/>
    <s v="Explorer EV"/>
    <x v="2"/>
    <x v="0"/>
    <n v="105603.42"/>
    <n v="114.4"/>
    <n v="427"/>
    <n v="181.6"/>
    <n v="3.18"/>
    <n v="200"/>
    <n v="1000"/>
    <n v="860"/>
    <s v="AWD"/>
    <n v="5"/>
    <x v="2"/>
    <n v="72.400000000000006"/>
    <n v="2052"/>
    <x v="0"/>
    <n v="0"/>
    <x v="2"/>
    <x v="0"/>
    <n v="31600"/>
    <n v="4.03"/>
    <n v="5"/>
  </r>
  <r>
    <x v="10"/>
    <s v="iX"/>
    <x v="3"/>
    <x v="4"/>
    <n v="55554.9"/>
    <n v="41.7"/>
    <n v="151"/>
    <n v="100.9"/>
    <n v="5.73"/>
    <n v="173"/>
    <n v="203"/>
    <n v="200"/>
    <s v="AWD"/>
    <n v="5"/>
    <x v="2"/>
    <n v="73.3"/>
    <n v="1646"/>
    <x v="1"/>
    <n v="2"/>
    <x v="0"/>
    <x v="1"/>
    <n v="69514"/>
    <n v="3.1"/>
    <n v="8"/>
  </r>
  <r>
    <x v="4"/>
    <s v="Cybertruck"/>
    <x v="5"/>
    <x v="3"/>
    <n v="50614.31"/>
    <n v="85"/>
    <n v="304"/>
    <n v="267"/>
    <n v="6.34"/>
    <n v="152"/>
    <n v="315"/>
    <n v="263"/>
    <s v="RWD"/>
    <n v="7"/>
    <x v="0"/>
    <n v="66.2"/>
    <n v="2227"/>
    <x v="1"/>
    <n v="2"/>
    <x v="2"/>
    <x v="1"/>
    <n v="175527"/>
    <n v="4.0199999999999996"/>
    <n v="4"/>
  </r>
  <r>
    <x v="4"/>
    <s v="Model Y"/>
    <x v="3"/>
    <x v="3"/>
    <n v="42292.45"/>
    <n v="67.3"/>
    <n v="240"/>
    <n v="307.7"/>
    <n v="6.74"/>
    <n v="159"/>
    <n v="313"/>
    <n v="323"/>
    <s v="RWD"/>
    <n v="7"/>
    <x v="0"/>
    <n v="79.8"/>
    <n v="2648"/>
    <x v="0"/>
    <n v="2"/>
    <x v="2"/>
    <x v="1"/>
    <n v="472726"/>
    <n v="3.66"/>
    <n v="5"/>
  </r>
  <r>
    <x v="11"/>
    <s v="Q4 e-tron"/>
    <x v="5"/>
    <x v="2"/>
    <n v="94110.46"/>
    <n v="90.4"/>
    <n v="323"/>
    <n v="138.19999999999999"/>
    <n v="4.41"/>
    <n v="188"/>
    <n v="644"/>
    <n v="602"/>
    <s v="FWD"/>
    <n v="5"/>
    <x v="5"/>
    <n v="33.700000000000003"/>
    <n v="1508"/>
    <x v="0"/>
    <n v="1"/>
    <x v="0"/>
    <x v="2"/>
    <n v="38660"/>
    <n v="3.57"/>
    <n v="8"/>
  </r>
  <r>
    <x v="3"/>
    <s v="EV9"/>
    <x v="3"/>
    <x v="4"/>
    <n v="77483.58"/>
    <n v="46.2"/>
    <n v="176"/>
    <n v="60.3"/>
    <n v="7.19"/>
    <n v="133"/>
    <n v="950"/>
    <n v="840"/>
    <s v="FWD"/>
    <n v="5"/>
    <x v="1"/>
    <n v="60.7"/>
    <n v="1989"/>
    <x v="2"/>
    <n v="1"/>
    <x v="3"/>
    <x v="2"/>
    <n v="116585"/>
    <n v="3.02"/>
    <n v="4"/>
  </r>
  <r>
    <x v="4"/>
    <s v="Model Y"/>
    <x v="1"/>
    <x v="2"/>
    <n v="112382.86"/>
    <n v="81.900000000000006"/>
    <n v="270"/>
    <n v="243.2"/>
    <n v="5.21"/>
    <n v="182"/>
    <n v="816"/>
    <n v="719"/>
    <s v="FWD"/>
    <n v="5"/>
    <x v="4"/>
    <n v="25.1"/>
    <n v="1583"/>
    <x v="0"/>
    <n v="2"/>
    <x v="2"/>
    <x v="0"/>
    <n v="494879"/>
    <n v="3.77"/>
    <n v="4"/>
  </r>
  <r>
    <x v="4"/>
    <s v="Model X"/>
    <x v="3"/>
    <x v="1"/>
    <n v="112066.22"/>
    <n v="43.2"/>
    <n v="167"/>
    <n v="297.10000000000002"/>
    <n v="7.91"/>
    <n v="134"/>
    <n v="825"/>
    <n v="749"/>
    <s v="FWD"/>
    <n v="5"/>
    <x v="2"/>
    <n v="75"/>
    <n v="1720"/>
    <x v="0"/>
    <n v="2"/>
    <x v="2"/>
    <x v="0"/>
    <n v="245565"/>
    <n v="3.75"/>
    <n v="4"/>
  </r>
  <r>
    <x v="10"/>
    <s v="i7"/>
    <x v="2"/>
    <x v="2"/>
    <n v="93724.2"/>
    <n v="100"/>
    <n v="326"/>
    <n v="91.1"/>
    <n v="4.4400000000000004"/>
    <n v="188"/>
    <n v="725"/>
    <n v="651"/>
    <s v="AWD"/>
    <n v="7"/>
    <x v="2"/>
    <n v="72.2"/>
    <n v="1614"/>
    <x v="0"/>
    <n v="1"/>
    <x v="0"/>
    <x v="2"/>
    <n v="36760"/>
    <n v="3.63"/>
    <n v="6"/>
  </r>
  <r>
    <x v="4"/>
    <s v="Cybertruck"/>
    <x v="4"/>
    <x v="3"/>
    <n v="98646.080000000002"/>
    <n v="76"/>
    <n v="242"/>
    <n v="326.8"/>
    <n v="7.18"/>
    <n v="143"/>
    <n v="690"/>
    <n v="602"/>
    <s v="RWD"/>
    <n v="5"/>
    <x v="0"/>
    <n v="52"/>
    <n v="2415"/>
    <x v="1"/>
    <n v="2"/>
    <x v="2"/>
    <x v="2"/>
    <n v="235244"/>
    <n v="3.9"/>
    <n v="6"/>
  </r>
  <r>
    <x v="4"/>
    <s v="Cybertruck"/>
    <x v="0"/>
    <x v="3"/>
    <n v="46210.19"/>
    <n v="70.099999999999994"/>
    <n v="244"/>
    <n v="291"/>
    <n v="5.57"/>
    <n v="171"/>
    <n v="310"/>
    <n v="227"/>
    <s v="AWD"/>
    <n v="5"/>
    <x v="0"/>
    <n v="65.099999999999994"/>
    <n v="2463"/>
    <x v="0"/>
    <n v="2"/>
    <x v="2"/>
    <x v="1"/>
    <n v="187848"/>
    <n v="3.58"/>
    <n v="4"/>
  </r>
  <r>
    <x v="3"/>
    <s v="EV6"/>
    <x v="4"/>
    <x v="2"/>
    <n v="66633.95"/>
    <n v="75.099999999999994"/>
    <n v="272"/>
    <n v="109.4"/>
    <n v="5.22"/>
    <n v="170"/>
    <n v="795"/>
    <n v="688"/>
    <s v="AWD"/>
    <n v="7"/>
    <x v="4"/>
    <n v="29"/>
    <n v="1500"/>
    <x v="1"/>
    <n v="0"/>
    <x v="3"/>
    <x v="2"/>
    <n v="57850"/>
    <n v="3.25"/>
    <n v="5"/>
  </r>
  <r>
    <x v="2"/>
    <s v="Silverado EV"/>
    <x v="5"/>
    <x v="0"/>
    <n v="65284.93"/>
    <n v="116.3"/>
    <n v="439"/>
    <n v="241.3"/>
    <n v="4.25"/>
    <n v="186"/>
    <n v="776"/>
    <n v="701"/>
    <s v="AWD"/>
    <n v="7"/>
    <x v="4"/>
    <n v="19.8"/>
    <n v="1566"/>
    <x v="0"/>
    <n v="0"/>
    <x v="2"/>
    <x v="2"/>
    <n v="25704"/>
    <n v="4.1900000000000004"/>
    <n v="4"/>
  </r>
  <r>
    <x v="10"/>
    <s v="i3"/>
    <x v="0"/>
    <x v="1"/>
    <n v="137951.81"/>
    <n v="60.1"/>
    <n v="220"/>
    <n v="71.2"/>
    <n v="6.56"/>
    <n v="152"/>
    <n v="1000"/>
    <n v="895"/>
    <s v="RWD"/>
    <n v="7"/>
    <x v="3"/>
    <n v="22.7"/>
    <n v="1654"/>
    <x v="0"/>
    <n v="1"/>
    <x v="0"/>
    <x v="0"/>
    <n v="26110"/>
    <n v="3.46"/>
    <n v="7"/>
  </r>
  <r>
    <x v="7"/>
    <s v="Seagull"/>
    <x v="2"/>
    <x v="4"/>
    <n v="32276.7"/>
    <n v="53.8"/>
    <n v="220"/>
    <n v="127.9"/>
    <n v="7.3"/>
    <n v="142"/>
    <n v="314"/>
    <n v="266"/>
    <s v="RWD"/>
    <n v="5"/>
    <x v="3"/>
    <n v="18.5"/>
    <n v="1646"/>
    <x v="1"/>
    <n v="0"/>
    <x v="4"/>
    <x v="3"/>
    <n v="236029"/>
    <n v="3.7"/>
    <n v="4"/>
  </r>
  <r>
    <x v="2"/>
    <s v="Bolt EV"/>
    <x v="2"/>
    <x v="4"/>
    <n v="61070.92"/>
    <n v="75.7"/>
    <n v="280"/>
    <n v="76.8"/>
    <n v="6.23"/>
    <n v="156"/>
    <n v="808"/>
    <n v="740"/>
    <s v="AWD"/>
    <n v="7"/>
    <x v="3"/>
    <n v="25.2"/>
    <n v="1883"/>
    <x v="1"/>
    <n v="0"/>
    <x v="2"/>
    <x v="1"/>
    <n v="2434"/>
    <n v="3.31"/>
    <n v="4"/>
  </r>
  <r>
    <x v="7"/>
    <s v="Seagull"/>
    <x v="3"/>
    <x v="3"/>
    <n v="67469.58"/>
    <n v="57.5"/>
    <n v="191"/>
    <n v="57.3"/>
    <n v="7.8"/>
    <n v="138"/>
    <n v="780"/>
    <n v="688"/>
    <s v="AWD"/>
    <n v="7"/>
    <x v="3"/>
    <n v="21.2"/>
    <n v="1654"/>
    <x v="0"/>
    <n v="1"/>
    <x v="4"/>
    <x v="2"/>
    <n v="179136"/>
    <n v="3.46"/>
    <n v="4"/>
  </r>
  <r>
    <x v="7"/>
    <s v="Seagull"/>
    <x v="3"/>
    <x v="2"/>
    <n v="48990.53"/>
    <n v="99.3"/>
    <n v="357"/>
    <n v="57.3"/>
    <n v="5.58"/>
    <n v="156"/>
    <n v="540"/>
    <n v="454"/>
    <s v="RWD"/>
    <n v="5"/>
    <x v="1"/>
    <n v="58.2"/>
    <n v="2202"/>
    <x v="0"/>
    <n v="1"/>
    <x v="4"/>
    <x v="1"/>
    <n v="211809"/>
    <n v="3.67"/>
    <n v="4"/>
  </r>
  <r>
    <x v="2"/>
    <s v="Bolt EV"/>
    <x v="2"/>
    <x v="3"/>
    <n v="56305.37"/>
    <n v="52"/>
    <n v="170"/>
    <n v="83.9"/>
    <n v="6.49"/>
    <n v="149"/>
    <n v="652"/>
    <n v="577"/>
    <s v="AWD"/>
    <n v="5"/>
    <x v="2"/>
    <n v="61.8"/>
    <n v="1500"/>
    <x v="0"/>
    <n v="1"/>
    <x v="2"/>
    <x v="1"/>
    <n v="2728"/>
    <n v="3.2"/>
    <n v="5"/>
  </r>
  <r>
    <x v="10"/>
    <s v="i5"/>
    <x v="4"/>
    <x v="4"/>
    <n v="94181.96"/>
    <n v="40.799999999999997"/>
    <n v="160"/>
    <n v="97.4"/>
    <n v="5.01"/>
    <n v="176"/>
    <n v="738"/>
    <n v="659"/>
    <s v="AWD"/>
    <n v="7"/>
    <x v="4"/>
    <n v="38.6"/>
    <n v="1626"/>
    <x v="1"/>
    <n v="1"/>
    <x v="0"/>
    <x v="2"/>
    <n v="79673"/>
    <n v="3.08"/>
    <n v="7"/>
  </r>
  <r>
    <x v="5"/>
    <s v="GLE EV"/>
    <x v="3"/>
    <x v="2"/>
    <n v="122338.76"/>
    <n v="85.1"/>
    <n v="270"/>
    <n v="58.6"/>
    <n v="4"/>
    <n v="193"/>
    <n v="741"/>
    <n v="661"/>
    <s v="FWD"/>
    <n v="7"/>
    <x v="3"/>
    <n v="16.600000000000001"/>
    <n v="1843"/>
    <x v="2"/>
    <n v="2"/>
    <x v="0"/>
    <x v="0"/>
    <n v="52641"/>
    <n v="4.0599999999999996"/>
    <n v="7"/>
  </r>
  <r>
    <x v="10"/>
    <s v="i3"/>
    <x v="0"/>
    <x v="4"/>
    <n v="67705.119999999995"/>
    <n v="63"/>
    <n v="239"/>
    <n v="65.7"/>
    <n v="5.05"/>
    <n v="176"/>
    <n v="410"/>
    <n v="318"/>
    <s v="AWD"/>
    <n v="5"/>
    <x v="4"/>
    <n v="27.6"/>
    <n v="1770"/>
    <x v="1"/>
    <n v="2"/>
    <x v="0"/>
    <x v="2"/>
    <n v="68305"/>
    <n v="3.3"/>
    <n v="8"/>
  </r>
  <r>
    <x v="3"/>
    <s v="EV6"/>
    <x v="2"/>
    <x v="4"/>
    <n v="44920.54"/>
    <n v="57.9"/>
    <n v="198"/>
    <n v="78.599999999999994"/>
    <n v="7.88"/>
    <n v="122"/>
    <n v="391"/>
    <n v="344"/>
    <s v="FWD"/>
    <n v="5"/>
    <x v="0"/>
    <n v="68.8"/>
    <n v="2615"/>
    <x v="1"/>
    <n v="1"/>
    <x v="3"/>
    <x v="1"/>
    <n v="145791"/>
    <n v="3"/>
    <n v="5"/>
  </r>
  <r>
    <x v="4"/>
    <s v="Cybertruck"/>
    <x v="2"/>
    <x v="1"/>
    <n v="47891.48"/>
    <n v="42.5"/>
    <n v="164"/>
    <n v="276.3"/>
    <n v="5.16"/>
    <n v="175"/>
    <n v="346"/>
    <n v="313"/>
    <s v="FWD"/>
    <n v="7"/>
    <x v="0"/>
    <n v="74"/>
    <n v="2335"/>
    <x v="2"/>
    <n v="2"/>
    <x v="2"/>
    <x v="1"/>
    <n v="118665"/>
    <n v="3.65"/>
    <n v="6"/>
  </r>
  <r>
    <x v="0"/>
    <s v="ID.5"/>
    <x v="1"/>
    <x v="1"/>
    <n v="62108.39"/>
    <n v="82.1"/>
    <n v="268"/>
    <n v="60.6"/>
    <n v="7.01"/>
    <n v="137"/>
    <n v="637"/>
    <n v="524"/>
    <s v="FWD"/>
    <n v="7"/>
    <x v="1"/>
    <n v="38"/>
    <n v="1760"/>
    <x v="1"/>
    <n v="0"/>
    <x v="0"/>
    <x v="1"/>
    <n v="222675"/>
    <n v="3.19"/>
    <n v="5"/>
  </r>
  <r>
    <x v="7"/>
    <s v="Seagull"/>
    <x v="3"/>
    <x v="2"/>
    <n v="24414.35"/>
    <n v="86.4"/>
    <n v="281"/>
    <n v="141"/>
    <n v="5.27"/>
    <n v="175"/>
    <n v="170"/>
    <n v="200"/>
    <s v="FWD"/>
    <n v="5"/>
    <x v="5"/>
    <n v="38.9"/>
    <n v="1500"/>
    <x v="1"/>
    <n v="0"/>
    <x v="4"/>
    <x v="3"/>
    <n v="228388"/>
    <n v="3.55"/>
    <n v="4"/>
  </r>
  <r>
    <x v="7"/>
    <s v="Qin"/>
    <x v="0"/>
    <x v="4"/>
    <n v="36044.93"/>
    <n v="74.5"/>
    <n v="251"/>
    <n v="96.5"/>
    <n v="7.83"/>
    <n v="127"/>
    <n v="336"/>
    <n v="291"/>
    <s v="FWD"/>
    <n v="5"/>
    <x v="0"/>
    <n v="64.3"/>
    <n v="2600"/>
    <x v="0"/>
    <n v="0"/>
    <x v="4"/>
    <x v="1"/>
    <n v="117310"/>
    <n v="3.57"/>
    <n v="5"/>
  </r>
  <r>
    <x v="6"/>
    <s v="Ronin"/>
    <x v="2"/>
    <x v="1"/>
    <n v="67456.63"/>
    <n v="41.7"/>
    <n v="150"/>
    <n v="55.2"/>
    <n v="5.69"/>
    <n v="169"/>
    <n v="509"/>
    <n v="469"/>
    <s v="AWD"/>
    <n v="5"/>
    <x v="4"/>
    <n v="16.5"/>
    <n v="1631"/>
    <x v="0"/>
    <n v="1"/>
    <x v="2"/>
    <x v="2"/>
    <n v="20333"/>
    <n v="3.29"/>
    <n v="4"/>
  </r>
  <r>
    <x v="0"/>
    <s v="ID. Buzz"/>
    <x v="3"/>
    <x v="2"/>
    <n v="52579.97"/>
    <n v="94.8"/>
    <n v="325"/>
    <n v="90.3"/>
    <n v="5.3"/>
    <n v="171"/>
    <n v="508"/>
    <n v="499"/>
    <s v="FWD"/>
    <n v="5"/>
    <x v="3"/>
    <n v="19"/>
    <n v="1588"/>
    <x v="2"/>
    <n v="1"/>
    <x v="0"/>
    <x v="1"/>
    <n v="238272"/>
    <n v="3.57"/>
    <n v="4"/>
  </r>
  <r>
    <x v="11"/>
    <s v="Q4 e-tron"/>
    <x v="3"/>
    <x v="3"/>
    <n v="81941.39"/>
    <n v="40.200000000000003"/>
    <n v="150"/>
    <n v="138.19999999999999"/>
    <n v="5.44"/>
    <n v="166"/>
    <n v="495"/>
    <n v="468"/>
    <s v="RWD"/>
    <n v="5"/>
    <x v="4"/>
    <n v="35.5"/>
    <n v="1693"/>
    <x v="1"/>
    <n v="2"/>
    <x v="0"/>
    <x v="2"/>
    <n v="77358"/>
    <n v="3"/>
    <n v="7"/>
  </r>
  <r>
    <x v="10"/>
    <s v="i4"/>
    <x v="5"/>
    <x v="0"/>
    <n v="133852.24"/>
    <n v="84.9"/>
    <n v="318"/>
    <n v="197.1"/>
    <n v="2.9"/>
    <n v="200"/>
    <n v="1000"/>
    <n v="904"/>
    <s v="AWD"/>
    <n v="5"/>
    <x v="0"/>
    <n v="55"/>
    <n v="2197"/>
    <x v="0"/>
    <n v="2"/>
    <x v="0"/>
    <x v="0"/>
    <n v="50521"/>
    <n v="3.46"/>
    <n v="7"/>
  </r>
  <r>
    <x v="9"/>
    <s v="Mustang Mach-E"/>
    <x v="3"/>
    <x v="4"/>
    <n v="56042.09"/>
    <n v="79.5"/>
    <n v="293"/>
    <n v="130.19999999999999"/>
    <n v="6.05"/>
    <n v="157"/>
    <n v="541"/>
    <n v="501"/>
    <s v="RWD"/>
    <n v="5"/>
    <x v="1"/>
    <n v="66.900000000000006"/>
    <n v="2215"/>
    <x v="2"/>
    <n v="0"/>
    <x v="2"/>
    <x v="1"/>
    <n v="69874"/>
    <n v="3.35"/>
    <n v="4"/>
  </r>
  <r>
    <x v="8"/>
    <s v="Ioniq 5"/>
    <x v="2"/>
    <x v="2"/>
    <n v="83570.149999999994"/>
    <n v="78.5"/>
    <n v="258"/>
    <n v="51.5"/>
    <n v="4.33"/>
    <n v="189"/>
    <n v="1000"/>
    <n v="924"/>
    <s v="AWD"/>
    <n v="5"/>
    <x v="4"/>
    <n v="17"/>
    <n v="1794"/>
    <x v="1"/>
    <n v="1"/>
    <x v="3"/>
    <x v="2"/>
    <n v="145959"/>
    <n v="3.37"/>
    <n v="4"/>
  </r>
  <r>
    <x v="3"/>
    <s v="Picanto EV"/>
    <x v="1"/>
    <x v="0"/>
    <n v="111175.38"/>
    <n v="89.2"/>
    <n v="319"/>
    <n v="178.4"/>
    <n v="3.67"/>
    <n v="190"/>
    <n v="1000"/>
    <n v="964"/>
    <s v="RWD"/>
    <n v="5"/>
    <x v="3"/>
    <n v="18.8"/>
    <n v="1538"/>
    <x v="1"/>
    <n v="1"/>
    <x v="3"/>
    <x v="0"/>
    <n v="51798"/>
    <n v="3.75"/>
    <n v="5"/>
  </r>
  <r>
    <x v="8"/>
    <s v="Ioniq 5"/>
    <x v="3"/>
    <x v="3"/>
    <n v="61128.92"/>
    <n v="46.1"/>
    <n v="180"/>
    <n v="80.3"/>
    <n v="6.4"/>
    <n v="153"/>
    <n v="706"/>
    <n v="583"/>
    <s v="RWD"/>
    <n v="5"/>
    <x v="2"/>
    <n v="78"/>
    <n v="1903"/>
    <x v="1"/>
    <n v="0"/>
    <x v="3"/>
    <x v="1"/>
    <n v="110095"/>
    <n v="3.32"/>
    <n v="3"/>
  </r>
  <r>
    <x v="4"/>
    <s v="Model Y"/>
    <x v="0"/>
    <x v="4"/>
    <n v="44516.36"/>
    <n v="56.4"/>
    <n v="227"/>
    <n v="211.2"/>
    <n v="6.51"/>
    <n v="147"/>
    <n v="308"/>
    <n v="239"/>
    <s v="FWD"/>
    <n v="5"/>
    <x v="5"/>
    <n v="15.2"/>
    <n v="1513"/>
    <x v="0"/>
    <n v="2"/>
    <x v="2"/>
    <x v="1"/>
    <n v="403294"/>
    <n v="3.48"/>
    <n v="5"/>
  </r>
  <r>
    <x v="2"/>
    <s v="Equinox EV"/>
    <x v="3"/>
    <x v="4"/>
    <n v="32070.17"/>
    <n v="44.1"/>
    <n v="158"/>
    <n v="62.7"/>
    <n v="6.07"/>
    <n v="161"/>
    <n v="279"/>
    <n v="261"/>
    <s v="AWD"/>
    <n v="5"/>
    <x v="1"/>
    <n v="66.099999999999994"/>
    <n v="2020"/>
    <x v="0"/>
    <n v="0"/>
    <x v="2"/>
    <x v="3"/>
    <n v="1331"/>
    <n v="3.29"/>
    <n v="3"/>
  </r>
  <r>
    <x v="7"/>
    <s v="Yuan Plus"/>
    <x v="2"/>
    <x v="1"/>
    <n v="107358.88"/>
    <n v="58.4"/>
    <n v="205"/>
    <n v="140.80000000000001"/>
    <n v="7.41"/>
    <n v="132"/>
    <n v="1000"/>
    <n v="888"/>
    <s v="FWD"/>
    <n v="7"/>
    <x v="4"/>
    <n v="27.3"/>
    <n v="1661"/>
    <x v="2"/>
    <n v="1"/>
    <x v="4"/>
    <x v="0"/>
    <n v="110469"/>
    <n v="3.56"/>
    <n v="4"/>
  </r>
  <r>
    <x v="4"/>
    <s v="Model Y"/>
    <x v="5"/>
    <x v="4"/>
    <n v="78088.259999999995"/>
    <n v="70.2"/>
    <n v="245"/>
    <n v="310.8"/>
    <n v="7.6"/>
    <n v="130"/>
    <n v="599"/>
    <n v="573"/>
    <s v="AWD"/>
    <n v="7"/>
    <x v="5"/>
    <n v="26.8"/>
    <n v="1514"/>
    <x v="1"/>
    <n v="2"/>
    <x v="2"/>
    <x v="2"/>
    <n v="489120"/>
    <n v="3.77"/>
    <n v="5"/>
  </r>
  <r>
    <x v="10"/>
    <s v="i5"/>
    <x v="3"/>
    <x v="0"/>
    <n v="132666.57999999999"/>
    <n v="82"/>
    <n v="299"/>
    <n v="208.4"/>
    <n v="3.52"/>
    <n v="194"/>
    <n v="1000"/>
    <n v="873"/>
    <s v="AWD"/>
    <n v="7"/>
    <x v="2"/>
    <n v="68.2"/>
    <n v="1817"/>
    <x v="1"/>
    <n v="1"/>
    <x v="0"/>
    <x v="0"/>
    <n v="71584"/>
    <n v="3.74"/>
    <n v="6"/>
  </r>
  <r>
    <x v="4"/>
    <s v="Model X"/>
    <x v="0"/>
    <x v="1"/>
    <n v="100324.34"/>
    <n v="79.900000000000006"/>
    <n v="300"/>
    <n v="214.5"/>
    <n v="6.43"/>
    <n v="150"/>
    <n v="724"/>
    <n v="607"/>
    <s v="AWD"/>
    <n v="5"/>
    <x v="4"/>
    <n v="22.9"/>
    <n v="1500"/>
    <x v="0"/>
    <n v="2"/>
    <x v="2"/>
    <x v="0"/>
    <n v="121739"/>
    <n v="3.62"/>
    <n v="4"/>
  </r>
  <r>
    <x v="12"/>
    <s v="EL6"/>
    <x v="1"/>
    <x v="4"/>
    <n v="69452.42"/>
    <n v="47.9"/>
    <n v="170"/>
    <n v="63.1"/>
    <n v="7.3"/>
    <n v="147"/>
    <n v="514"/>
    <n v="452"/>
    <s v="FWD"/>
    <n v="5"/>
    <x v="5"/>
    <n v="22.3"/>
    <n v="1500"/>
    <x v="1"/>
    <n v="0"/>
    <x v="4"/>
    <x v="2"/>
    <n v="28334"/>
    <n v="3.19"/>
    <n v="5"/>
  </r>
  <r>
    <x v="1"/>
    <s v="bZ4X"/>
    <x v="0"/>
    <x v="3"/>
    <n v="53579.07"/>
    <n v="65.5"/>
    <n v="233"/>
    <n v="141.19999999999999"/>
    <n v="7.84"/>
    <n v="133"/>
    <n v="505"/>
    <n v="443"/>
    <s v="FWD"/>
    <n v="7"/>
    <x v="4"/>
    <n v="36.5"/>
    <n v="1576"/>
    <x v="0"/>
    <n v="0"/>
    <x v="1"/>
    <x v="1"/>
    <n v="16544"/>
    <n v="3.42"/>
    <n v="4"/>
  </r>
  <r>
    <x v="13"/>
    <s v="R3"/>
    <x v="0"/>
    <x v="4"/>
    <n v="81874.34"/>
    <n v="83.6"/>
    <n v="317"/>
    <n v="132.5"/>
    <n v="5.17"/>
    <n v="177"/>
    <n v="866"/>
    <n v="733"/>
    <s v="AWD"/>
    <n v="5"/>
    <x v="5"/>
    <n v="37.9"/>
    <n v="1668"/>
    <x v="0"/>
    <n v="1"/>
    <x v="2"/>
    <x v="2"/>
    <n v="1989"/>
    <n v="3.61"/>
    <n v="4"/>
  </r>
  <r>
    <x v="0"/>
    <s v="ID. Aero"/>
    <x v="2"/>
    <x v="2"/>
    <n v="59514"/>
    <n v="103.6"/>
    <n v="337"/>
    <n v="124.5"/>
    <n v="4.16"/>
    <n v="183"/>
    <n v="577"/>
    <n v="501"/>
    <s v="FWD"/>
    <n v="7"/>
    <x v="1"/>
    <n v="68.7"/>
    <n v="1974"/>
    <x v="0"/>
    <n v="2"/>
    <x v="0"/>
    <x v="1"/>
    <n v="230145"/>
    <n v="3.7"/>
    <n v="3"/>
  </r>
  <r>
    <x v="4"/>
    <s v="Model 3"/>
    <x v="5"/>
    <x v="3"/>
    <n v="80808.44"/>
    <n v="42.4"/>
    <n v="154"/>
    <n v="231.2"/>
    <n v="6.51"/>
    <n v="147"/>
    <n v="522"/>
    <n v="481"/>
    <s v="RWD"/>
    <n v="7"/>
    <x v="4"/>
    <n v="39"/>
    <n v="1500"/>
    <x v="1"/>
    <n v="2"/>
    <x v="2"/>
    <x v="2"/>
    <n v="234368"/>
    <n v="3.52"/>
    <n v="5"/>
  </r>
  <r>
    <x v="13"/>
    <s v="R2"/>
    <x v="2"/>
    <x v="4"/>
    <n v="84156.92"/>
    <n v="68.400000000000006"/>
    <n v="226"/>
    <n v="117"/>
    <n v="5.22"/>
    <n v="165"/>
    <n v="931"/>
    <n v="808"/>
    <s v="FWD"/>
    <n v="5"/>
    <x v="4"/>
    <n v="39.200000000000003"/>
    <n v="1500"/>
    <x v="0"/>
    <n v="0"/>
    <x v="2"/>
    <x v="2"/>
    <n v="29685"/>
    <n v="3.44"/>
    <n v="4"/>
  </r>
  <r>
    <x v="0"/>
    <s v="ID.5"/>
    <x v="2"/>
    <x v="3"/>
    <n v="39960.53"/>
    <n v="63.9"/>
    <n v="252"/>
    <n v="56.8"/>
    <n v="5.58"/>
    <n v="165"/>
    <n v="316"/>
    <n v="259"/>
    <s v="AWD"/>
    <n v="5"/>
    <x v="5"/>
    <n v="19.7"/>
    <n v="1793"/>
    <x v="0"/>
    <n v="0"/>
    <x v="0"/>
    <x v="1"/>
    <n v="212818"/>
    <n v="3.48"/>
    <n v="3"/>
  </r>
  <r>
    <x v="6"/>
    <s v="Ronin"/>
    <x v="2"/>
    <x v="2"/>
    <n v="115878.52"/>
    <n v="94.5"/>
    <n v="334"/>
    <n v="67.599999999999994"/>
    <n v="5.43"/>
    <n v="166"/>
    <n v="983"/>
    <n v="908"/>
    <s v="AWD"/>
    <n v="7"/>
    <x v="0"/>
    <n v="75.5"/>
    <n v="2039"/>
    <x v="0"/>
    <n v="1"/>
    <x v="2"/>
    <x v="0"/>
    <n v="6077"/>
    <n v="3.64"/>
    <n v="5"/>
  </r>
  <r>
    <x v="1"/>
    <s v="bZ Compact SUV"/>
    <x v="2"/>
    <x v="2"/>
    <n v="64461.760000000002"/>
    <n v="85.4"/>
    <n v="288"/>
    <n v="86.3"/>
    <n v="4.5"/>
    <n v="180"/>
    <n v="774"/>
    <n v="731"/>
    <s v="FWD"/>
    <n v="7"/>
    <x v="1"/>
    <n v="64.400000000000006"/>
    <n v="2334"/>
    <x v="0"/>
    <n v="2"/>
    <x v="1"/>
    <x v="1"/>
    <n v="1214"/>
    <n v="3.76"/>
    <n v="4"/>
  </r>
  <r>
    <x v="5"/>
    <s v="EQG"/>
    <x v="0"/>
    <x v="0"/>
    <n v="181026.58"/>
    <n v="110.6"/>
    <n v="370"/>
    <n v="212.6"/>
    <n v="2.8"/>
    <n v="200"/>
    <n v="1000"/>
    <n v="801"/>
    <s v="FWD"/>
    <n v="5"/>
    <x v="0"/>
    <n v="79.099999999999994"/>
    <n v="2572"/>
    <x v="0"/>
    <n v="1"/>
    <x v="0"/>
    <x v="0"/>
    <n v="35248"/>
    <n v="3.91"/>
    <n v="8"/>
  </r>
  <r>
    <x v="7"/>
    <s v="Yuan Plus"/>
    <x v="3"/>
    <x v="2"/>
    <n v="48600.01"/>
    <n v="81.400000000000006"/>
    <n v="288"/>
    <n v="69.599999999999994"/>
    <n v="5.38"/>
    <n v="167"/>
    <n v="474"/>
    <n v="373"/>
    <s v="FWD"/>
    <n v="5"/>
    <x v="5"/>
    <n v="33.4"/>
    <n v="1500"/>
    <x v="0"/>
    <n v="0"/>
    <x v="4"/>
    <x v="1"/>
    <n v="222634"/>
    <n v="3.67"/>
    <n v="5"/>
  </r>
  <r>
    <x v="0"/>
    <s v="ID.3"/>
    <x v="0"/>
    <x v="1"/>
    <n v="40146.71"/>
    <n v="41.6"/>
    <n v="150"/>
    <n v="95.1"/>
    <n v="7.26"/>
    <n v="142"/>
    <n v="312"/>
    <n v="299"/>
    <s v="AWD"/>
    <n v="7"/>
    <x v="4"/>
    <n v="37.299999999999997"/>
    <n v="1894"/>
    <x v="0"/>
    <n v="0"/>
    <x v="0"/>
    <x v="1"/>
    <n v="229072"/>
    <n v="3.13"/>
    <n v="5"/>
  </r>
  <r>
    <x v="5"/>
    <s v="GLE EV"/>
    <x v="0"/>
    <x v="2"/>
    <n v="182443.72"/>
    <n v="104.6"/>
    <n v="359"/>
    <n v="140.1"/>
    <n v="5.1100000000000003"/>
    <n v="174"/>
    <n v="1000"/>
    <n v="903"/>
    <s v="RWD"/>
    <n v="7"/>
    <x v="5"/>
    <n v="35.4"/>
    <n v="1500"/>
    <x v="0"/>
    <n v="2"/>
    <x v="0"/>
    <x v="0"/>
    <n v="20765"/>
    <n v="4.0999999999999996"/>
    <n v="8"/>
  </r>
  <r>
    <x v="7"/>
    <s v="Atto 3"/>
    <x v="1"/>
    <x v="0"/>
    <n v="38276.480000000003"/>
    <n v="92"/>
    <n v="283"/>
    <n v="217.9"/>
    <n v="3.34"/>
    <n v="199"/>
    <n v="395"/>
    <n v="370"/>
    <s v="RWD"/>
    <n v="5"/>
    <x v="2"/>
    <n v="73.900000000000006"/>
    <n v="1520"/>
    <x v="0"/>
    <n v="1"/>
    <x v="4"/>
    <x v="1"/>
    <n v="175542"/>
    <n v="3.44"/>
    <n v="5"/>
  </r>
  <r>
    <x v="4"/>
    <s v="Cybertruck"/>
    <x v="3"/>
    <x v="0"/>
    <n v="116077.71"/>
    <n v="118.6"/>
    <n v="428"/>
    <n v="233.8"/>
    <n v="3.86"/>
    <n v="189"/>
    <n v="859"/>
    <n v="763"/>
    <s v="FWD"/>
    <n v="5"/>
    <x v="0"/>
    <n v="56.7"/>
    <n v="2613"/>
    <x v="1"/>
    <n v="2"/>
    <x v="2"/>
    <x v="0"/>
    <n v="150657"/>
    <n v="4.24"/>
    <n v="5"/>
  </r>
  <r>
    <x v="3"/>
    <s v="EV9"/>
    <x v="3"/>
    <x v="2"/>
    <n v="56772.77"/>
    <n v="100.2"/>
    <n v="356"/>
    <n v="143.1"/>
    <n v="5.58"/>
    <n v="167"/>
    <n v="564"/>
    <n v="536"/>
    <s v="RWD"/>
    <n v="5"/>
    <x v="1"/>
    <n v="44.5"/>
    <n v="2199"/>
    <x v="0"/>
    <n v="0"/>
    <x v="3"/>
    <x v="1"/>
    <n v="99235"/>
    <n v="3.69"/>
    <n v="3"/>
  </r>
  <r>
    <x v="12"/>
    <s v="EL8"/>
    <x v="3"/>
    <x v="1"/>
    <n v="87478.76"/>
    <n v="48.6"/>
    <n v="172"/>
    <n v="148.9"/>
    <n v="5.5"/>
    <n v="164"/>
    <n v="804"/>
    <n v="708"/>
    <s v="RWD"/>
    <n v="7"/>
    <x v="1"/>
    <n v="52.5"/>
    <n v="2018"/>
    <x v="0"/>
    <n v="1"/>
    <x v="4"/>
    <x v="2"/>
    <n v="16505"/>
    <n v="3.43"/>
    <n v="3"/>
  </r>
  <r>
    <x v="2"/>
    <s v="Bolt EUV"/>
    <x v="3"/>
    <x v="2"/>
    <n v="68470.14"/>
    <n v="87.2"/>
    <n v="293"/>
    <n v="84.2"/>
    <n v="5.66"/>
    <n v="157"/>
    <n v="950"/>
    <n v="828"/>
    <s v="AWD"/>
    <n v="7"/>
    <x v="2"/>
    <n v="74.099999999999994"/>
    <n v="1500"/>
    <x v="0"/>
    <n v="2"/>
    <x v="2"/>
    <x v="2"/>
    <n v="14899"/>
    <n v="3.33"/>
    <n v="4"/>
  </r>
  <r>
    <x v="3"/>
    <s v="EV9"/>
    <x v="3"/>
    <x v="1"/>
    <n v="89987.27"/>
    <n v="70.400000000000006"/>
    <n v="245"/>
    <n v="88.3"/>
    <n v="5.67"/>
    <n v="174"/>
    <n v="1000"/>
    <n v="935"/>
    <s v="AWD"/>
    <n v="7"/>
    <x v="1"/>
    <n v="36.700000000000003"/>
    <n v="2020"/>
    <x v="0"/>
    <n v="0"/>
    <x v="3"/>
    <x v="2"/>
    <n v="123485"/>
    <n v="3.47"/>
    <n v="4"/>
  </r>
  <r>
    <x v="4"/>
    <s v="Model S"/>
    <x v="0"/>
    <x v="1"/>
    <n v="76607.64"/>
    <n v="81.099999999999994"/>
    <n v="288"/>
    <n v="315.7"/>
    <n v="7.64"/>
    <n v="137"/>
    <n v="556"/>
    <n v="538"/>
    <s v="AWD"/>
    <n v="7"/>
    <x v="2"/>
    <n v="69.5"/>
    <n v="1617"/>
    <x v="2"/>
    <n v="3"/>
    <x v="2"/>
    <x v="2"/>
    <n v="244244"/>
    <n v="3.81"/>
    <n v="4"/>
  </r>
  <r>
    <x v="3"/>
    <s v="Picanto EV"/>
    <x v="1"/>
    <x v="2"/>
    <n v="76439.210000000006"/>
    <n v="93"/>
    <n v="337"/>
    <n v="94"/>
    <n v="5.8"/>
    <n v="164"/>
    <n v="893"/>
    <n v="853"/>
    <s v="FWD"/>
    <n v="5"/>
    <x v="0"/>
    <n v="75.099999999999994"/>
    <n v="2689"/>
    <x v="1"/>
    <n v="0"/>
    <x v="3"/>
    <x v="2"/>
    <n v="85577"/>
    <n v="3.72"/>
    <n v="3"/>
  </r>
  <r>
    <x v="15"/>
    <s v="XC90 Recharge"/>
    <x v="3"/>
    <x v="0"/>
    <n v="106316.66"/>
    <n v="104.3"/>
    <n v="367"/>
    <n v="231.2"/>
    <n v="4.12"/>
    <n v="193"/>
    <n v="1000"/>
    <n v="898"/>
    <s v="RWD"/>
    <n v="5"/>
    <x v="2"/>
    <n v="60.8"/>
    <n v="1794"/>
    <x v="1"/>
    <n v="0"/>
    <x v="5"/>
    <x v="0"/>
    <n v="8684"/>
    <n v="3.86"/>
    <n v="4"/>
  </r>
  <r>
    <x v="4"/>
    <s v="Model Y"/>
    <x v="3"/>
    <x v="1"/>
    <n v="83799.48"/>
    <n v="74.599999999999994"/>
    <n v="276"/>
    <n v="279.2"/>
    <n v="6.55"/>
    <n v="153"/>
    <n v="644"/>
    <n v="594"/>
    <s v="RWD"/>
    <n v="5"/>
    <x v="0"/>
    <n v="55.2"/>
    <n v="2793"/>
    <x v="1"/>
    <n v="2"/>
    <x v="2"/>
    <x v="2"/>
    <n v="427228"/>
    <n v="4.1500000000000004"/>
    <n v="4"/>
  </r>
  <r>
    <x v="8"/>
    <s v="Ioniq"/>
    <x v="2"/>
    <x v="3"/>
    <n v="50276.57"/>
    <n v="73.2"/>
    <n v="241"/>
    <n v="96.2"/>
    <n v="7.53"/>
    <n v="138"/>
    <n v="521"/>
    <n v="483"/>
    <s v="RWD"/>
    <n v="5"/>
    <x v="2"/>
    <n v="72.900000000000006"/>
    <n v="1533"/>
    <x v="2"/>
    <n v="1"/>
    <x v="3"/>
    <x v="1"/>
    <n v="126203"/>
    <n v="3.42"/>
    <n v="4"/>
  </r>
  <r>
    <x v="11"/>
    <s v="e-tron GT"/>
    <x v="1"/>
    <x v="1"/>
    <n v="98374.44"/>
    <n v="50.7"/>
    <n v="166"/>
    <n v="145.4"/>
    <n v="5.67"/>
    <n v="164"/>
    <n v="699"/>
    <n v="652"/>
    <s v="RWD"/>
    <n v="5"/>
    <x v="0"/>
    <n v="55.3"/>
    <n v="2533"/>
    <x v="1"/>
    <n v="1"/>
    <x v="0"/>
    <x v="2"/>
    <n v="45293"/>
    <n v="3.1"/>
    <n v="7"/>
  </r>
  <r>
    <x v="2"/>
    <s v="Equinox EV"/>
    <x v="3"/>
    <x v="0"/>
    <n v="101369.89"/>
    <n v="89.3"/>
    <n v="325"/>
    <n v="206.4"/>
    <n v="3.53"/>
    <n v="195"/>
    <n v="1000"/>
    <n v="948"/>
    <s v="AWD"/>
    <n v="7"/>
    <x v="1"/>
    <n v="39.700000000000003"/>
    <n v="1831"/>
    <x v="2"/>
    <n v="0"/>
    <x v="2"/>
    <x v="0"/>
    <n v="27681"/>
    <n v="3.35"/>
    <n v="3"/>
  </r>
  <r>
    <x v="2"/>
    <s v="Blazer EV"/>
    <x v="3"/>
    <x v="3"/>
    <n v="61000.06"/>
    <n v="63.4"/>
    <n v="250"/>
    <n v="146.1"/>
    <n v="6.81"/>
    <n v="151"/>
    <n v="774"/>
    <n v="697"/>
    <s v="AWD"/>
    <n v="5"/>
    <x v="0"/>
    <n v="71.400000000000006"/>
    <n v="2734"/>
    <x v="0"/>
    <n v="0"/>
    <x v="2"/>
    <x v="1"/>
    <n v="3536"/>
    <n v="3.69"/>
    <n v="4"/>
  </r>
  <r>
    <x v="2"/>
    <s v="Silverado EV"/>
    <x v="3"/>
    <x v="1"/>
    <n v="56307.41"/>
    <n v="55"/>
    <n v="193"/>
    <n v="101.8"/>
    <n v="6.37"/>
    <n v="155"/>
    <n v="631"/>
    <n v="564"/>
    <s v="RWD"/>
    <n v="5"/>
    <x v="5"/>
    <n v="24.8"/>
    <n v="1699"/>
    <x v="0"/>
    <n v="0"/>
    <x v="2"/>
    <x v="1"/>
    <n v="25746"/>
    <n v="3.34"/>
    <n v="4"/>
  </r>
  <r>
    <x v="0"/>
    <s v="ID.4"/>
    <x v="4"/>
    <x v="1"/>
    <n v="107417.79"/>
    <n v="54.2"/>
    <n v="201"/>
    <n v="75.7"/>
    <n v="5.0599999999999996"/>
    <n v="176"/>
    <n v="1000"/>
    <n v="872"/>
    <s v="AWD"/>
    <n v="5"/>
    <x v="3"/>
    <n v="30.6"/>
    <n v="1514"/>
    <x v="1"/>
    <n v="2"/>
    <x v="0"/>
    <x v="0"/>
    <n v="254098"/>
    <n v="3.37"/>
    <n v="4"/>
  </r>
  <r>
    <x v="7"/>
    <s v="Leaf 50X"/>
    <x v="2"/>
    <x v="0"/>
    <n v="118468.84"/>
    <n v="86.8"/>
    <n v="291"/>
    <n v="170"/>
    <n v="3.33"/>
    <n v="200"/>
    <n v="1000"/>
    <n v="892"/>
    <s v="AWD"/>
    <n v="5"/>
    <x v="4"/>
    <n v="37.6"/>
    <n v="1584"/>
    <x v="0"/>
    <n v="0"/>
    <x v="4"/>
    <x v="0"/>
    <n v="209498"/>
    <n v="3.76"/>
    <n v="3"/>
  </r>
  <r>
    <x v="9"/>
    <s v="Explorer EV"/>
    <x v="3"/>
    <x v="2"/>
    <n v="92751.53"/>
    <n v="76.2"/>
    <n v="247"/>
    <n v="133.69999999999999"/>
    <n v="5.0199999999999996"/>
    <n v="178"/>
    <n v="1000"/>
    <n v="868"/>
    <s v="FWD"/>
    <n v="7"/>
    <x v="0"/>
    <n v="55.9"/>
    <n v="2390"/>
    <x v="0"/>
    <n v="0"/>
    <x v="2"/>
    <x v="2"/>
    <n v="70352"/>
    <n v="3.3"/>
    <n v="3"/>
  </r>
  <r>
    <x v="9"/>
    <s v="Mustang Mach-E"/>
    <x v="2"/>
    <x v="3"/>
    <n v="52120.46"/>
    <n v="64.5"/>
    <n v="208"/>
    <n v="114.7"/>
    <n v="5.13"/>
    <n v="181"/>
    <n v="502"/>
    <n v="432"/>
    <s v="FWD"/>
    <n v="7"/>
    <x v="4"/>
    <n v="35.6"/>
    <n v="1529"/>
    <x v="0"/>
    <n v="0"/>
    <x v="2"/>
    <x v="1"/>
    <n v="29029"/>
    <n v="3.16"/>
    <n v="4"/>
  </r>
  <r>
    <x v="5"/>
    <s v="EQC"/>
    <x v="2"/>
    <x v="2"/>
    <n v="169395.24"/>
    <n v="99.7"/>
    <n v="323"/>
    <n v="138.5"/>
    <n v="5.15"/>
    <n v="172"/>
    <n v="1000"/>
    <n v="874"/>
    <s v="RWD"/>
    <n v="5"/>
    <x v="0"/>
    <n v="59.3"/>
    <n v="2679"/>
    <x v="2"/>
    <n v="2"/>
    <x v="0"/>
    <x v="0"/>
    <n v="60151"/>
    <n v="3.87"/>
    <n v="7"/>
  </r>
  <r>
    <x v="11"/>
    <s v="e-tron GT"/>
    <x v="4"/>
    <x v="3"/>
    <n v="80311.97"/>
    <n v="74.599999999999994"/>
    <n v="241"/>
    <n v="114.4"/>
    <n v="5.32"/>
    <n v="157"/>
    <n v="510"/>
    <n v="457"/>
    <s v="AWD"/>
    <n v="5"/>
    <x v="5"/>
    <n v="21.5"/>
    <n v="1509"/>
    <x v="1"/>
    <n v="2"/>
    <x v="0"/>
    <x v="2"/>
    <n v="55803"/>
    <n v="3.52"/>
    <n v="6"/>
  </r>
  <r>
    <x v="8"/>
    <s v="Ioniq 5"/>
    <x v="1"/>
    <x v="1"/>
    <n v="72159.44"/>
    <n v="56.2"/>
    <n v="163"/>
    <n v="114.1"/>
    <n v="7.7"/>
    <n v="132"/>
    <n v="890"/>
    <n v="768"/>
    <s v="AWD"/>
    <n v="7"/>
    <x v="2"/>
    <n v="75.8"/>
    <n v="1500"/>
    <x v="0"/>
    <n v="0"/>
    <x v="3"/>
    <x v="2"/>
    <n v="119329"/>
    <n v="3.43"/>
    <n v="4"/>
  </r>
  <r>
    <x v="8"/>
    <s v="Ioniq 6"/>
    <x v="3"/>
    <x v="2"/>
    <n v="37714.46"/>
    <n v="105.8"/>
    <n v="359"/>
    <n v="96.8"/>
    <n v="5.2"/>
    <n v="170"/>
    <n v="313"/>
    <n v="268"/>
    <s v="RWD"/>
    <n v="7"/>
    <x v="0"/>
    <n v="57.8"/>
    <n v="2452"/>
    <x v="0"/>
    <n v="0"/>
    <x v="3"/>
    <x v="1"/>
    <n v="77052"/>
    <n v="3.86"/>
    <n v="5"/>
  </r>
  <r>
    <x v="9"/>
    <s v="Mustang Mach-E"/>
    <x v="0"/>
    <x v="2"/>
    <n v="63827.68"/>
    <n v="85.8"/>
    <n v="270"/>
    <n v="133.9"/>
    <n v="4.5999999999999996"/>
    <n v="180"/>
    <n v="665"/>
    <n v="610"/>
    <s v="FWD"/>
    <n v="7"/>
    <x v="0"/>
    <n v="59.4"/>
    <n v="2431"/>
    <x v="0"/>
    <n v="0"/>
    <x v="2"/>
    <x v="1"/>
    <n v="74506"/>
    <n v="3.43"/>
    <n v="3"/>
  </r>
  <r>
    <x v="10"/>
    <s v="i7"/>
    <x v="3"/>
    <x v="1"/>
    <n v="150512.16"/>
    <n v="44.6"/>
    <n v="150"/>
    <n v="132.1"/>
    <n v="5.28"/>
    <n v="170"/>
    <n v="1000"/>
    <n v="905"/>
    <s v="RWD"/>
    <n v="7"/>
    <x v="3"/>
    <n v="20.5"/>
    <n v="1765"/>
    <x v="0"/>
    <n v="2"/>
    <x v="0"/>
    <x v="0"/>
    <n v="47379"/>
    <n v="3.31"/>
    <n v="8"/>
  </r>
  <r>
    <x v="2"/>
    <s v="Bolt EUV"/>
    <x v="0"/>
    <x v="0"/>
    <n v="74889.56"/>
    <n v="92.7"/>
    <n v="312"/>
    <n v="151.1"/>
    <n v="4.05"/>
    <n v="193"/>
    <n v="994"/>
    <n v="937"/>
    <s v="RWD"/>
    <n v="7"/>
    <x v="4"/>
    <n v="17.5"/>
    <n v="1704"/>
    <x v="0"/>
    <n v="2"/>
    <x v="2"/>
    <x v="2"/>
    <n v="29402"/>
    <n v="3.57"/>
    <n v="3"/>
  </r>
  <r>
    <x v="9"/>
    <s v="F-150 Lightning"/>
    <x v="3"/>
    <x v="2"/>
    <n v="66474.899999999994"/>
    <n v="78.5"/>
    <n v="273"/>
    <n v="146"/>
    <n v="5.39"/>
    <n v="168"/>
    <n v="721"/>
    <n v="687"/>
    <s v="FWD"/>
    <n v="4"/>
    <x v="0"/>
    <n v="69.3"/>
    <n v="2671"/>
    <x v="0"/>
    <n v="0"/>
    <x v="2"/>
    <x v="2"/>
    <n v="43803"/>
    <n v="3.47"/>
    <n v="5"/>
  </r>
  <r>
    <x v="11"/>
    <s v="Q6 e-tron"/>
    <x v="6"/>
    <x v="2"/>
    <n v="76665.86"/>
    <n v="103.7"/>
    <n v="353"/>
    <n v="63"/>
    <n v="5.43"/>
    <n v="165"/>
    <n v="449"/>
    <n v="388"/>
    <s v="AWD"/>
    <n v="5"/>
    <x v="3"/>
    <n v="29.6"/>
    <n v="1563"/>
    <x v="0"/>
    <n v="1"/>
    <x v="0"/>
    <x v="2"/>
    <n v="32828"/>
    <n v="3.4"/>
    <n v="5"/>
  </r>
  <r>
    <x v="7"/>
    <s v="Dolphin"/>
    <x v="3"/>
    <x v="3"/>
    <n v="42876.18"/>
    <n v="78.3"/>
    <n v="263"/>
    <n v="87.3"/>
    <n v="5.69"/>
    <n v="161"/>
    <n v="415"/>
    <n v="379"/>
    <s v="FWD"/>
    <n v="7"/>
    <x v="1"/>
    <n v="41.7"/>
    <n v="2370"/>
    <x v="1"/>
    <n v="2"/>
    <x v="4"/>
    <x v="1"/>
    <n v="158327"/>
    <n v="3.29"/>
    <n v="3"/>
  </r>
  <r>
    <x v="0"/>
    <s v="ID. Buzz"/>
    <x v="5"/>
    <x v="4"/>
    <n v="43538.73"/>
    <n v="62.3"/>
    <n v="231"/>
    <n v="100"/>
    <n v="5.92"/>
    <n v="165"/>
    <n v="299"/>
    <n v="249"/>
    <s v="RWD"/>
    <n v="5"/>
    <x v="2"/>
    <n v="70.599999999999994"/>
    <n v="1732"/>
    <x v="0"/>
    <n v="1"/>
    <x v="0"/>
    <x v="1"/>
    <n v="228329"/>
    <n v="3.2"/>
    <n v="3"/>
  </r>
  <r>
    <x v="4"/>
    <s v="Cybertruck"/>
    <x v="0"/>
    <x v="3"/>
    <n v="104581.09"/>
    <n v="50.5"/>
    <n v="185"/>
    <n v="345.6"/>
    <n v="6.12"/>
    <n v="165"/>
    <n v="743"/>
    <n v="674"/>
    <s v="FWD"/>
    <n v="7"/>
    <x v="0"/>
    <n v="66.2"/>
    <n v="2370"/>
    <x v="1"/>
    <n v="2"/>
    <x v="2"/>
    <x v="0"/>
    <n v="156090"/>
    <n v="3.54"/>
    <n v="6"/>
  </r>
  <r>
    <x v="3"/>
    <s v="EV6"/>
    <x v="1"/>
    <x v="2"/>
    <n v="90771.15"/>
    <n v="86.2"/>
    <n v="305"/>
    <n v="132.4"/>
    <n v="4.21"/>
    <n v="179"/>
    <n v="1000"/>
    <n v="874"/>
    <s v="FWD"/>
    <n v="5"/>
    <x v="0"/>
    <n v="78.900000000000006"/>
    <n v="2457"/>
    <x v="0"/>
    <n v="0"/>
    <x v="3"/>
    <x v="2"/>
    <n v="86318"/>
    <n v="3.46"/>
    <n v="3"/>
  </r>
  <r>
    <x v="4"/>
    <s v="Model S"/>
    <x v="1"/>
    <x v="1"/>
    <n v="59089.35"/>
    <n v="76.7"/>
    <n v="268"/>
    <n v="244.8"/>
    <n v="6.91"/>
    <n v="153"/>
    <n v="380"/>
    <n v="319"/>
    <s v="RWD"/>
    <n v="5"/>
    <x v="5"/>
    <n v="36.700000000000003"/>
    <n v="1500"/>
    <x v="1"/>
    <n v="2"/>
    <x v="2"/>
    <x v="1"/>
    <n v="130707"/>
    <n v="3.64"/>
    <n v="5"/>
  </r>
  <r>
    <x v="8"/>
    <s v="Ioniq"/>
    <x v="2"/>
    <x v="0"/>
    <n v="50087.55"/>
    <n v="104.8"/>
    <n v="362"/>
    <n v="185.1"/>
    <n v="4.0199999999999996"/>
    <n v="188"/>
    <n v="578"/>
    <n v="543"/>
    <s v="FWD"/>
    <n v="7"/>
    <x v="0"/>
    <n v="62.2"/>
    <n v="2466"/>
    <x v="1"/>
    <n v="0"/>
    <x v="3"/>
    <x v="1"/>
    <n v="62703"/>
    <n v="3.86"/>
    <n v="3"/>
  </r>
  <r>
    <x v="3"/>
    <s v="EV6"/>
    <x v="3"/>
    <x v="0"/>
    <n v="117331.76"/>
    <n v="116.3"/>
    <n v="411"/>
    <n v="186.7"/>
    <n v="2.71"/>
    <n v="200"/>
    <n v="1000"/>
    <n v="905"/>
    <s v="RWD"/>
    <n v="5"/>
    <x v="4"/>
    <n v="37.4"/>
    <n v="1704"/>
    <x v="0"/>
    <n v="0"/>
    <x v="3"/>
    <x v="0"/>
    <n v="108933"/>
    <n v="3.59"/>
    <n v="4"/>
  </r>
  <r>
    <x v="7"/>
    <s v="Max"/>
    <x v="2"/>
    <x v="3"/>
    <n v="36467.370000000003"/>
    <n v="45"/>
    <n v="150"/>
    <n v="140.9"/>
    <n v="5.31"/>
    <n v="169"/>
    <n v="406"/>
    <n v="327"/>
    <s v="RWD"/>
    <n v="5"/>
    <x v="4"/>
    <n v="24"/>
    <n v="1558"/>
    <x v="0"/>
    <n v="1"/>
    <x v="4"/>
    <x v="1"/>
    <n v="220450"/>
    <n v="3.22"/>
    <n v="4"/>
  </r>
  <r>
    <x v="3"/>
    <s v="EV6"/>
    <x v="3"/>
    <x v="3"/>
    <n v="74609.83"/>
    <n v="44.7"/>
    <n v="153"/>
    <n v="82.8"/>
    <n v="5.63"/>
    <n v="165"/>
    <n v="763"/>
    <n v="677"/>
    <s v="RWD"/>
    <n v="5"/>
    <x v="0"/>
    <n v="50.4"/>
    <n v="2255"/>
    <x v="1"/>
    <n v="1"/>
    <x v="3"/>
    <x v="2"/>
    <n v="84247"/>
    <n v="3.42"/>
    <n v="3"/>
  </r>
  <r>
    <x v="4"/>
    <s v="Cybertruck"/>
    <x v="3"/>
    <x v="3"/>
    <n v="87113.04"/>
    <n v="47.4"/>
    <n v="150"/>
    <n v="233.9"/>
    <n v="5.08"/>
    <n v="176"/>
    <n v="649"/>
    <n v="602"/>
    <s v="RWD"/>
    <n v="5"/>
    <x v="0"/>
    <n v="77.099999999999994"/>
    <n v="2639"/>
    <x v="0"/>
    <n v="2"/>
    <x v="2"/>
    <x v="2"/>
    <n v="217680"/>
    <n v="3.55"/>
    <n v="4"/>
  </r>
  <r>
    <x v="4"/>
    <s v="Cybertruck"/>
    <x v="3"/>
    <x v="0"/>
    <n v="166572.78"/>
    <n v="117.8"/>
    <n v="398"/>
    <n v="203"/>
    <n v="3.46"/>
    <n v="200"/>
    <n v="1000"/>
    <n v="903"/>
    <s v="AWD"/>
    <n v="5"/>
    <x v="0"/>
    <n v="72.900000000000006"/>
    <n v="2600"/>
    <x v="1"/>
    <n v="2"/>
    <x v="2"/>
    <x v="0"/>
    <n v="229037"/>
    <n v="4.3499999999999996"/>
    <n v="6"/>
  </r>
  <r>
    <x v="5"/>
    <s v="GLE EV"/>
    <x v="2"/>
    <x v="3"/>
    <n v="116775.93"/>
    <n v="78.599999999999994"/>
    <n v="259"/>
    <n v="119.6"/>
    <n v="5.62"/>
    <n v="166"/>
    <n v="633"/>
    <n v="567"/>
    <s v="RWD"/>
    <n v="5"/>
    <x v="3"/>
    <n v="29"/>
    <n v="1558"/>
    <x v="0"/>
    <n v="1"/>
    <x v="0"/>
    <x v="0"/>
    <n v="43904"/>
    <n v="3.6"/>
    <n v="6"/>
  </r>
  <r>
    <x v="0"/>
    <s v="ID.3"/>
    <x v="2"/>
    <x v="1"/>
    <n v="98791.59"/>
    <n v="77"/>
    <n v="250"/>
    <n v="96.8"/>
    <n v="7.9"/>
    <n v="133"/>
    <n v="1000"/>
    <n v="918"/>
    <s v="AWD"/>
    <n v="5"/>
    <x v="3"/>
    <n v="25.9"/>
    <n v="1840"/>
    <x v="1"/>
    <n v="0"/>
    <x v="0"/>
    <x v="2"/>
    <n v="289215"/>
    <n v="3.46"/>
    <n v="4"/>
  </r>
  <r>
    <x v="4"/>
    <s v="Model S"/>
    <x v="0"/>
    <x v="3"/>
    <n v="56750.25"/>
    <n v="40.5"/>
    <n v="163"/>
    <n v="297.60000000000002"/>
    <n v="7.9"/>
    <n v="136"/>
    <n v="387"/>
    <n v="382"/>
    <s v="AWD"/>
    <n v="5"/>
    <x v="2"/>
    <n v="72.2"/>
    <n v="1500"/>
    <x v="0"/>
    <n v="2"/>
    <x v="2"/>
    <x v="1"/>
    <n v="175034"/>
    <n v="3.89"/>
    <n v="4"/>
  </r>
  <r>
    <x v="8"/>
    <s v="Kona Electric"/>
    <x v="2"/>
    <x v="1"/>
    <n v="75053.58"/>
    <n v="43"/>
    <n v="154"/>
    <n v="117.1"/>
    <n v="7.11"/>
    <n v="150"/>
    <n v="943"/>
    <n v="794"/>
    <s v="RWD"/>
    <n v="7"/>
    <x v="0"/>
    <n v="72.400000000000006"/>
    <n v="2127"/>
    <x v="0"/>
    <n v="1"/>
    <x v="3"/>
    <x v="2"/>
    <n v="86699"/>
    <n v="3.36"/>
    <n v="4"/>
  </r>
  <r>
    <x v="9"/>
    <s v="E-Transit"/>
    <x v="3"/>
    <x v="4"/>
    <n v="49970.16"/>
    <n v="77.5"/>
    <n v="267"/>
    <n v="56.6"/>
    <n v="5"/>
    <n v="181"/>
    <n v="406"/>
    <n v="375"/>
    <s v="RWD"/>
    <n v="7"/>
    <x v="0"/>
    <n v="54"/>
    <n v="2803"/>
    <x v="0"/>
    <n v="1"/>
    <x v="2"/>
    <x v="1"/>
    <n v="35218"/>
    <n v="3.57"/>
    <n v="3"/>
  </r>
  <r>
    <x v="7"/>
    <s v="Max"/>
    <x v="2"/>
    <x v="4"/>
    <n v="39727.71"/>
    <n v="45.3"/>
    <n v="154"/>
    <n v="108.8"/>
    <n v="5.19"/>
    <n v="170"/>
    <n v="400"/>
    <n v="312"/>
    <s v="AWD"/>
    <n v="7"/>
    <x v="2"/>
    <n v="74.900000000000006"/>
    <n v="1609"/>
    <x v="0"/>
    <n v="1"/>
    <x v="4"/>
    <x v="1"/>
    <n v="139199"/>
    <n v="3.11"/>
    <n v="5"/>
  </r>
  <r>
    <x v="10"/>
    <s v="i4"/>
    <x v="3"/>
    <x v="3"/>
    <n v="85729.44"/>
    <n v="59.9"/>
    <n v="191"/>
    <n v="145.69999999999999"/>
    <n v="5.99"/>
    <n v="168"/>
    <n v="651"/>
    <n v="567"/>
    <s v="RWD"/>
    <n v="5"/>
    <x v="0"/>
    <n v="68.3"/>
    <n v="2688"/>
    <x v="1"/>
    <n v="2"/>
    <x v="0"/>
    <x v="2"/>
    <n v="29338"/>
    <n v="3.48"/>
    <n v="6"/>
  </r>
  <r>
    <x v="4"/>
    <s v="Cybertruck"/>
    <x v="0"/>
    <x v="3"/>
    <n v="62213.09"/>
    <n v="54.2"/>
    <n v="191"/>
    <n v="341.2"/>
    <n v="7.6"/>
    <n v="136"/>
    <n v="404"/>
    <n v="327"/>
    <s v="FWD"/>
    <n v="5"/>
    <x v="0"/>
    <n v="50.7"/>
    <n v="2531"/>
    <x v="1"/>
    <n v="3"/>
    <x v="2"/>
    <x v="1"/>
    <n v="199768"/>
    <n v="3.77"/>
    <n v="5"/>
  </r>
  <r>
    <x v="4"/>
    <s v="Cybertruck"/>
    <x v="1"/>
    <x v="0"/>
    <n v="170128.32"/>
    <n v="84.4"/>
    <n v="303"/>
    <n v="306.89999999999998"/>
    <n v="3.88"/>
    <n v="186"/>
    <n v="1000"/>
    <n v="875"/>
    <s v="RWD"/>
    <n v="7"/>
    <x v="0"/>
    <n v="63.7"/>
    <n v="2467"/>
    <x v="0"/>
    <n v="2"/>
    <x v="2"/>
    <x v="0"/>
    <n v="163960"/>
    <n v="4.09"/>
    <n v="5"/>
  </r>
  <r>
    <x v="8"/>
    <s v="Ioniq 5"/>
    <x v="2"/>
    <x v="1"/>
    <n v="80948.92"/>
    <n v="68.599999999999994"/>
    <n v="262"/>
    <n v="104.1"/>
    <n v="5.97"/>
    <n v="162"/>
    <n v="1000"/>
    <n v="898"/>
    <s v="FWD"/>
    <n v="7"/>
    <x v="2"/>
    <n v="77.2"/>
    <n v="1500"/>
    <x v="1"/>
    <n v="1"/>
    <x v="3"/>
    <x v="2"/>
    <n v="134570"/>
    <n v="3.64"/>
    <n v="3"/>
  </r>
  <r>
    <x v="3"/>
    <s v="Picanto EV"/>
    <x v="1"/>
    <x v="3"/>
    <n v="43745.72"/>
    <n v="58.3"/>
    <n v="197"/>
    <n v="109.4"/>
    <n v="7.32"/>
    <n v="141"/>
    <n v="381"/>
    <n v="354"/>
    <s v="RWD"/>
    <n v="7"/>
    <x v="3"/>
    <n v="27.1"/>
    <n v="1724"/>
    <x v="1"/>
    <n v="0"/>
    <x v="3"/>
    <x v="1"/>
    <n v="77441"/>
    <n v="3.34"/>
    <n v="4"/>
  </r>
  <r>
    <x v="10"/>
    <s v="i3"/>
    <x v="0"/>
    <x v="2"/>
    <n v="134039.99"/>
    <n v="84.4"/>
    <n v="313"/>
    <n v="79.400000000000006"/>
    <n v="4.43"/>
    <n v="177"/>
    <n v="1000"/>
    <n v="874"/>
    <s v="AWD"/>
    <n v="5"/>
    <x v="5"/>
    <n v="26.8"/>
    <n v="1652"/>
    <x v="1"/>
    <n v="2"/>
    <x v="0"/>
    <x v="0"/>
    <n v="70841"/>
    <n v="3.71"/>
    <n v="5"/>
  </r>
  <r>
    <x v="2"/>
    <s v="Blazer EV"/>
    <x v="3"/>
    <x v="1"/>
    <n v="80896.009999999995"/>
    <n v="64.400000000000006"/>
    <n v="194"/>
    <n v="102.1"/>
    <n v="6.97"/>
    <n v="148"/>
    <n v="1000"/>
    <n v="881"/>
    <s v="RWD"/>
    <n v="5"/>
    <x v="3"/>
    <n v="27.2"/>
    <n v="1500"/>
    <x v="0"/>
    <n v="0"/>
    <x v="2"/>
    <x v="2"/>
    <n v="11404"/>
    <n v="3.35"/>
    <n v="4"/>
  </r>
  <r>
    <x v="16"/>
    <s v="Air"/>
    <x v="5"/>
    <x v="4"/>
    <n v="199365.9"/>
    <n v="57.8"/>
    <n v="235"/>
    <n v="215.3"/>
    <n v="7.53"/>
    <n v="138"/>
    <n v="953"/>
    <n v="859"/>
    <s v="FWD"/>
    <n v="7"/>
    <x v="4"/>
    <n v="23.6"/>
    <n v="1531"/>
    <x v="0"/>
    <n v="0"/>
    <x v="2"/>
    <x v="0"/>
    <n v="26890"/>
    <n v="3.19"/>
    <n v="5"/>
  </r>
  <r>
    <x v="8"/>
    <s v="i30"/>
    <x v="0"/>
    <x v="2"/>
    <n v="65970"/>
    <n v="108.1"/>
    <n v="394"/>
    <n v="85.8"/>
    <n v="4.76"/>
    <n v="179"/>
    <n v="835"/>
    <n v="684"/>
    <s v="FWD"/>
    <n v="5"/>
    <x v="4"/>
    <n v="38.200000000000003"/>
    <n v="1500"/>
    <x v="1"/>
    <n v="1"/>
    <x v="3"/>
    <x v="2"/>
    <n v="146072"/>
    <n v="4.09"/>
    <n v="4"/>
  </r>
  <r>
    <x v="7"/>
    <s v="Qin"/>
    <x v="2"/>
    <x v="1"/>
    <n v="67622.89"/>
    <n v="80.400000000000006"/>
    <n v="289"/>
    <n v="98.5"/>
    <n v="7.92"/>
    <n v="131"/>
    <n v="740"/>
    <n v="667"/>
    <s v="AWD"/>
    <n v="5"/>
    <x v="3"/>
    <n v="28.6"/>
    <n v="1988"/>
    <x v="0"/>
    <n v="0"/>
    <x v="4"/>
    <x v="2"/>
    <n v="235660"/>
    <n v="3.57"/>
    <n v="5"/>
  </r>
  <r>
    <x v="9"/>
    <s v="E-Transit"/>
    <x v="0"/>
    <x v="3"/>
    <n v="42208.33"/>
    <n v="66.3"/>
    <n v="224"/>
    <n v="72.3"/>
    <n v="5.56"/>
    <n v="165"/>
    <n v="401"/>
    <n v="336"/>
    <s v="AWD"/>
    <n v="5"/>
    <x v="1"/>
    <n v="35.200000000000003"/>
    <n v="1892"/>
    <x v="1"/>
    <n v="0"/>
    <x v="2"/>
    <x v="1"/>
    <n v="47569"/>
    <n v="3.37"/>
    <n v="4"/>
  </r>
  <r>
    <x v="7"/>
    <s v="Leaf 50X"/>
    <x v="2"/>
    <x v="3"/>
    <n v="56388.91"/>
    <n v="73.7"/>
    <n v="242"/>
    <n v="113.8"/>
    <n v="6.52"/>
    <n v="156"/>
    <n v="632"/>
    <n v="585"/>
    <s v="RWD"/>
    <n v="7"/>
    <x v="5"/>
    <n v="15.8"/>
    <n v="1666"/>
    <x v="1"/>
    <n v="1"/>
    <x v="4"/>
    <x v="1"/>
    <n v="205113"/>
    <n v="3.4"/>
    <n v="4"/>
  </r>
  <r>
    <x v="0"/>
    <s v="ID. Buzz"/>
    <x v="3"/>
    <x v="2"/>
    <n v="66045.149999999994"/>
    <n v="82.5"/>
    <n v="269"/>
    <n v="67.599999999999994"/>
    <n v="5.49"/>
    <n v="163"/>
    <n v="665"/>
    <n v="550"/>
    <s v="FWD"/>
    <n v="7"/>
    <x v="3"/>
    <n v="26.2"/>
    <n v="1571"/>
    <x v="0"/>
    <n v="0"/>
    <x v="0"/>
    <x v="2"/>
    <n v="228215"/>
    <n v="3.37"/>
    <n v="3"/>
  </r>
  <r>
    <x v="4"/>
    <s v="Cybertruck"/>
    <x v="2"/>
    <x v="3"/>
    <n v="37365.06"/>
    <n v="44.7"/>
    <n v="150"/>
    <n v="237.7"/>
    <n v="5.52"/>
    <n v="169"/>
    <n v="223"/>
    <n v="200"/>
    <s v="AWD"/>
    <n v="5"/>
    <x v="0"/>
    <n v="50.6"/>
    <n v="2555"/>
    <x v="1"/>
    <n v="2"/>
    <x v="2"/>
    <x v="1"/>
    <n v="220616"/>
    <n v="3.81"/>
    <n v="5"/>
  </r>
  <r>
    <x v="4"/>
    <s v="Cybertruck"/>
    <x v="0"/>
    <x v="3"/>
    <n v="38622.29"/>
    <n v="51.5"/>
    <n v="186"/>
    <n v="261.7"/>
    <n v="7.84"/>
    <n v="124"/>
    <n v="276"/>
    <n v="226"/>
    <s v="FWD"/>
    <n v="5"/>
    <x v="0"/>
    <n v="75.7"/>
    <n v="2714"/>
    <x v="1"/>
    <n v="2"/>
    <x v="2"/>
    <x v="1"/>
    <n v="174372"/>
    <n v="3.4"/>
    <n v="5"/>
  </r>
  <r>
    <x v="1"/>
    <s v="bZ4X"/>
    <x v="1"/>
    <x v="4"/>
    <n v="69982.490000000005"/>
    <n v="42.6"/>
    <n v="156"/>
    <n v="93.7"/>
    <n v="6.21"/>
    <n v="153"/>
    <n v="850"/>
    <n v="731"/>
    <s v="AWD"/>
    <n v="5"/>
    <x v="0"/>
    <n v="64.8"/>
    <n v="2317"/>
    <x v="1"/>
    <n v="1"/>
    <x v="1"/>
    <x v="2"/>
    <n v="8818"/>
    <n v="3.15"/>
    <n v="3"/>
  </r>
  <r>
    <x v="5"/>
    <s v="EQE"/>
    <x v="4"/>
    <x v="0"/>
    <n v="165233.4"/>
    <n v="100.3"/>
    <n v="329"/>
    <n v="158.6"/>
    <n v="4.0199999999999996"/>
    <n v="194"/>
    <n v="1000"/>
    <n v="842"/>
    <s v="AWD"/>
    <n v="7"/>
    <x v="2"/>
    <n v="62.5"/>
    <n v="1751"/>
    <x v="0"/>
    <n v="1"/>
    <x v="0"/>
    <x v="0"/>
    <n v="35726"/>
    <n v="3.78"/>
    <n v="6"/>
  </r>
  <r>
    <x v="2"/>
    <s v="Blazer EV"/>
    <x v="3"/>
    <x v="4"/>
    <n v="70614.100000000006"/>
    <n v="41.9"/>
    <n v="187"/>
    <n v="142"/>
    <n v="5.15"/>
    <n v="173"/>
    <n v="995"/>
    <n v="902"/>
    <s v="AWD"/>
    <n v="7"/>
    <x v="3"/>
    <n v="33.299999999999997"/>
    <n v="1629"/>
    <x v="0"/>
    <n v="0"/>
    <x v="2"/>
    <x v="2"/>
    <n v="27643"/>
    <n v="3.38"/>
    <n v="4"/>
  </r>
  <r>
    <x v="0"/>
    <s v="ID.4"/>
    <x v="3"/>
    <x v="0"/>
    <n v="80549.5"/>
    <n v="119.7"/>
    <n v="447"/>
    <n v="160.5"/>
    <n v="3.41"/>
    <n v="192"/>
    <n v="904"/>
    <n v="799"/>
    <s v="RWD"/>
    <n v="7"/>
    <x v="0"/>
    <n v="70.900000000000006"/>
    <n v="2812"/>
    <x v="1"/>
    <n v="0"/>
    <x v="0"/>
    <x v="2"/>
    <n v="291709"/>
    <n v="3.7"/>
    <n v="3"/>
  </r>
  <r>
    <x v="4"/>
    <s v="Model Y"/>
    <x v="6"/>
    <x v="2"/>
    <n v="96390.76"/>
    <n v="80.400000000000006"/>
    <n v="287"/>
    <n v="340"/>
    <n v="5.88"/>
    <n v="160"/>
    <n v="697"/>
    <n v="653"/>
    <s v="FWD"/>
    <n v="5"/>
    <x v="2"/>
    <n v="74"/>
    <n v="1505"/>
    <x v="0"/>
    <n v="3"/>
    <x v="2"/>
    <x v="2"/>
    <n v="498047"/>
    <n v="3.82"/>
    <n v="5"/>
  </r>
  <r>
    <x v="4"/>
    <s v="Model X"/>
    <x v="0"/>
    <x v="3"/>
    <n v="27433.3"/>
    <n v="82.4"/>
    <n v="258"/>
    <n v="223.7"/>
    <n v="6.02"/>
    <n v="161"/>
    <n v="168"/>
    <n v="200"/>
    <s v="FWD"/>
    <n v="7"/>
    <x v="4"/>
    <n v="30.7"/>
    <n v="1644"/>
    <x v="1"/>
    <n v="3"/>
    <x v="2"/>
    <x v="3"/>
    <n v="230869"/>
    <n v="3.79"/>
    <n v="4"/>
  </r>
  <r>
    <x v="7"/>
    <s v="Leaf 50X"/>
    <x v="2"/>
    <x v="3"/>
    <n v="76472.570000000007"/>
    <n v="67.2"/>
    <n v="227"/>
    <n v="136.19999999999999"/>
    <n v="7.52"/>
    <n v="139"/>
    <n v="849"/>
    <n v="830"/>
    <s v="RWD"/>
    <n v="5"/>
    <x v="2"/>
    <n v="63.3"/>
    <n v="1500"/>
    <x v="0"/>
    <n v="1"/>
    <x v="4"/>
    <x v="2"/>
    <n v="191416"/>
    <n v="3.33"/>
    <n v="4"/>
  </r>
  <r>
    <x v="3"/>
    <s v="Picanto EV"/>
    <x v="3"/>
    <x v="3"/>
    <n v="41416.019999999997"/>
    <n v="60.8"/>
    <n v="228"/>
    <n v="142.9"/>
    <n v="5.91"/>
    <n v="160"/>
    <n v="367"/>
    <n v="344"/>
    <s v="RWD"/>
    <n v="5"/>
    <x v="3"/>
    <n v="22"/>
    <n v="1500"/>
    <x v="1"/>
    <n v="1"/>
    <x v="3"/>
    <x v="1"/>
    <n v="137512"/>
    <n v="3.35"/>
    <n v="3"/>
  </r>
  <r>
    <x v="2"/>
    <s v="Silverado EV"/>
    <x v="0"/>
    <x v="4"/>
    <n v="64132.24"/>
    <n v="51.9"/>
    <n v="150"/>
    <n v="51.2"/>
    <n v="6.67"/>
    <n v="155"/>
    <n v="870"/>
    <n v="835"/>
    <s v="RWD"/>
    <n v="5"/>
    <x v="0"/>
    <n v="66.5"/>
    <n v="2693"/>
    <x v="0"/>
    <n v="0"/>
    <x v="2"/>
    <x v="1"/>
    <n v="5462"/>
    <n v="3.44"/>
    <n v="4"/>
  </r>
  <r>
    <x v="10"/>
    <s v="i3"/>
    <x v="3"/>
    <x v="0"/>
    <n v="97630.54"/>
    <n v="108"/>
    <n v="374"/>
    <n v="211.2"/>
    <n v="3.25"/>
    <n v="200"/>
    <n v="810"/>
    <n v="745"/>
    <s v="RWD"/>
    <n v="5"/>
    <x v="0"/>
    <n v="57.6"/>
    <n v="2381"/>
    <x v="0"/>
    <n v="1"/>
    <x v="0"/>
    <x v="2"/>
    <n v="50895"/>
    <n v="3.63"/>
    <n v="5"/>
  </r>
  <r>
    <x v="7"/>
    <s v="Seagull"/>
    <x v="2"/>
    <x v="0"/>
    <n v="117281.9"/>
    <n v="115.7"/>
    <n v="431"/>
    <n v="193.6"/>
    <n v="3.76"/>
    <n v="195"/>
    <n v="1000"/>
    <n v="869"/>
    <s v="FWD"/>
    <n v="5"/>
    <x v="5"/>
    <n v="22.2"/>
    <n v="1500"/>
    <x v="2"/>
    <n v="0"/>
    <x v="4"/>
    <x v="0"/>
    <n v="111137"/>
    <n v="3.92"/>
    <n v="3"/>
  </r>
  <r>
    <x v="1"/>
    <s v="bZ4X"/>
    <x v="3"/>
    <x v="2"/>
    <n v="77617.509999999995"/>
    <n v="84.5"/>
    <n v="295"/>
    <n v="80.599999999999994"/>
    <n v="5.04"/>
    <n v="180"/>
    <n v="1000"/>
    <n v="840"/>
    <s v="AWD"/>
    <n v="7"/>
    <x v="4"/>
    <n v="16"/>
    <n v="1500"/>
    <x v="1"/>
    <n v="0"/>
    <x v="1"/>
    <x v="2"/>
    <n v="15856"/>
    <n v="3.46"/>
    <n v="4"/>
  </r>
  <r>
    <x v="2"/>
    <s v="Bolt EV"/>
    <x v="3"/>
    <x v="0"/>
    <n v="53614.17"/>
    <n v="77.3"/>
    <n v="266"/>
    <n v="153"/>
    <n v="3.29"/>
    <n v="192"/>
    <n v="663"/>
    <n v="599"/>
    <s v="FWD"/>
    <n v="7"/>
    <x v="0"/>
    <n v="51.2"/>
    <n v="2645"/>
    <x v="1"/>
    <n v="2"/>
    <x v="2"/>
    <x v="1"/>
    <n v="7236"/>
    <n v="3.24"/>
    <n v="3"/>
  </r>
  <r>
    <x v="3"/>
    <s v="Niro EV"/>
    <x v="5"/>
    <x v="1"/>
    <n v="98299.99"/>
    <n v="73.400000000000006"/>
    <n v="245"/>
    <n v="132.5"/>
    <n v="5.83"/>
    <n v="165"/>
    <n v="1000"/>
    <n v="918"/>
    <s v="RWD"/>
    <n v="5"/>
    <x v="4"/>
    <n v="25.6"/>
    <n v="1500"/>
    <x v="1"/>
    <n v="1"/>
    <x v="3"/>
    <x v="2"/>
    <n v="126328"/>
    <n v="3.5"/>
    <n v="4"/>
  </r>
  <r>
    <x v="3"/>
    <s v="EV9"/>
    <x v="3"/>
    <x v="1"/>
    <n v="62151.7"/>
    <n v="74"/>
    <n v="246"/>
    <n v="89.9"/>
    <n v="7.94"/>
    <n v="129"/>
    <n v="692"/>
    <n v="582"/>
    <s v="AWD"/>
    <n v="5"/>
    <x v="1"/>
    <n v="52.1"/>
    <n v="2022"/>
    <x v="1"/>
    <n v="0"/>
    <x v="3"/>
    <x v="1"/>
    <n v="58624"/>
    <n v="3.74"/>
    <n v="5"/>
  </r>
  <r>
    <x v="0"/>
    <s v="ID. Buzz"/>
    <x v="3"/>
    <x v="0"/>
    <n v="57462.19"/>
    <n v="76.2"/>
    <n v="259"/>
    <n v="243.1"/>
    <n v="4.0999999999999996"/>
    <n v="183"/>
    <n v="541"/>
    <n v="402"/>
    <s v="AWD"/>
    <n v="7"/>
    <x v="3"/>
    <n v="28.5"/>
    <n v="1500"/>
    <x v="0"/>
    <n v="1"/>
    <x v="0"/>
    <x v="1"/>
    <n v="298599"/>
    <n v="3.42"/>
    <n v="5"/>
  </r>
  <r>
    <x v="7"/>
    <s v="Dolphin"/>
    <x v="0"/>
    <x v="1"/>
    <n v="65383.31"/>
    <n v="69.599999999999994"/>
    <n v="240"/>
    <n v="146.19999999999999"/>
    <n v="6.25"/>
    <n v="161"/>
    <n v="763"/>
    <n v="709"/>
    <s v="RWD"/>
    <n v="5"/>
    <x v="4"/>
    <n v="32.200000000000003"/>
    <n v="1500"/>
    <x v="1"/>
    <n v="1"/>
    <x v="4"/>
    <x v="2"/>
    <n v="171261"/>
    <n v="3.56"/>
    <n v="4"/>
  </r>
  <r>
    <x v="0"/>
    <s v="ID.3"/>
    <x v="3"/>
    <x v="0"/>
    <n v="88158.61"/>
    <n v="99.8"/>
    <n v="333"/>
    <n v="200.8"/>
    <n v="2.63"/>
    <n v="200"/>
    <n v="1000"/>
    <n v="916"/>
    <s v="AWD"/>
    <n v="7"/>
    <x v="3"/>
    <n v="27.4"/>
    <n v="1591"/>
    <x v="1"/>
    <n v="1"/>
    <x v="0"/>
    <x v="2"/>
    <n v="265949"/>
    <n v="3.68"/>
    <n v="4"/>
  </r>
  <r>
    <x v="2"/>
    <s v="Bolt EV"/>
    <x v="1"/>
    <x v="2"/>
    <n v="49443.87"/>
    <n v="82.7"/>
    <n v="262"/>
    <n v="103.5"/>
    <n v="4.7"/>
    <n v="179"/>
    <n v="556"/>
    <n v="481"/>
    <s v="FWD"/>
    <n v="5"/>
    <x v="2"/>
    <n v="61.5"/>
    <n v="1500"/>
    <x v="0"/>
    <n v="1"/>
    <x v="2"/>
    <x v="1"/>
    <n v="17112"/>
    <n v="3.4"/>
    <n v="3"/>
  </r>
  <r>
    <x v="4"/>
    <s v="Model 3"/>
    <x v="0"/>
    <x v="3"/>
    <n v="33304.79"/>
    <n v="70.400000000000006"/>
    <n v="262"/>
    <n v="309.3"/>
    <n v="5"/>
    <n v="180"/>
    <n v="235"/>
    <n v="266"/>
    <s v="RWD"/>
    <n v="5"/>
    <x v="2"/>
    <n v="77.5"/>
    <n v="1500"/>
    <x v="0"/>
    <n v="3"/>
    <x v="2"/>
    <x v="3"/>
    <n v="239021"/>
    <n v="3.85"/>
    <n v="5"/>
  </r>
  <r>
    <x v="4"/>
    <s v="Cybertruck"/>
    <x v="3"/>
    <x v="3"/>
    <n v="29689.54"/>
    <n v="58.1"/>
    <n v="216"/>
    <n v="327"/>
    <n v="5.38"/>
    <n v="170"/>
    <n v="191"/>
    <n v="200"/>
    <s v="FWD"/>
    <n v="5"/>
    <x v="0"/>
    <n v="77"/>
    <n v="2468"/>
    <x v="1"/>
    <n v="2"/>
    <x v="2"/>
    <x v="3"/>
    <n v="210522"/>
    <n v="3.78"/>
    <n v="5"/>
  </r>
  <r>
    <x v="4"/>
    <s v="Model S"/>
    <x v="3"/>
    <x v="2"/>
    <n v="129183.24"/>
    <n v="87.9"/>
    <n v="337"/>
    <n v="250.2"/>
    <n v="5.39"/>
    <n v="169"/>
    <n v="976"/>
    <n v="910"/>
    <s v="FWD"/>
    <n v="7"/>
    <x v="3"/>
    <n v="19.7"/>
    <n v="1638"/>
    <x v="1"/>
    <n v="2"/>
    <x v="2"/>
    <x v="0"/>
    <n v="207546"/>
    <n v="3.74"/>
    <n v="6"/>
  </r>
  <r>
    <x v="4"/>
    <s v="Cybertruck"/>
    <x v="3"/>
    <x v="2"/>
    <n v="132226.95000000001"/>
    <n v="87.5"/>
    <n v="319"/>
    <n v="265.2"/>
    <n v="4.66"/>
    <n v="176"/>
    <n v="983"/>
    <n v="865"/>
    <s v="RWD"/>
    <n v="5"/>
    <x v="0"/>
    <n v="78.7"/>
    <n v="2287"/>
    <x v="1"/>
    <n v="3"/>
    <x v="2"/>
    <x v="0"/>
    <n v="133735"/>
    <n v="3.85"/>
    <n v="4"/>
  </r>
  <r>
    <x v="5"/>
    <s v="EQE"/>
    <x v="5"/>
    <x v="3"/>
    <n v="59152.02"/>
    <n v="43.6"/>
    <n v="162"/>
    <n v="122.2"/>
    <n v="5.26"/>
    <n v="170"/>
    <n v="157"/>
    <n v="200"/>
    <s v="FWD"/>
    <n v="7"/>
    <x v="1"/>
    <n v="56.9"/>
    <n v="2444"/>
    <x v="0"/>
    <n v="2"/>
    <x v="0"/>
    <x v="1"/>
    <n v="57795"/>
    <n v="3.37"/>
    <n v="5"/>
  </r>
  <r>
    <x v="2"/>
    <s v="Equinox EV"/>
    <x v="5"/>
    <x v="0"/>
    <n v="42539.360000000001"/>
    <n v="109.6"/>
    <n v="371"/>
    <n v="156.4"/>
    <n v="2.86"/>
    <n v="200"/>
    <n v="438"/>
    <n v="442"/>
    <s v="RWD"/>
    <n v="5"/>
    <x v="1"/>
    <n v="44.4"/>
    <n v="2235"/>
    <x v="1"/>
    <n v="2"/>
    <x v="2"/>
    <x v="1"/>
    <n v="18263"/>
    <n v="3.65"/>
    <n v="4"/>
  </r>
  <r>
    <x v="8"/>
    <s v="Ioniq 5"/>
    <x v="5"/>
    <x v="1"/>
    <n v="86930.64"/>
    <n v="49.4"/>
    <n v="177"/>
    <n v="92.9"/>
    <n v="5.55"/>
    <n v="171"/>
    <n v="1000"/>
    <n v="867"/>
    <s v="RWD"/>
    <n v="7"/>
    <x v="5"/>
    <n v="26"/>
    <n v="1500"/>
    <x v="0"/>
    <n v="1"/>
    <x v="3"/>
    <x v="2"/>
    <n v="147601"/>
    <n v="3.5"/>
    <n v="4"/>
  </r>
  <r>
    <x v="4"/>
    <s v="Model S"/>
    <x v="3"/>
    <x v="1"/>
    <n v="162032.44"/>
    <n v="61.2"/>
    <n v="193"/>
    <n v="290.60000000000002"/>
    <n v="7.64"/>
    <n v="132"/>
    <n v="1000"/>
    <n v="851"/>
    <s v="AWD"/>
    <n v="5"/>
    <x v="5"/>
    <n v="22.4"/>
    <n v="1618"/>
    <x v="1"/>
    <n v="2"/>
    <x v="2"/>
    <x v="0"/>
    <n v="210253"/>
    <n v="3.9"/>
    <n v="4"/>
  </r>
  <r>
    <x v="8"/>
    <s v="Kona Electric"/>
    <x v="3"/>
    <x v="1"/>
    <n v="51036.86"/>
    <n v="52.8"/>
    <n v="234"/>
    <n v="130.6"/>
    <n v="7.37"/>
    <n v="142"/>
    <n v="584"/>
    <n v="538"/>
    <s v="AWD"/>
    <n v="5"/>
    <x v="4"/>
    <n v="34.4"/>
    <n v="2027"/>
    <x v="1"/>
    <n v="2"/>
    <x v="3"/>
    <x v="1"/>
    <n v="55671"/>
    <n v="3.38"/>
    <n v="3"/>
  </r>
  <r>
    <x v="8"/>
    <s v="Kona Electric"/>
    <x v="2"/>
    <x v="3"/>
    <n v="52223.31"/>
    <n v="42.1"/>
    <n v="150"/>
    <n v="116.5"/>
    <n v="6.02"/>
    <n v="161"/>
    <n v="566"/>
    <n v="488"/>
    <s v="RWD"/>
    <n v="5"/>
    <x v="2"/>
    <n v="65.7"/>
    <n v="1635"/>
    <x v="0"/>
    <n v="1"/>
    <x v="3"/>
    <x v="1"/>
    <n v="89573"/>
    <n v="3.43"/>
    <n v="3"/>
  </r>
  <r>
    <x v="4"/>
    <s v="Model S"/>
    <x v="3"/>
    <x v="3"/>
    <n v="54018.19"/>
    <n v="40.6"/>
    <n v="150"/>
    <n v="208.1"/>
    <n v="6.79"/>
    <n v="145"/>
    <n v="379"/>
    <n v="325"/>
    <s v="AWD"/>
    <n v="5"/>
    <x v="4"/>
    <n v="37.4"/>
    <n v="1787"/>
    <x v="0"/>
    <n v="3"/>
    <x v="2"/>
    <x v="1"/>
    <n v="101221"/>
    <n v="3.6"/>
    <n v="4"/>
  </r>
  <r>
    <x v="0"/>
    <s v="ID.5"/>
    <x v="3"/>
    <x v="3"/>
    <n v="78662.149999999994"/>
    <n v="41.4"/>
    <n v="150"/>
    <n v="77.3"/>
    <n v="7.77"/>
    <n v="134"/>
    <n v="898"/>
    <n v="772"/>
    <s v="RWD"/>
    <n v="5"/>
    <x v="2"/>
    <n v="74.5"/>
    <n v="1500"/>
    <x v="0"/>
    <n v="0"/>
    <x v="0"/>
    <x v="2"/>
    <n v="237990"/>
    <n v="3.28"/>
    <n v="4"/>
  </r>
  <r>
    <x v="0"/>
    <s v="ID. Buzz"/>
    <x v="5"/>
    <x v="4"/>
    <n v="39803.56"/>
    <n v="46.8"/>
    <n v="168"/>
    <n v="78.3"/>
    <n v="6.31"/>
    <n v="156"/>
    <n v="274"/>
    <n v="241"/>
    <s v="FWD"/>
    <n v="7"/>
    <x v="0"/>
    <n v="69.900000000000006"/>
    <n v="2758"/>
    <x v="2"/>
    <n v="1"/>
    <x v="0"/>
    <x v="1"/>
    <n v="248701"/>
    <n v="3.08"/>
    <n v="5"/>
  </r>
  <r>
    <x v="3"/>
    <s v="EV9"/>
    <x v="3"/>
    <x v="1"/>
    <n v="103512.45"/>
    <n v="63"/>
    <n v="213"/>
    <n v="119"/>
    <n v="7.65"/>
    <n v="124"/>
    <n v="1000"/>
    <n v="919"/>
    <s v="AWD"/>
    <n v="5"/>
    <x v="1"/>
    <n v="45.2"/>
    <n v="2221"/>
    <x v="1"/>
    <n v="1"/>
    <x v="3"/>
    <x v="0"/>
    <n v="50563"/>
    <n v="3.44"/>
    <n v="3"/>
  </r>
  <r>
    <x v="10"/>
    <s v="i5"/>
    <x v="2"/>
    <x v="0"/>
    <n v="76696.39"/>
    <n v="87.4"/>
    <n v="313"/>
    <n v="196.4"/>
    <n v="3.49"/>
    <n v="192"/>
    <n v="523"/>
    <n v="468"/>
    <s v="AWD"/>
    <n v="5"/>
    <x v="1"/>
    <n v="68.3"/>
    <n v="2006"/>
    <x v="1"/>
    <n v="1"/>
    <x v="0"/>
    <x v="2"/>
    <n v="21525"/>
    <n v="3.69"/>
    <n v="5"/>
  </r>
  <r>
    <x v="4"/>
    <s v="Model S"/>
    <x v="0"/>
    <x v="2"/>
    <n v="98608.05"/>
    <n v="77.7"/>
    <n v="286"/>
    <n v="228.4"/>
    <n v="4.9400000000000004"/>
    <n v="183"/>
    <n v="718"/>
    <n v="700"/>
    <s v="FWD"/>
    <n v="5"/>
    <x v="3"/>
    <n v="39.200000000000003"/>
    <n v="1521"/>
    <x v="0"/>
    <n v="2"/>
    <x v="2"/>
    <x v="2"/>
    <n v="246839"/>
    <n v="3.98"/>
    <n v="4"/>
  </r>
  <r>
    <x v="0"/>
    <s v="ID.4"/>
    <x v="5"/>
    <x v="4"/>
    <n v="86543.35"/>
    <n v="56.3"/>
    <n v="193"/>
    <n v="94.1"/>
    <n v="6.9"/>
    <n v="152"/>
    <n v="935"/>
    <n v="853"/>
    <s v="FWD"/>
    <n v="5"/>
    <x v="3"/>
    <n v="19"/>
    <n v="1583"/>
    <x v="0"/>
    <n v="0"/>
    <x v="0"/>
    <x v="2"/>
    <n v="282690"/>
    <n v="3.24"/>
    <n v="3"/>
  </r>
  <r>
    <x v="10"/>
    <s v="i4"/>
    <x v="5"/>
    <x v="4"/>
    <n v="72989.13"/>
    <n v="82"/>
    <n v="298"/>
    <n v="77.5"/>
    <n v="6.52"/>
    <n v="146"/>
    <n v="467"/>
    <n v="428"/>
    <s v="RWD"/>
    <n v="5"/>
    <x v="3"/>
    <n v="28.4"/>
    <n v="1500"/>
    <x v="1"/>
    <n v="2"/>
    <x v="0"/>
    <x v="2"/>
    <n v="49770"/>
    <n v="3.42"/>
    <n v="8"/>
  </r>
  <r>
    <x v="8"/>
    <s v="Ioniq 6"/>
    <x v="3"/>
    <x v="4"/>
    <n v="39399.56"/>
    <n v="70.900000000000006"/>
    <n v="268"/>
    <n v="65.8"/>
    <n v="5.76"/>
    <n v="159"/>
    <n v="293"/>
    <n v="234"/>
    <s v="AWD"/>
    <n v="5"/>
    <x v="1"/>
    <n v="63.1"/>
    <n v="1935"/>
    <x v="0"/>
    <n v="1"/>
    <x v="3"/>
    <x v="1"/>
    <n v="101021"/>
    <n v="3.33"/>
    <n v="3"/>
  </r>
  <r>
    <x v="5"/>
    <s v="EQS"/>
    <x v="2"/>
    <x v="1"/>
    <n v="99625.48"/>
    <n v="81.2"/>
    <n v="306"/>
    <n v="72.8"/>
    <n v="6.47"/>
    <n v="153"/>
    <n v="534"/>
    <n v="467"/>
    <s v="AWD"/>
    <n v="5"/>
    <x v="1"/>
    <n v="65.099999999999994"/>
    <n v="1569"/>
    <x v="0"/>
    <n v="2"/>
    <x v="0"/>
    <x v="2"/>
    <n v="71016"/>
    <n v="3.79"/>
    <n v="7"/>
  </r>
  <r>
    <x v="10"/>
    <s v="i7"/>
    <x v="3"/>
    <x v="0"/>
    <n v="113646.11"/>
    <n v="73.599999999999994"/>
    <n v="279"/>
    <n v="188.6"/>
    <n v="3.16"/>
    <n v="199"/>
    <n v="1000"/>
    <n v="908"/>
    <s v="AWD"/>
    <n v="5"/>
    <x v="0"/>
    <n v="75.3"/>
    <n v="2275"/>
    <x v="1"/>
    <n v="1"/>
    <x v="0"/>
    <x v="0"/>
    <n v="68048"/>
    <n v="3.7"/>
    <n v="8"/>
  </r>
  <r>
    <x v="4"/>
    <s v="Model Y"/>
    <x v="2"/>
    <x v="4"/>
    <n v="110939.31"/>
    <n v="48.7"/>
    <n v="160"/>
    <n v="276.2"/>
    <n v="5.49"/>
    <n v="169"/>
    <n v="840"/>
    <n v="747"/>
    <s v="RWD"/>
    <n v="5"/>
    <x v="4"/>
    <n v="22.2"/>
    <n v="1526"/>
    <x v="0"/>
    <n v="2"/>
    <x v="2"/>
    <x v="0"/>
    <n v="456268"/>
    <n v="3.43"/>
    <n v="6"/>
  </r>
  <r>
    <x v="4"/>
    <s v="Model X"/>
    <x v="5"/>
    <x v="2"/>
    <n v="142726.14000000001"/>
    <n v="94.6"/>
    <n v="318"/>
    <n v="205.9"/>
    <n v="4.6100000000000003"/>
    <n v="176"/>
    <n v="1000"/>
    <n v="871"/>
    <s v="RWD"/>
    <n v="5"/>
    <x v="4"/>
    <n v="32.1"/>
    <n v="1500"/>
    <x v="0"/>
    <n v="2"/>
    <x v="2"/>
    <x v="0"/>
    <n v="176985"/>
    <n v="4.2300000000000004"/>
    <n v="5"/>
  </r>
  <r>
    <x v="10"/>
    <s v="i3"/>
    <x v="2"/>
    <x v="1"/>
    <n v="69442.009999999995"/>
    <n v="54.1"/>
    <n v="193"/>
    <n v="95.1"/>
    <n v="5.86"/>
    <n v="169"/>
    <n v="383"/>
    <n v="299"/>
    <s v="RWD"/>
    <n v="7"/>
    <x v="2"/>
    <n v="73.2"/>
    <n v="1764"/>
    <x v="0"/>
    <n v="2"/>
    <x v="0"/>
    <x v="2"/>
    <n v="51378"/>
    <n v="3.2"/>
    <n v="5"/>
  </r>
  <r>
    <x v="4"/>
    <s v="Model 3"/>
    <x v="3"/>
    <x v="3"/>
    <n v="42979.12"/>
    <n v="62.8"/>
    <n v="229"/>
    <n v="275.3"/>
    <n v="7.9"/>
    <n v="133"/>
    <n v="252"/>
    <n v="227"/>
    <s v="AWD"/>
    <n v="7"/>
    <x v="1"/>
    <n v="51.8"/>
    <n v="1730"/>
    <x v="0"/>
    <n v="2"/>
    <x v="2"/>
    <x v="1"/>
    <n v="207769"/>
    <n v="3.71"/>
    <n v="5"/>
  </r>
  <r>
    <x v="3"/>
    <s v="Picanto EV"/>
    <x v="2"/>
    <x v="1"/>
    <n v="56096.47"/>
    <n v="47.3"/>
    <n v="176"/>
    <n v="107.5"/>
    <n v="5.39"/>
    <n v="159"/>
    <n v="531"/>
    <n v="469"/>
    <s v="RWD"/>
    <n v="5"/>
    <x v="4"/>
    <n v="33.700000000000003"/>
    <n v="1841"/>
    <x v="2"/>
    <n v="0"/>
    <x v="3"/>
    <x v="1"/>
    <n v="113782"/>
    <n v="3.4"/>
    <n v="3"/>
  </r>
  <r>
    <x v="12"/>
    <s v="EL8"/>
    <x v="2"/>
    <x v="3"/>
    <n v="82536.87"/>
    <n v="69.7"/>
    <n v="264"/>
    <n v="114.2"/>
    <n v="7.79"/>
    <n v="127"/>
    <n v="730"/>
    <n v="687"/>
    <s v="FWD"/>
    <n v="7"/>
    <x v="0"/>
    <n v="56.6"/>
    <n v="2319"/>
    <x v="1"/>
    <n v="0"/>
    <x v="4"/>
    <x v="2"/>
    <n v="17477"/>
    <n v="3.38"/>
    <n v="5"/>
  </r>
  <r>
    <x v="3"/>
    <s v="EV9"/>
    <x v="5"/>
    <x v="3"/>
    <n v="62907.99"/>
    <n v="56"/>
    <n v="184"/>
    <n v="97.7"/>
    <n v="7.47"/>
    <n v="142"/>
    <n v="663"/>
    <n v="579"/>
    <s v="FWD"/>
    <n v="5"/>
    <x v="1"/>
    <n v="53"/>
    <n v="1838"/>
    <x v="1"/>
    <n v="0"/>
    <x v="3"/>
    <x v="1"/>
    <n v="93165"/>
    <n v="3.26"/>
    <n v="3"/>
  </r>
  <r>
    <x v="0"/>
    <s v="ID.5"/>
    <x v="3"/>
    <x v="0"/>
    <n v="97402.81"/>
    <n v="71.7"/>
    <n v="258"/>
    <n v="153.80000000000001"/>
    <n v="3.48"/>
    <n v="200"/>
    <n v="1000"/>
    <n v="912"/>
    <s v="RWD"/>
    <n v="5"/>
    <x v="0"/>
    <n v="77.900000000000006"/>
    <n v="2374"/>
    <x v="0"/>
    <n v="1"/>
    <x v="0"/>
    <x v="2"/>
    <n v="255988"/>
    <n v="3.58"/>
    <n v="4"/>
  </r>
  <r>
    <x v="10"/>
    <s v="i7"/>
    <x v="3"/>
    <x v="4"/>
    <n v="85706.08"/>
    <n v="45.1"/>
    <n v="150"/>
    <n v="127.7"/>
    <n v="7.87"/>
    <n v="135"/>
    <n v="650"/>
    <n v="634"/>
    <s v="FWD"/>
    <n v="5"/>
    <x v="3"/>
    <n v="31.2"/>
    <n v="1703"/>
    <x v="0"/>
    <n v="2"/>
    <x v="0"/>
    <x v="2"/>
    <n v="78799"/>
    <n v="3.26"/>
    <n v="8"/>
  </r>
  <r>
    <x v="8"/>
    <s v="Ioniq 6"/>
    <x v="2"/>
    <x v="3"/>
    <n v="54234.95"/>
    <n v="58.4"/>
    <n v="217"/>
    <n v="131.1"/>
    <n v="7.58"/>
    <n v="132"/>
    <n v="577"/>
    <n v="530"/>
    <s v="FWD"/>
    <n v="7"/>
    <x v="0"/>
    <n v="50.2"/>
    <n v="2843"/>
    <x v="1"/>
    <n v="2"/>
    <x v="3"/>
    <x v="1"/>
    <n v="136935"/>
    <n v="3.41"/>
    <n v="4"/>
  </r>
  <r>
    <x v="3"/>
    <s v="Picanto EV"/>
    <x v="0"/>
    <x v="1"/>
    <n v="95598.48"/>
    <n v="63.5"/>
    <n v="202"/>
    <n v="141.1"/>
    <n v="5.52"/>
    <n v="166"/>
    <n v="1000"/>
    <n v="845"/>
    <s v="AWD"/>
    <n v="5"/>
    <x v="1"/>
    <n v="44.2"/>
    <n v="1516"/>
    <x v="1"/>
    <n v="1"/>
    <x v="3"/>
    <x v="2"/>
    <n v="107457"/>
    <n v="3.32"/>
    <n v="5"/>
  </r>
  <r>
    <x v="12"/>
    <s v="EC6"/>
    <x v="0"/>
    <x v="2"/>
    <n v="98011.85"/>
    <n v="106.2"/>
    <n v="364"/>
    <n v="79.599999999999994"/>
    <n v="5.43"/>
    <n v="171"/>
    <n v="953"/>
    <n v="885"/>
    <s v="AWD"/>
    <n v="7"/>
    <x v="5"/>
    <n v="20.5"/>
    <n v="1662"/>
    <x v="0"/>
    <n v="0"/>
    <x v="4"/>
    <x v="2"/>
    <n v="12631"/>
    <n v="3.86"/>
    <n v="5"/>
  </r>
  <r>
    <x v="0"/>
    <s v="ID.3"/>
    <x v="3"/>
    <x v="0"/>
    <n v="58313.43"/>
    <n v="71.5"/>
    <n v="260"/>
    <n v="159.69999999999999"/>
    <n v="3.71"/>
    <n v="193"/>
    <n v="583"/>
    <n v="522"/>
    <s v="AWD"/>
    <n v="5"/>
    <x v="0"/>
    <n v="77.2"/>
    <n v="2583"/>
    <x v="2"/>
    <n v="1"/>
    <x v="0"/>
    <x v="1"/>
    <n v="263694"/>
    <n v="3.21"/>
    <n v="3"/>
  </r>
  <r>
    <x v="1"/>
    <s v="bZ Compact SUV"/>
    <x v="2"/>
    <x v="3"/>
    <n v="62799.62"/>
    <n v="80.2"/>
    <n v="271"/>
    <n v="97.3"/>
    <n v="7.03"/>
    <n v="143"/>
    <n v="717"/>
    <n v="661"/>
    <s v="RWD"/>
    <n v="5"/>
    <x v="1"/>
    <n v="35.4"/>
    <n v="1773"/>
    <x v="0"/>
    <n v="0"/>
    <x v="1"/>
    <x v="1"/>
    <n v="8458"/>
    <n v="3.67"/>
    <n v="4"/>
  </r>
  <r>
    <x v="11"/>
    <s v="e-tron"/>
    <x v="3"/>
    <x v="4"/>
    <n v="91038.75"/>
    <n v="55.9"/>
    <n v="192"/>
    <n v="81.8"/>
    <n v="7.17"/>
    <n v="149"/>
    <n v="636"/>
    <n v="591"/>
    <s v="RWD"/>
    <n v="7"/>
    <x v="0"/>
    <n v="64.5"/>
    <n v="2402"/>
    <x v="1"/>
    <n v="2"/>
    <x v="0"/>
    <x v="2"/>
    <n v="26577"/>
    <n v="3.76"/>
    <n v="7"/>
  </r>
  <r>
    <x v="4"/>
    <s v="Cybertruck"/>
    <x v="2"/>
    <x v="4"/>
    <n v="130803.06"/>
    <n v="83.1"/>
    <n v="289"/>
    <n v="227.9"/>
    <n v="6.46"/>
    <n v="150"/>
    <n v="914"/>
    <n v="861"/>
    <s v="FWD"/>
    <n v="5"/>
    <x v="0"/>
    <n v="77.3"/>
    <n v="2533"/>
    <x v="0"/>
    <n v="2"/>
    <x v="2"/>
    <x v="0"/>
    <n v="105012"/>
    <n v="4.03"/>
    <n v="6"/>
  </r>
  <r>
    <x v="4"/>
    <s v="Model 3"/>
    <x v="3"/>
    <x v="3"/>
    <n v="69626.259999999995"/>
    <n v="76.8"/>
    <n v="249"/>
    <n v="256"/>
    <n v="6"/>
    <n v="158"/>
    <n v="502"/>
    <n v="416"/>
    <s v="FWD"/>
    <n v="7"/>
    <x v="5"/>
    <n v="38.5"/>
    <n v="1522"/>
    <x v="1"/>
    <n v="3"/>
    <x v="2"/>
    <x v="2"/>
    <n v="189686"/>
    <n v="3.74"/>
    <n v="5"/>
  </r>
  <r>
    <x v="4"/>
    <s v="Model Y"/>
    <x v="2"/>
    <x v="2"/>
    <n v="85409.4"/>
    <n v="94.6"/>
    <n v="338"/>
    <n v="290.60000000000002"/>
    <n v="5.5"/>
    <n v="167"/>
    <n v="614"/>
    <n v="573"/>
    <s v="AWD"/>
    <n v="5"/>
    <x v="5"/>
    <n v="22"/>
    <n v="1500"/>
    <x v="0"/>
    <n v="2"/>
    <x v="2"/>
    <x v="2"/>
    <n v="497556"/>
    <n v="4.0599999999999996"/>
    <n v="5"/>
  </r>
  <r>
    <x v="4"/>
    <s v="Model 3"/>
    <x v="5"/>
    <x v="2"/>
    <n v="153057.04"/>
    <n v="85.2"/>
    <n v="285"/>
    <n v="338.3"/>
    <n v="4.28"/>
    <n v="186"/>
    <n v="1000"/>
    <n v="855"/>
    <s v="RWD"/>
    <n v="7"/>
    <x v="4"/>
    <n v="15"/>
    <n v="1574"/>
    <x v="1"/>
    <n v="2"/>
    <x v="2"/>
    <x v="0"/>
    <n v="178740"/>
    <n v="4.0599999999999996"/>
    <n v="5"/>
  </r>
  <r>
    <x v="4"/>
    <s v="Cybertruck"/>
    <x v="0"/>
    <x v="4"/>
    <n v="121896.5"/>
    <n v="64.2"/>
    <n v="216"/>
    <n v="291.3"/>
    <n v="7.11"/>
    <n v="145"/>
    <n v="841"/>
    <n v="748"/>
    <s v="RWD"/>
    <n v="7"/>
    <x v="0"/>
    <n v="77"/>
    <n v="2332"/>
    <x v="1"/>
    <n v="2"/>
    <x v="2"/>
    <x v="0"/>
    <n v="186743"/>
    <n v="3.62"/>
    <n v="4"/>
  </r>
  <r>
    <x v="10"/>
    <s v="i7"/>
    <x v="3"/>
    <x v="3"/>
    <n v="66273.55"/>
    <n v="72.400000000000006"/>
    <n v="246"/>
    <n v="51.7"/>
    <n v="6.85"/>
    <n v="154"/>
    <n v="327"/>
    <n v="326"/>
    <s v="FWD"/>
    <n v="5"/>
    <x v="0"/>
    <n v="74.8"/>
    <n v="2768"/>
    <x v="1"/>
    <n v="1"/>
    <x v="0"/>
    <x v="2"/>
    <n v="30088"/>
    <n v="3.19"/>
    <n v="8"/>
  </r>
  <r>
    <x v="4"/>
    <s v="Model Y"/>
    <x v="2"/>
    <x v="3"/>
    <n v="43315.76"/>
    <n v="61.7"/>
    <n v="224"/>
    <n v="301.3"/>
    <n v="6.9"/>
    <n v="136"/>
    <n v="360"/>
    <n v="277"/>
    <s v="AWD"/>
    <n v="5"/>
    <x v="5"/>
    <n v="17.399999999999999"/>
    <n v="1500"/>
    <x v="1"/>
    <n v="2"/>
    <x v="2"/>
    <x v="1"/>
    <n v="424937"/>
    <n v="3.73"/>
    <n v="6"/>
  </r>
  <r>
    <x v="7"/>
    <s v="Atto 3"/>
    <x v="1"/>
    <x v="1"/>
    <n v="36072.31"/>
    <n v="77.7"/>
    <n v="251"/>
    <n v="60.8"/>
    <n v="6.32"/>
    <n v="154"/>
    <n v="365"/>
    <n v="296"/>
    <s v="RWD"/>
    <n v="7"/>
    <x v="2"/>
    <n v="71.3"/>
    <n v="1527"/>
    <x v="0"/>
    <n v="2"/>
    <x v="4"/>
    <x v="1"/>
    <n v="159638"/>
    <n v="3.48"/>
    <n v="4"/>
  </r>
  <r>
    <x v="5"/>
    <s v="GLE EV"/>
    <x v="3"/>
    <x v="3"/>
    <n v="127213.62"/>
    <n v="61.6"/>
    <n v="214"/>
    <n v="99.5"/>
    <n v="6.47"/>
    <n v="146"/>
    <n v="697"/>
    <n v="636"/>
    <s v="FWD"/>
    <n v="5"/>
    <x v="5"/>
    <n v="35.799999999999997"/>
    <n v="1918"/>
    <x v="0"/>
    <n v="1"/>
    <x v="0"/>
    <x v="0"/>
    <n v="74928"/>
    <n v="3.82"/>
    <n v="5"/>
  </r>
  <r>
    <x v="4"/>
    <s v="Model X"/>
    <x v="2"/>
    <x v="4"/>
    <n v="79315.78"/>
    <n v="60.6"/>
    <n v="195"/>
    <n v="277"/>
    <n v="5.73"/>
    <n v="164"/>
    <n v="551"/>
    <n v="541"/>
    <s v="FWD"/>
    <n v="7"/>
    <x v="0"/>
    <n v="62.3"/>
    <n v="2173"/>
    <x v="1"/>
    <n v="2"/>
    <x v="2"/>
    <x v="2"/>
    <n v="122128"/>
    <n v="3.66"/>
    <n v="4"/>
  </r>
  <r>
    <x v="9"/>
    <s v="Explorer EV"/>
    <x v="0"/>
    <x v="3"/>
    <n v="35481.879999999997"/>
    <n v="41"/>
    <n v="173"/>
    <n v="58.6"/>
    <n v="6.38"/>
    <n v="155"/>
    <n v="202"/>
    <n v="205"/>
    <s v="RWD"/>
    <n v="5"/>
    <x v="3"/>
    <n v="36.299999999999997"/>
    <n v="1677"/>
    <x v="1"/>
    <n v="1"/>
    <x v="2"/>
    <x v="1"/>
    <n v="63701"/>
    <n v="3.25"/>
    <n v="4"/>
  </r>
  <r>
    <x v="7"/>
    <s v="Dolphin"/>
    <x v="5"/>
    <x v="4"/>
    <n v="82657.259999999995"/>
    <n v="83.9"/>
    <n v="294"/>
    <n v="66.599999999999994"/>
    <n v="7.12"/>
    <n v="153"/>
    <n v="891"/>
    <n v="772"/>
    <s v="AWD"/>
    <n v="7"/>
    <x v="2"/>
    <n v="72.599999999999994"/>
    <n v="1904"/>
    <x v="1"/>
    <n v="0"/>
    <x v="4"/>
    <x v="2"/>
    <n v="156944"/>
    <n v="3.54"/>
    <n v="4"/>
  </r>
  <r>
    <x v="4"/>
    <s v="Model S"/>
    <x v="3"/>
    <x v="2"/>
    <n v="137829.03"/>
    <n v="95.3"/>
    <n v="323"/>
    <n v="324.7"/>
    <n v="4.55"/>
    <n v="187"/>
    <n v="966"/>
    <n v="876"/>
    <s v="FWD"/>
    <n v="5"/>
    <x v="2"/>
    <n v="70.2"/>
    <n v="1656"/>
    <x v="2"/>
    <n v="3"/>
    <x v="2"/>
    <x v="0"/>
    <n v="239713"/>
    <n v="3.88"/>
    <n v="5"/>
  </r>
  <r>
    <x v="2"/>
    <s v="Silverado EV"/>
    <x v="3"/>
    <x v="4"/>
    <n v="70239.009999999995"/>
    <n v="40.5"/>
    <n v="150"/>
    <n v="137.30000000000001"/>
    <n v="5.25"/>
    <n v="184"/>
    <n v="989"/>
    <n v="925"/>
    <s v="FWD"/>
    <n v="7"/>
    <x v="2"/>
    <n v="61.8"/>
    <n v="1577"/>
    <x v="1"/>
    <n v="1"/>
    <x v="2"/>
    <x v="2"/>
    <n v="23483"/>
    <n v="3.13"/>
    <n v="4"/>
  </r>
  <r>
    <x v="10"/>
    <s v="i4"/>
    <x v="5"/>
    <x v="4"/>
    <n v="90499.68"/>
    <n v="42.2"/>
    <n v="167"/>
    <n v="108.5"/>
    <n v="7.99"/>
    <n v="132"/>
    <n v="739"/>
    <n v="656"/>
    <s v="FWD"/>
    <n v="7"/>
    <x v="4"/>
    <n v="19.100000000000001"/>
    <n v="1618"/>
    <x v="2"/>
    <n v="2"/>
    <x v="0"/>
    <x v="2"/>
    <n v="72987"/>
    <n v="3.29"/>
    <n v="7"/>
  </r>
  <r>
    <x v="11"/>
    <s v="e-tron"/>
    <x v="2"/>
    <x v="2"/>
    <n v="130131.59"/>
    <n v="94"/>
    <n v="322"/>
    <n v="123.8"/>
    <n v="5.61"/>
    <n v="163"/>
    <n v="1000"/>
    <n v="858"/>
    <s v="AWD"/>
    <n v="7"/>
    <x v="5"/>
    <n v="37.700000000000003"/>
    <n v="1642"/>
    <x v="0"/>
    <n v="2"/>
    <x v="0"/>
    <x v="0"/>
    <n v="36875"/>
    <n v="3.63"/>
    <n v="8"/>
  </r>
  <r>
    <x v="2"/>
    <s v="Bolt EV"/>
    <x v="2"/>
    <x v="2"/>
    <n v="56344.05"/>
    <n v="94.4"/>
    <n v="351"/>
    <n v="75.400000000000006"/>
    <n v="4.84"/>
    <n v="176"/>
    <n v="710"/>
    <n v="584"/>
    <s v="AWD"/>
    <n v="7"/>
    <x v="4"/>
    <n v="17.2"/>
    <n v="1500"/>
    <x v="1"/>
    <n v="0"/>
    <x v="2"/>
    <x v="1"/>
    <n v="12802"/>
    <n v="3.81"/>
    <n v="4"/>
  </r>
  <r>
    <x v="9"/>
    <s v="F-150 Lightning"/>
    <x v="2"/>
    <x v="4"/>
    <n v="59797.58"/>
    <n v="46.4"/>
    <n v="171"/>
    <n v="93.5"/>
    <n v="6.46"/>
    <n v="154"/>
    <n v="628"/>
    <n v="589"/>
    <s v="FWD"/>
    <n v="4"/>
    <x v="0"/>
    <n v="56"/>
    <n v="2692"/>
    <x v="0"/>
    <n v="0"/>
    <x v="2"/>
    <x v="1"/>
    <n v="57357"/>
    <n v="3.14"/>
    <n v="4"/>
  </r>
  <r>
    <x v="7"/>
    <s v="Leaf 50X"/>
    <x v="0"/>
    <x v="2"/>
    <n v="100157.25"/>
    <n v="105.4"/>
    <n v="362"/>
    <n v="110.2"/>
    <n v="5.21"/>
    <n v="177"/>
    <n v="1000"/>
    <n v="892"/>
    <s v="FWD"/>
    <n v="5"/>
    <x v="0"/>
    <n v="67.7"/>
    <n v="2399"/>
    <x v="0"/>
    <n v="1"/>
    <x v="4"/>
    <x v="0"/>
    <n v="107443"/>
    <n v="3.79"/>
    <n v="5"/>
  </r>
  <r>
    <x v="4"/>
    <s v="Model Y"/>
    <x v="0"/>
    <x v="3"/>
    <n v="55299.28"/>
    <n v="40.9"/>
    <n v="150"/>
    <n v="246.4"/>
    <n v="6.71"/>
    <n v="151"/>
    <n v="380"/>
    <n v="293"/>
    <s v="RWD"/>
    <n v="5"/>
    <x v="3"/>
    <n v="16.3"/>
    <n v="1605"/>
    <x v="1"/>
    <n v="2"/>
    <x v="2"/>
    <x v="1"/>
    <n v="449181"/>
    <n v="3.75"/>
    <n v="4"/>
  </r>
  <r>
    <x v="2"/>
    <s v="Blazer EV"/>
    <x v="3"/>
    <x v="2"/>
    <n v="44798.27"/>
    <n v="109.1"/>
    <n v="375"/>
    <n v="109.1"/>
    <n v="5.22"/>
    <n v="168"/>
    <n v="493"/>
    <n v="430"/>
    <s v="RWD"/>
    <n v="5"/>
    <x v="3"/>
    <n v="22.4"/>
    <n v="1636"/>
    <x v="0"/>
    <n v="0"/>
    <x v="2"/>
    <x v="1"/>
    <n v="19461"/>
    <n v="3.6"/>
    <n v="4"/>
  </r>
  <r>
    <x v="9"/>
    <s v="E-Transit"/>
    <x v="2"/>
    <x v="0"/>
    <n v="98104.320000000007"/>
    <n v="80.3"/>
    <n v="266"/>
    <n v="224.7"/>
    <n v="4.1900000000000004"/>
    <n v="181"/>
    <n v="1000"/>
    <n v="873"/>
    <s v="RWD"/>
    <n v="7"/>
    <x v="2"/>
    <n v="69.400000000000006"/>
    <n v="1563"/>
    <x v="0"/>
    <n v="1"/>
    <x v="2"/>
    <x v="2"/>
    <n v="47356"/>
    <n v="3.62"/>
    <n v="4"/>
  </r>
  <r>
    <x v="15"/>
    <s v="XC90 Recharge"/>
    <x v="3"/>
    <x v="4"/>
    <n v="55877.09"/>
    <n v="51.9"/>
    <n v="192"/>
    <n v="144.5"/>
    <n v="5.14"/>
    <n v="166"/>
    <n v="327"/>
    <n v="284"/>
    <s v="FWD"/>
    <n v="5"/>
    <x v="2"/>
    <n v="65"/>
    <n v="1577"/>
    <x v="1"/>
    <n v="1"/>
    <x v="5"/>
    <x v="1"/>
    <n v="15994"/>
    <n v="3.31"/>
    <n v="5"/>
  </r>
  <r>
    <x v="0"/>
    <s v="ID.3"/>
    <x v="2"/>
    <x v="3"/>
    <n v="32753.54"/>
    <n v="42.3"/>
    <n v="178"/>
    <n v="134.1"/>
    <n v="7.05"/>
    <n v="139"/>
    <n v="184"/>
    <n v="200"/>
    <s v="RWD"/>
    <n v="5"/>
    <x v="0"/>
    <n v="64.599999999999994"/>
    <n v="2243"/>
    <x v="1"/>
    <n v="1"/>
    <x v="0"/>
    <x v="3"/>
    <n v="224478"/>
    <n v="3.16"/>
    <n v="3"/>
  </r>
  <r>
    <x v="0"/>
    <s v="ID.3"/>
    <x v="1"/>
    <x v="4"/>
    <n v="73902.850000000006"/>
    <n v="64"/>
    <n v="231"/>
    <n v="121.1"/>
    <n v="5.91"/>
    <n v="168"/>
    <n v="839"/>
    <n v="757"/>
    <s v="FWD"/>
    <n v="7"/>
    <x v="2"/>
    <n v="60.7"/>
    <n v="1754"/>
    <x v="0"/>
    <n v="0"/>
    <x v="0"/>
    <x v="2"/>
    <n v="251288"/>
    <n v="3.32"/>
    <n v="4"/>
  </r>
  <r>
    <x v="9"/>
    <s v="Explorer EV"/>
    <x v="0"/>
    <x v="3"/>
    <n v="52080.38"/>
    <n v="54.7"/>
    <n v="222"/>
    <n v="99.4"/>
    <n v="6.86"/>
    <n v="143"/>
    <n v="553"/>
    <n v="507"/>
    <s v="RWD"/>
    <n v="5"/>
    <x v="2"/>
    <n v="79.8"/>
    <n v="1632"/>
    <x v="0"/>
    <n v="1"/>
    <x v="2"/>
    <x v="1"/>
    <n v="72053"/>
    <n v="3.42"/>
    <n v="3"/>
  </r>
  <r>
    <x v="7"/>
    <s v="Dolphin"/>
    <x v="3"/>
    <x v="4"/>
    <n v="22600.22"/>
    <n v="66.900000000000006"/>
    <n v="206"/>
    <n v="59"/>
    <n v="6.69"/>
    <n v="146"/>
    <n v="176"/>
    <n v="200"/>
    <s v="FWD"/>
    <n v="7"/>
    <x v="3"/>
    <n v="22.8"/>
    <n v="1771"/>
    <x v="1"/>
    <n v="0"/>
    <x v="4"/>
    <x v="3"/>
    <n v="131689"/>
    <n v="3.16"/>
    <n v="4"/>
  </r>
  <r>
    <x v="13"/>
    <s v="R1S"/>
    <x v="2"/>
    <x v="2"/>
    <n v="99040.38"/>
    <n v="77.599999999999994"/>
    <n v="294"/>
    <n v="52"/>
    <n v="5.14"/>
    <n v="169"/>
    <n v="1000"/>
    <n v="900"/>
    <s v="FWD"/>
    <n v="5"/>
    <x v="4"/>
    <n v="38.200000000000003"/>
    <n v="1864"/>
    <x v="1"/>
    <n v="0"/>
    <x v="2"/>
    <x v="2"/>
    <n v="10950"/>
    <n v="3.77"/>
    <n v="6"/>
  </r>
  <r>
    <x v="5"/>
    <s v="EQC"/>
    <x v="5"/>
    <x v="0"/>
    <n v="108052.79"/>
    <n v="111.2"/>
    <n v="390"/>
    <n v="197.2"/>
    <n v="3.61"/>
    <n v="196"/>
    <n v="517"/>
    <n v="476"/>
    <s v="AWD"/>
    <n v="7"/>
    <x v="3"/>
    <n v="36.9"/>
    <n v="2011"/>
    <x v="1"/>
    <n v="2"/>
    <x v="0"/>
    <x v="0"/>
    <n v="49733"/>
    <n v="4.0199999999999996"/>
    <n v="5"/>
  </r>
  <r>
    <x v="0"/>
    <s v="ID. Buzz"/>
    <x v="0"/>
    <x v="0"/>
    <n v="50097.36"/>
    <n v="93.7"/>
    <n v="319"/>
    <n v="216.1"/>
    <n v="4.32"/>
    <n v="182"/>
    <n v="403"/>
    <n v="349"/>
    <s v="RWD"/>
    <n v="7"/>
    <x v="2"/>
    <n v="77.400000000000006"/>
    <n v="1844"/>
    <x v="0"/>
    <n v="0"/>
    <x v="0"/>
    <x v="1"/>
    <n v="238954"/>
    <n v="3.69"/>
    <n v="4"/>
  </r>
  <r>
    <x v="2"/>
    <s v="Blazer EV"/>
    <x v="3"/>
    <x v="4"/>
    <n v="35979.300000000003"/>
    <n v="56.1"/>
    <n v="209"/>
    <n v="140.30000000000001"/>
    <n v="7.89"/>
    <n v="124"/>
    <n v="347"/>
    <n v="326"/>
    <s v="FWD"/>
    <n v="5"/>
    <x v="1"/>
    <n v="55.3"/>
    <n v="1752"/>
    <x v="0"/>
    <n v="1"/>
    <x v="2"/>
    <x v="1"/>
    <n v="25503"/>
    <n v="3.61"/>
    <n v="4"/>
  </r>
  <r>
    <x v="2"/>
    <s v="Equinox EV"/>
    <x v="3"/>
    <x v="0"/>
    <n v="57051.32"/>
    <n v="98.6"/>
    <n v="344"/>
    <n v="244.5"/>
    <n v="2.93"/>
    <n v="200"/>
    <n v="722"/>
    <n v="656"/>
    <s v="RWD"/>
    <n v="7"/>
    <x v="1"/>
    <n v="54.9"/>
    <n v="2113"/>
    <x v="0"/>
    <n v="1"/>
    <x v="2"/>
    <x v="1"/>
    <n v="13660"/>
    <n v="3.69"/>
    <n v="4"/>
  </r>
  <r>
    <x v="4"/>
    <s v="Model Y"/>
    <x v="3"/>
    <x v="3"/>
    <n v="109970.08"/>
    <n v="60"/>
    <n v="194"/>
    <n v="200.5"/>
    <n v="5.74"/>
    <n v="165"/>
    <n v="780"/>
    <n v="711"/>
    <s v="RWD"/>
    <n v="5"/>
    <x v="4"/>
    <n v="16.8"/>
    <n v="1709"/>
    <x v="0"/>
    <n v="3"/>
    <x v="2"/>
    <x v="0"/>
    <n v="456748"/>
    <n v="3.5"/>
    <n v="6"/>
  </r>
  <r>
    <x v="11"/>
    <s v="e-tron"/>
    <x v="2"/>
    <x v="2"/>
    <n v="92779.16"/>
    <n v="80"/>
    <n v="260"/>
    <n v="134.69999999999999"/>
    <n v="4.62"/>
    <n v="178"/>
    <n v="629"/>
    <n v="553"/>
    <s v="RWD"/>
    <n v="7"/>
    <x v="3"/>
    <n v="15.8"/>
    <n v="1511"/>
    <x v="0"/>
    <n v="1"/>
    <x v="0"/>
    <x v="2"/>
    <n v="22988"/>
    <n v="3.55"/>
    <n v="6"/>
  </r>
  <r>
    <x v="8"/>
    <s v="i30"/>
    <x v="3"/>
    <x v="4"/>
    <n v="65007.57"/>
    <n v="44.2"/>
    <n v="150"/>
    <n v="125"/>
    <n v="5.41"/>
    <n v="174"/>
    <n v="772"/>
    <n v="707"/>
    <s v="FWD"/>
    <n v="7"/>
    <x v="3"/>
    <n v="15.3"/>
    <n v="1717"/>
    <x v="0"/>
    <n v="1"/>
    <x v="3"/>
    <x v="2"/>
    <n v="138781"/>
    <n v="3.03"/>
    <n v="4"/>
  </r>
  <r>
    <x v="5"/>
    <s v="EQS"/>
    <x v="0"/>
    <x v="2"/>
    <n v="123138.78"/>
    <n v="81.2"/>
    <n v="263"/>
    <n v="135.19999999999999"/>
    <n v="5.51"/>
    <n v="174"/>
    <n v="664"/>
    <n v="636"/>
    <s v="AWD"/>
    <n v="7"/>
    <x v="0"/>
    <n v="54.4"/>
    <n v="2004"/>
    <x v="1"/>
    <n v="1"/>
    <x v="0"/>
    <x v="0"/>
    <n v="65127"/>
    <n v="3.77"/>
    <n v="5"/>
  </r>
  <r>
    <x v="7"/>
    <s v="Atto 3"/>
    <x v="6"/>
    <x v="0"/>
    <n v="102787.75"/>
    <n v="92.6"/>
    <n v="323"/>
    <n v="210.6"/>
    <n v="3.62"/>
    <n v="194"/>
    <n v="1000"/>
    <n v="913"/>
    <s v="RWD"/>
    <n v="5"/>
    <x v="2"/>
    <n v="70"/>
    <n v="1500"/>
    <x v="0"/>
    <n v="1"/>
    <x v="4"/>
    <x v="0"/>
    <n v="117639"/>
    <n v="3.79"/>
    <n v="5"/>
  </r>
  <r>
    <x v="11"/>
    <s v="e-tron"/>
    <x v="3"/>
    <x v="3"/>
    <n v="79195.78"/>
    <n v="74.7"/>
    <n v="275"/>
    <n v="130.6"/>
    <n v="5.49"/>
    <n v="162"/>
    <n v="474"/>
    <n v="339"/>
    <s v="FWD"/>
    <n v="5"/>
    <x v="5"/>
    <n v="32.700000000000003"/>
    <n v="1535"/>
    <x v="0"/>
    <n v="1"/>
    <x v="0"/>
    <x v="2"/>
    <n v="62967"/>
    <n v="3.57"/>
    <n v="6"/>
  </r>
  <r>
    <x v="0"/>
    <s v="ID.4"/>
    <x v="2"/>
    <x v="1"/>
    <n v="93014.64"/>
    <n v="70.2"/>
    <n v="255"/>
    <n v="75.2"/>
    <n v="5.0599999999999996"/>
    <n v="169"/>
    <n v="1000"/>
    <n v="941"/>
    <s v="AWD"/>
    <n v="5"/>
    <x v="0"/>
    <n v="78.3"/>
    <n v="2324"/>
    <x v="1"/>
    <n v="1"/>
    <x v="0"/>
    <x v="2"/>
    <n v="264436"/>
    <n v="3.26"/>
    <n v="4"/>
  </r>
  <r>
    <x v="4"/>
    <s v="Model S"/>
    <x v="0"/>
    <x v="1"/>
    <n v="131294.35999999999"/>
    <n v="66"/>
    <n v="236"/>
    <n v="230.3"/>
    <n v="6.29"/>
    <n v="159"/>
    <n v="939"/>
    <n v="845"/>
    <s v="RWD"/>
    <n v="5"/>
    <x v="1"/>
    <n v="52.7"/>
    <n v="2015"/>
    <x v="0"/>
    <n v="2"/>
    <x v="2"/>
    <x v="0"/>
    <n v="154508"/>
    <n v="3.91"/>
    <n v="4"/>
  </r>
  <r>
    <x v="11"/>
    <s v="e-tron"/>
    <x v="3"/>
    <x v="3"/>
    <n v="84380.71"/>
    <n v="80"/>
    <n v="275"/>
    <n v="135.5"/>
    <n v="6.41"/>
    <n v="165"/>
    <n v="531"/>
    <n v="499"/>
    <s v="AWD"/>
    <n v="7"/>
    <x v="1"/>
    <n v="58.6"/>
    <n v="2209"/>
    <x v="0"/>
    <n v="1"/>
    <x v="0"/>
    <x v="2"/>
    <n v="37226"/>
    <n v="3.53"/>
    <n v="5"/>
  </r>
  <r>
    <x v="4"/>
    <s v="Model X"/>
    <x v="3"/>
    <x v="4"/>
    <n v="76635.5"/>
    <n v="45.2"/>
    <n v="150"/>
    <n v="322.5"/>
    <n v="5.59"/>
    <n v="175"/>
    <n v="561"/>
    <n v="470"/>
    <s v="RWD"/>
    <n v="5"/>
    <x v="1"/>
    <n v="56.8"/>
    <n v="1709"/>
    <x v="1"/>
    <n v="2"/>
    <x v="2"/>
    <x v="2"/>
    <n v="167458"/>
    <n v="3.59"/>
    <n v="5"/>
  </r>
  <r>
    <x v="7"/>
    <s v="Leaf 50X"/>
    <x v="5"/>
    <x v="1"/>
    <n v="60331.49"/>
    <n v="43.6"/>
    <n v="175"/>
    <n v="101.4"/>
    <n v="7.08"/>
    <n v="136"/>
    <n v="653"/>
    <n v="581"/>
    <s v="RWD"/>
    <n v="5"/>
    <x v="4"/>
    <n v="19.399999999999999"/>
    <n v="1729"/>
    <x v="0"/>
    <n v="1"/>
    <x v="4"/>
    <x v="1"/>
    <n v="145412"/>
    <n v="3.34"/>
    <n v="4"/>
  </r>
  <r>
    <x v="1"/>
    <s v="bZ Compact SUV"/>
    <x v="1"/>
    <x v="3"/>
    <n v="59240.75"/>
    <n v="70.099999999999994"/>
    <n v="267"/>
    <n v="99.5"/>
    <n v="5.9"/>
    <n v="162"/>
    <n v="648"/>
    <n v="553"/>
    <s v="RWD"/>
    <n v="5"/>
    <x v="1"/>
    <n v="41.3"/>
    <n v="2240"/>
    <x v="0"/>
    <n v="0"/>
    <x v="1"/>
    <x v="1"/>
    <n v="18789"/>
    <n v="3.47"/>
    <n v="4"/>
  </r>
  <r>
    <x v="1"/>
    <s v="bZ Compact SUV"/>
    <x v="2"/>
    <x v="4"/>
    <n v="62299.25"/>
    <n v="60.9"/>
    <n v="213"/>
    <n v="91.4"/>
    <n v="5.32"/>
    <n v="169"/>
    <n v="673"/>
    <n v="581"/>
    <s v="AWD"/>
    <n v="5"/>
    <x v="1"/>
    <n v="55.5"/>
    <n v="2079"/>
    <x v="2"/>
    <n v="1"/>
    <x v="1"/>
    <x v="1"/>
    <n v="25820"/>
    <n v="3.36"/>
    <n v="4"/>
  </r>
  <r>
    <x v="3"/>
    <s v="Picanto EV"/>
    <x v="3"/>
    <x v="3"/>
    <n v="41302.85"/>
    <n v="54.4"/>
    <n v="210"/>
    <n v="55.8"/>
    <n v="7.79"/>
    <n v="128"/>
    <n v="370"/>
    <n v="314"/>
    <s v="AWD"/>
    <n v="5"/>
    <x v="0"/>
    <n v="78.400000000000006"/>
    <n v="2736"/>
    <x v="1"/>
    <n v="0"/>
    <x v="3"/>
    <x v="1"/>
    <n v="124417"/>
    <n v="3.31"/>
    <n v="5"/>
  </r>
  <r>
    <x v="10"/>
    <s v="iX"/>
    <x v="5"/>
    <x v="4"/>
    <n v="111475.63"/>
    <n v="44.2"/>
    <n v="150"/>
    <n v="88.9"/>
    <n v="6.23"/>
    <n v="159"/>
    <n v="959"/>
    <n v="885"/>
    <s v="RWD"/>
    <n v="5"/>
    <x v="2"/>
    <n v="71.8"/>
    <n v="1551"/>
    <x v="0"/>
    <n v="1"/>
    <x v="0"/>
    <x v="0"/>
    <n v="22266"/>
    <n v="3.33"/>
    <n v="5"/>
  </r>
  <r>
    <x v="0"/>
    <s v="ID.4"/>
    <x v="0"/>
    <x v="1"/>
    <n v="44868.54"/>
    <n v="71"/>
    <n v="254"/>
    <n v="133.6"/>
    <n v="7.27"/>
    <n v="135"/>
    <n v="370"/>
    <n v="382"/>
    <s v="RWD"/>
    <n v="5"/>
    <x v="5"/>
    <n v="18.399999999999999"/>
    <n v="1500"/>
    <x v="2"/>
    <n v="2"/>
    <x v="0"/>
    <x v="1"/>
    <n v="264149"/>
    <n v="3.6"/>
    <n v="5"/>
  </r>
  <r>
    <x v="7"/>
    <s v="Atto 3"/>
    <x v="5"/>
    <x v="2"/>
    <n v="67426.929999999993"/>
    <n v="98.7"/>
    <n v="353"/>
    <n v="89.8"/>
    <n v="5.91"/>
    <n v="162"/>
    <n v="739"/>
    <n v="692"/>
    <s v="FWD"/>
    <n v="5"/>
    <x v="5"/>
    <n v="26.6"/>
    <n v="1641"/>
    <x v="0"/>
    <n v="0"/>
    <x v="4"/>
    <x v="2"/>
    <n v="102350"/>
    <n v="3.66"/>
    <n v="4"/>
  </r>
  <r>
    <x v="7"/>
    <s v="Dolphin"/>
    <x v="3"/>
    <x v="0"/>
    <n v="53327.95"/>
    <n v="101.5"/>
    <n v="344"/>
    <n v="246.8"/>
    <n v="4.2699999999999996"/>
    <n v="186"/>
    <n v="555"/>
    <n v="489"/>
    <s v="RWD"/>
    <n v="5"/>
    <x v="5"/>
    <n v="16"/>
    <n v="1500"/>
    <x v="0"/>
    <n v="0"/>
    <x v="4"/>
    <x v="1"/>
    <n v="120007"/>
    <n v="3.46"/>
    <n v="4"/>
  </r>
  <r>
    <x v="10"/>
    <s v="i7"/>
    <x v="1"/>
    <x v="4"/>
    <n v="69932.429999999993"/>
    <n v="67"/>
    <n v="249"/>
    <n v="58.9"/>
    <n v="7.58"/>
    <n v="140"/>
    <n v="419"/>
    <n v="314"/>
    <s v="FWD"/>
    <n v="5"/>
    <x v="3"/>
    <n v="39.1"/>
    <n v="1591"/>
    <x v="1"/>
    <n v="1"/>
    <x v="0"/>
    <x v="2"/>
    <n v="52868"/>
    <n v="3.54"/>
    <n v="7"/>
  </r>
  <r>
    <x v="2"/>
    <s v="Silverado EV"/>
    <x v="3"/>
    <x v="0"/>
    <n v="50051.199999999997"/>
    <n v="92.1"/>
    <n v="286"/>
    <n v="194"/>
    <n v="3.44"/>
    <n v="199"/>
    <n v="568"/>
    <n v="519"/>
    <s v="RWD"/>
    <n v="7"/>
    <x v="5"/>
    <n v="33.4"/>
    <n v="1500"/>
    <x v="1"/>
    <n v="2"/>
    <x v="2"/>
    <x v="1"/>
    <n v="17861"/>
    <n v="3.54"/>
    <n v="3"/>
  </r>
  <r>
    <x v="9"/>
    <s v="E-Transit"/>
    <x v="5"/>
    <x v="0"/>
    <n v="48841.01"/>
    <n v="87.7"/>
    <n v="333"/>
    <n v="152.4"/>
    <n v="4.3"/>
    <n v="180"/>
    <n v="369"/>
    <n v="380"/>
    <s v="RWD"/>
    <n v="7"/>
    <x v="3"/>
    <n v="29.2"/>
    <n v="1844"/>
    <x v="0"/>
    <n v="1"/>
    <x v="2"/>
    <x v="1"/>
    <n v="32288"/>
    <n v="3.72"/>
    <n v="4"/>
  </r>
  <r>
    <x v="9"/>
    <s v="Explorer EV"/>
    <x v="4"/>
    <x v="2"/>
    <n v="77562.36"/>
    <n v="104.2"/>
    <n v="348"/>
    <n v="135.1"/>
    <n v="5.55"/>
    <n v="156"/>
    <n v="881"/>
    <n v="758"/>
    <s v="FWD"/>
    <n v="5"/>
    <x v="3"/>
    <n v="26.2"/>
    <n v="1721"/>
    <x v="0"/>
    <n v="1"/>
    <x v="2"/>
    <x v="2"/>
    <n v="27293"/>
    <n v="3.54"/>
    <n v="3"/>
  </r>
  <r>
    <x v="4"/>
    <s v="Cybertruck"/>
    <x v="3"/>
    <x v="3"/>
    <n v="69446.789999999994"/>
    <n v="55.6"/>
    <n v="196"/>
    <n v="255.2"/>
    <n v="6.25"/>
    <n v="155"/>
    <n v="473"/>
    <n v="453"/>
    <s v="RWD"/>
    <n v="5"/>
    <x v="0"/>
    <n v="69.900000000000006"/>
    <n v="2266"/>
    <x v="0"/>
    <n v="3"/>
    <x v="2"/>
    <x v="2"/>
    <n v="214270"/>
    <n v="3.74"/>
    <n v="5"/>
  </r>
  <r>
    <x v="8"/>
    <s v="Ioniq 5"/>
    <x v="0"/>
    <x v="4"/>
    <n v="68110.080000000002"/>
    <n v="72.3"/>
    <n v="255"/>
    <n v="144"/>
    <n v="6.66"/>
    <n v="152"/>
    <n v="842"/>
    <n v="760"/>
    <s v="FWD"/>
    <n v="5"/>
    <x v="0"/>
    <n v="56"/>
    <n v="2701"/>
    <x v="0"/>
    <n v="0"/>
    <x v="3"/>
    <x v="2"/>
    <n v="73761"/>
    <n v="3.77"/>
    <n v="4"/>
  </r>
  <r>
    <x v="4"/>
    <s v="Model Y"/>
    <x v="0"/>
    <x v="3"/>
    <n v="92950.35"/>
    <n v="77.5"/>
    <n v="263"/>
    <n v="293.39999999999998"/>
    <n v="5.57"/>
    <n v="166"/>
    <n v="716"/>
    <n v="658"/>
    <s v="RWD"/>
    <n v="5"/>
    <x v="1"/>
    <n v="43"/>
    <n v="2272"/>
    <x v="1"/>
    <n v="3"/>
    <x v="2"/>
    <x v="2"/>
    <n v="491547"/>
    <n v="3.57"/>
    <n v="5"/>
  </r>
  <r>
    <x v="3"/>
    <s v="EV9"/>
    <x v="1"/>
    <x v="0"/>
    <n v="67330.570000000007"/>
    <n v="77.099999999999994"/>
    <n v="284"/>
    <n v="154.4"/>
    <n v="4.17"/>
    <n v="194"/>
    <n v="742"/>
    <n v="621"/>
    <s v="RWD"/>
    <n v="5"/>
    <x v="1"/>
    <n v="50.4"/>
    <n v="1973"/>
    <x v="1"/>
    <n v="2"/>
    <x v="3"/>
    <x v="2"/>
    <n v="91349"/>
    <n v="3.46"/>
    <n v="4"/>
  </r>
  <r>
    <x v="0"/>
    <s v="ID. Aero"/>
    <x v="3"/>
    <x v="1"/>
    <n v="89383.1"/>
    <n v="57.7"/>
    <n v="217"/>
    <n v="133.5"/>
    <n v="6.68"/>
    <n v="143"/>
    <n v="1000"/>
    <n v="885"/>
    <s v="AWD"/>
    <n v="5"/>
    <x v="0"/>
    <n v="50.6"/>
    <n v="3000"/>
    <x v="0"/>
    <n v="1"/>
    <x v="0"/>
    <x v="2"/>
    <n v="222817"/>
    <n v="3.39"/>
    <n v="4"/>
  </r>
  <r>
    <x v="11"/>
    <s v="Q4 e-tron"/>
    <x v="2"/>
    <x v="3"/>
    <n v="108294.87"/>
    <n v="84.2"/>
    <n v="297"/>
    <n v="86.6"/>
    <n v="7.49"/>
    <n v="142"/>
    <n v="803"/>
    <n v="720"/>
    <s v="RWD"/>
    <n v="5"/>
    <x v="0"/>
    <n v="63.1"/>
    <n v="2606"/>
    <x v="1"/>
    <n v="1"/>
    <x v="0"/>
    <x v="0"/>
    <n v="75960"/>
    <n v="3.64"/>
    <n v="6"/>
  </r>
  <r>
    <x v="7"/>
    <s v="Max"/>
    <x v="3"/>
    <x v="0"/>
    <n v="92829.9"/>
    <n v="82.3"/>
    <n v="285"/>
    <n v="154.4"/>
    <n v="2.99"/>
    <n v="200"/>
    <n v="1000"/>
    <n v="876"/>
    <s v="RWD"/>
    <n v="7"/>
    <x v="1"/>
    <n v="36.9"/>
    <n v="1909"/>
    <x v="1"/>
    <n v="0"/>
    <x v="4"/>
    <x v="2"/>
    <n v="235698"/>
    <n v="3.58"/>
    <n v="4"/>
  </r>
  <r>
    <x v="4"/>
    <s v="Cybertruck"/>
    <x v="3"/>
    <x v="1"/>
    <n v="35991.9"/>
    <n v="60.6"/>
    <n v="218"/>
    <n v="232.1"/>
    <n v="6.3"/>
    <n v="151"/>
    <n v="240"/>
    <n v="200"/>
    <s v="AWD"/>
    <n v="5"/>
    <x v="0"/>
    <n v="51.5"/>
    <n v="2427"/>
    <x v="0"/>
    <n v="2"/>
    <x v="2"/>
    <x v="1"/>
    <n v="169730"/>
    <n v="3.71"/>
    <n v="6"/>
  </r>
  <r>
    <x v="4"/>
    <s v="Model 3"/>
    <x v="3"/>
    <x v="3"/>
    <n v="88596.07"/>
    <n v="45.9"/>
    <n v="179"/>
    <n v="329.1"/>
    <n v="5.04"/>
    <n v="178"/>
    <n v="662"/>
    <n v="638"/>
    <s v="AWD"/>
    <n v="7"/>
    <x v="2"/>
    <n v="60.6"/>
    <n v="1570"/>
    <x v="1"/>
    <n v="3"/>
    <x v="2"/>
    <x v="2"/>
    <n v="124700"/>
    <n v="3.61"/>
    <n v="5"/>
  </r>
  <r>
    <x v="9"/>
    <s v="Explorer EV"/>
    <x v="0"/>
    <x v="4"/>
    <n v="73469.820000000007"/>
    <n v="58.2"/>
    <n v="186"/>
    <n v="88.3"/>
    <n v="7.61"/>
    <n v="134"/>
    <n v="859"/>
    <n v="769"/>
    <s v="RWD"/>
    <n v="5"/>
    <x v="4"/>
    <n v="29.9"/>
    <n v="1500"/>
    <x v="1"/>
    <n v="0"/>
    <x v="2"/>
    <x v="2"/>
    <n v="59218"/>
    <n v="3.38"/>
    <n v="3"/>
  </r>
  <r>
    <x v="3"/>
    <s v="Niro EV"/>
    <x v="5"/>
    <x v="4"/>
    <n v="72349.570000000007"/>
    <n v="59.3"/>
    <n v="198"/>
    <n v="74.400000000000006"/>
    <n v="7.19"/>
    <n v="149"/>
    <n v="842"/>
    <n v="756"/>
    <s v="FWD"/>
    <n v="7"/>
    <x v="1"/>
    <n v="55.2"/>
    <n v="1981"/>
    <x v="0"/>
    <n v="0"/>
    <x v="3"/>
    <x v="2"/>
    <n v="69075"/>
    <n v="3.22"/>
    <n v="5"/>
  </r>
  <r>
    <x v="4"/>
    <s v="Model X"/>
    <x v="0"/>
    <x v="0"/>
    <n v="93392.21"/>
    <n v="85.7"/>
    <n v="297"/>
    <n v="308.7"/>
    <n v="3.2"/>
    <n v="200"/>
    <n v="697"/>
    <n v="578"/>
    <s v="AWD"/>
    <n v="7"/>
    <x v="1"/>
    <n v="35.4"/>
    <n v="2085"/>
    <x v="1"/>
    <n v="3"/>
    <x v="2"/>
    <x v="2"/>
    <n v="138082"/>
    <n v="3.74"/>
    <n v="5"/>
  </r>
  <r>
    <x v="4"/>
    <s v="Model S"/>
    <x v="0"/>
    <x v="1"/>
    <n v="109016.04"/>
    <n v="46.6"/>
    <n v="178"/>
    <n v="263.2"/>
    <n v="7.52"/>
    <n v="137"/>
    <n v="752"/>
    <n v="688"/>
    <s v="FWD"/>
    <n v="5"/>
    <x v="3"/>
    <n v="22.4"/>
    <n v="1577"/>
    <x v="1"/>
    <n v="2"/>
    <x v="2"/>
    <x v="0"/>
    <n v="113179"/>
    <n v="3.59"/>
    <n v="5"/>
  </r>
  <r>
    <x v="2"/>
    <s v="Bolt EV"/>
    <x v="2"/>
    <x v="4"/>
    <n v="40534.339999999997"/>
    <n v="52"/>
    <n v="170"/>
    <n v="94.6"/>
    <n v="7.08"/>
    <n v="148"/>
    <n v="407"/>
    <n v="344"/>
    <s v="FWD"/>
    <n v="7"/>
    <x v="4"/>
    <n v="26.9"/>
    <n v="1673"/>
    <x v="1"/>
    <n v="0"/>
    <x v="2"/>
    <x v="1"/>
    <n v="24616"/>
    <n v="3.08"/>
    <n v="4"/>
  </r>
  <r>
    <x v="4"/>
    <s v="Model Y"/>
    <x v="2"/>
    <x v="1"/>
    <n v="47765.25"/>
    <n v="45.3"/>
    <n v="171"/>
    <n v="305.8"/>
    <n v="6.25"/>
    <n v="167"/>
    <n v="306"/>
    <n v="318"/>
    <s v="RWD"/>
    <n v="5"/>
    <x v="5"/>
    <n v="25"/>
    <n v="1500"/>
    <x v="1"/>
    <n v="3"/>
    <x v="2"/>
    <x v="1"/>
    <n v="423769"/>
    <n v="3.45"/>
    <n v="4"/>
  </r>
  <r>
    <x v="9"/>
    <s v="Mustang Mach-E"/>
    <x v="2"/>
    <x v="0"/>
    <n v="92734.95"/>
    <n v="71.599999999999994"/>
    <n v="257"/>
    <n v="171.2"/>
    <n v="4.22"/>
    <n v="183"/>
    <n v="1000"/>
    <n v="917"/>
    <s v="RWD"/>
    <n v="7"/>
    <x v="2"/>
    <n v="71.5"/>
    <n v="1569"/>
    <x v="0"/>
    <n v="0"/>
    <x v="2"/>
    <x v="2"/>
    <n v="52532"/>
    <n v="3.34"/>
    <n v="5"/>
  </r>
  <r>
    <x v="2"/>
    <s v="Bolt EUV"/>
    <x v="2"/>
    <x v="4"/>
    <n v="53007.41"/>
    <n v="82.4"/>
    <n v="303"/>
    <n v="146.80000000000001"/>
    <n v="7.4"/>
    <n v="145"/>
    <n v="623"/>
    <n v="533"/>
    <s v="RWD"/>
    <n v="5"/>
    <x v="1"/>
    <n v="44.5"/>
    <n v="2061"/>
    <x v="0"/>
    <n v="1"/>
    <x v="2"/>
    <x v="1"/>
    <n v="25295"/>
    <n v="3.72"/>
    <n v="5"/>
  </r>
  <r>
    <x v="4"/>
    <s v="Model 3"/>
    <x v="2"/>
    <x v="2"/>
    <n v="74766.45"/>
    <n v="76.5"/>
    <n v="284"/>
    <n v="257.2"/>
    <n v="5.48"/>
    <n v="169"/>
    <n v="487"/>
    <n v="482"/>
    <s v="AWD"/>
    <n v="7"/>
    <x v="5"/>
    <n v="25.1"/>
    <n v="1610"/>
    <x v="1"/>
    <n v="3"/>
    <x v="2"/>
    <x v="2"/>
    <n v="155185"/>
    <n v="4.1399999999999997"/>
    <n v="5"/>
  </r>
  <r>
    <x v="4"/>
    <s v="Model S"/>
    <x v="3"/>
    <x v="3"/>
    <n v="43016.55"/>
    <n v="44.3"/>
    <n v="159"/>
    <n v="252.5"/>
    <n v="5.67"/>
    <n v="163"/>
    <n v="327"/>
    <n v="254"/>
    <s v="FWD"/>
    <n v="7"/>
    <x v="1"/>
    <n v="50.8"/>
    <n v="1663"/>
    <x v="1"/>
    <n v="2"/>
    <x v="2"/>
    <x v="1"/>
    <n v="118264"/>
    <n v="3.47"/>
    <n v="6"/>
  </r>
  <r>
    <x v="14"/>
    <s v="Taycan"/>
    <x v="0"/>
    <x v="3"/>
    <n v="145262.78"/>
    <n v="70.599999999999994"/>
    <n v="265"/>
    <n v="329.1"/>
    <n v="7.46"/>
    <n v="148"/>
    <n v="626"/>
    <n v="548"/>
    <s v="RWD"/>
    <n v="5"/>
    <x v="3"/>
    <n v="17.8"/>
    <n v="1755"/>
    <x v="0"/>
    <n v="2"/>
    <x v="0"/>
    <x v="0"/>
    <n v="24347"/>
    <n v="3.55"/>
    <n v="7"/>
  </r>
  <r>
    <x v="0"/>
    <s v="ID.4"/>
    <x v="1"/>
    <x v="0"/>
    <n v="102466.68"/>
    <n v="77.599999999999994"/>
    <n v="281"/>
    <n v="218"/>
    <n v="4.12"/>
    <n v="189"/>
    <n v="1000"/>
    <n v="886"/>
    <s v="RWD"/>
    <n v="7"/>
    <x v="0"/>
    <n v="65.3"/>
    <n v="2347"/>
    <x v="1"/>
    <n v="1"/>
    <x v="0"/>
    <x v="0"/>
    <n v="252835"/>
    <n v="3.37"/>
    <n v="5"/>
  </r>
  <r>
    <x v="0"/>
    <s v="ID.4"/>
    <x v="3"/>
    <x v="0"/>
    <n v="66259.17"/>
    <n v="77.599999999999994"/>
    <n v="256"/>
    <n v="242.3"/>
    <n v="2.76"/>
    <n v="200"/>
    <n v="666"/>
    <n v="595"/>
    <s v="RWD"/>
    <n v="7"/>
    <x v="5"/>
    <n v="23.8"/>
    <n v="1721"/>
    <x v="0"/>
    <n v="0"/>
    <x v="0"/>
    <x v="2"/>
    <n v="296982"/>
    <n v="3.45"/>
    <n v="3"/>
  </r>
  <r>
    <x v="9"/>
    <s v="Explorer EV"/>
    <x v="5"/>
    <x v="4"/>
    <n v="69136.539999999994"/>
    <n v="53.2"/>
    <n v="193"/>
    <n v="107.3"/>
    <n v="6.38"/>
    <n v="161"/>
    <n v="768"/>
    <n v="638"/>
    <s v="FWD"/>
    <n v="5"/>
    <x v="1"/>
    <n v="37.700000000000003"/>
    <n v="2080"/>
    <x v="2"/>
    <n v="2"/>
    <x v="2"/>
    <x v="2"/>
    <n v="61663"/>
    <n v="3.2"/>
    <n v="4"/>
  </r>
  <r>
    <x v="1"/>
    <s v="bZ Compact SUV"/>
    <x v="2"/>
    <x v="2"/>
    <n v="87515.62"/>
    <n v="75.8"/>
    <n v="273"/>
    <n v="117.8"/>
    <n v="4.57"/>
    <n v="170"/>
    <n v="1000"/>
    <n v="858"/>
    <s v="FWD"/>
    <n v="7"/>
    <x v="1"/>
    <n v="61.7"/>
    <n v="1886"/>
    <x v="0"/>
    <n v="0"/>
    <x v="1"/>
    <x v="2"/>
    <n v="24507"/>
    <n v="3.51"/>
    <n v="4"/>
  </r>
  <r>
    <x v="14"/>
    <s v="Taycan"/>
    <x v="5"/>
    <x v="2"/>
    <n v="220736.96"/>
    <n v="82.6"/>
    <n v="288"/>
    <n v="304.39999999999998"/>
    <n v="5.9"/>
    <n v="161"/>
    <n v="1000"/>
    <n v="915"/>
    <s v="RWD"/>
    <n v="5"/>
    <x v="1"/>
    <n v="42.7"/>
    <n v="2169"/>
    <x v="1"/>
    <n v="0"/>
    <x v="0"/>
    <x v="0"/>
    <n v="5345"/>
    <n v="3.64"/>
    <n v="6"/>
  </r>
  <r>
    <x v="2"/>
    <s v="Bolt EV"/>
    <x v="3"/>
    <x v="1"/>
    <n v="93152"/>
    <n v="60.9"/>
    <n v="214"/>
    <n v="82.9"/>
    <n v="6.96"/>
    <n v="145"/>
    <n v="1000"/>
    <n v="850"/>
    <s v="RWD"/>
    <n v="7"/>
    <x v="5"/>
    <n v="16.100000000000001"/>
    <n v="1500"/>
    <x v="1"/>
    <n v="1"/>
    <x v="2"/>
    <x v="2"/>
    <n v="20002"/>
    <n v="3.74"/>
    <n v="4"/>
  </r>
  <r>
    <x v="0"/>
    <s v="ID. Aero"/>
    <x v="5"/>
    <x v="4"/>
    <n v="36003.86"/>
    <n v="51.5"/>
    <n v="216"/>
    <n v="88.4"/>
    <n v="5.81"/>
    <n v="170"/>
    <n v="211"/>
    <n v="201"/>
    <s v="FWD"/>
    <n v="7"/>
    <x v="3"/>
    <n v="18"/>
    <n v="1597"/>
    <x v="1"/>
    <n v="1"/>
    <x v="0"/>
    <x v="1"/>
    <n v="241049"/>
    <n v="3.54"/>
    <n v="3"/>
  </r>
  <r>
    <x v="4"/>
    <s v="Model S"/>
    <x v="1"/>
    <x v="2"/>
    <n v="119080.01"/>
    <n v="82.3"/>
    <n v="284"/>
    <n v="267.39999999999998"/>
    <n v="5.42"/>
    <n v="159"/>
    <n v="912"/>
    <n v="859"/>
    <s v="RWD"/>
    <n v="5"/>
    <x v="0"/>
    <n v="73.099999999999994"/>
    <n v="2165"/>
    <x v="1"/>
    <n v="2"/>
    <x v="2"/>
    <x v="0"/>
    <n v="124340"/>
    <n v="3.98"/>
    <n v="6"/>
  </r>
  <r>
    <x v="9"/>
    <s v="E-Transit"/>
    <x v="0"/>
    <x v="3"/>
    <n v="51056.88"/>
    <n v="78.599999999999994"/>
    <n v="262"/>
    <n v="89.9"/>
    <n v="6.52"/>
    <n v="156"/>
    <n v="500"/>
    <n v="462"/>
    <s v="RWD"/>
    <n v="5"/>
    <x v="4"/>
    <n v="16.899999999999999"/>
    <n v="1639"/>
    <x v="1"/>
    <n v="0"/>
    <x v="2"/>
    <x v="1"/>
    <n v="59730"/>
    <n v="3.53"/>
    <n v="4"/>
  </r>
  <r>
    <x v="3"/>
    <s v="Niro EV"/>
    <x v="6"/>
    <x v="3"/>
    <n v="46532.99"/>
    <n v="75.900000000000006"/>
    <n v="260"/>
    <n v="71.900000000000006"/>
    <n v="5.92"/>
    <n v="156"/>
    <n v="419"/>
    <n v="386"/>
    <s v="RWD"/>
    <n v="7"/>
    <x v="2"/>
    <n v="72.8"/>
    <n v="1762"/>
    <x v="0"/>
    <n v="0"/>
    <x v="3"/>
    <x v="1"/>
    <n v="63258"/>
    <n v="3.48"/>
    <n v="4"/>
  </r>
  <r>
    <x v="0"/>
    <s v="ID.4"/>
    <x v="2"/>
    <x v="1"/>
    <n v="114364.87"/>
    <n v="45.2"/>
    <n v="151"/>
    <n v="74.099999999999994"/>
    <n v="6.55"/>
    <n v="150"/>
    <n v="1000"/>
    <n v="911"/>
    <s v="RWD"/>
    <n v="5"/>
    <x v="3"/>
    <n v="31.4"/>
    <n v="1812"/>
    <x v="1"/>
    <n v="0"/>
    <x v="0"/>
    <x v="0"/>
    <n v="233971"/>
    <n v="3.16"/>
    <n v="5"/>
  </r>
  <r>
    <x v="11"/>
    <s v="e-tron GT"/>
    <x v="3"/>
    <x v="4"/>
    <n v="109816.18"/>
    <n v="60.8"/>
    <n v="222"/>
    <n v="113.4"/>
    <n v="7.53"/>
    <n v="139"/>
    <n v="820"/>
    <n v="730"/>
    <s v="FWD"/>
    <n v="5"/>
    <x v="5"/>
    <n v="39.6"/>
    <n v="1514"/>
    <x v="1"/>
    <n v="1"/>
    <x v="0"/>
    <x v="0"/>
    <n v="73358"/>
    <n v="3.54"/>
    <n v="8"/>
  </r>
  <r>
    <x v="4"/>
    <s v="Model Y"/>
    <x v="5"/>
    <x v="4"/>
    <n v="40006.71"/>
    <n v="63.9"/>
    <n v="241"/>
    <n v="313.7"/>
    <n v="7.73"/>
    <n v="131"/>
    <n v="266"/>
    <n v="234"/>
    <s v="FWD"/>
    <n v="7"/>
    <x v="0"/>
    <n v="64.2"/>
    <n v="2397"/>
    <x v="0"/>
    <n v="2"/>
    <x v="2"/>
    <x v="1"/>
    <n v="488644"/>
    <n v="3.74"/>
    <n v="4"/>
  </r>
  <r>
    <x v="8"/>
    <s v="Ioniq 6"/>
    <x v="3"/>
    <x v="4"/>
    <n v="63640"/>
    <n v="40.299999999999997"/>
    <n v="150"/>
    <n v="135"/>
    <n v="7.88"/>
    <n v="131"/>
    <n v="755"/>
    <n v="696"/>
    <s v="FWD"/>
    <n v="5"/>
    <x v="0"/>
    <n v="53.7"/>
    <n v="2077"/>
    <x v="0"/>
    <n v="0"/>
    <x v="3"/>
    <x v="1"/>
    <n v="139571"/>
    <n v="3.2"/>
    <n v="4"/>
  </r>
  <r>
    <x v="4"/>
    <s v="Model Y"/>
    <x v="3"/>
    <x v="2"/>
    <n v="161112.44"/>
    <n v="98.8"/>
    <n v="371"/>
    <n v="313.39999999999998"/>
    <n v="5.56"/>
    <n v="163"/>
    <n v="1000"/>
    <n v="875"/>
    <s v="AWD"/>
    <n v="7"/>
    <x v="4"/>
    <n v="33"/>
    <n v="1641"/>
    <x v="0"/>
    <n v="2"/>
    <x v="2"/>
    <x v="0"/>
    <n v="404800"/>
    <n v="4.22"/>
    <n v="5"/>
  </r>
  <r>
    <x v="8"/>
    <s v="Ioniq 6"/>
    <x v="3"/>
    <x v="1"/>
    <n v="44861.53"/>
    <n v="84.1"/>
    <n v="305"/>
    <n v="50.4"/>
    <n v="5.0599999999999996"/>
    <n v="172"/>
    <n v="389"/>
    <n v="344"/>
    <s v="RWD"/>
    <n v="5"/>
    <x v="4"/>
    <n v="24.7"/>
    <n v="1680"/>
    <x v="0"/>
    <n v="0"/>
    <x v="3"/>
    <x v="1"/>
    <n v="98434"/>
    <n v="3.53"/>
    <n v="3"/>
  </r>
  <r>
    <x v="4"/>
    <s v="Model S"/>
    <x v="0"/>
    <x v="1"/>
    <n v="137659.6"/>
    <n v="56.7"/>
    <n v="186"/>
    <n v="223.5"/>
    <n v="7.05"/>
    <n v="142"/>
    <n v="1000"/>
    <n v="907"/>
    <s v="AWD"/>
    <n v="5"/>
    <x v="4"/>
    <n v="27.8"/>
    <n v="1530"/>
    <x v="0"/>
    <n v="2"/>
    <x v="2"/>
    <x v="0"/>
    <n v="167952"/>
    <n v="3.72"/>
    <n v="6"/>
  </r>
  <r>
    <x v="4"/>
    <s v="Model 3"/>
    <x v="2"/>
    <x v="3"/>
    <n v="32105.759999999998"/>
    <n v="54.4"/>
    <n v="214"/>
    <n v="223.7"/>
    <n v="7.58"/>
    <n v="129"/>
    <n v="229"/>
    <n v="203"/>
    <s v="FWD"/>
    <n v="5"/>
    <x v="4"/>
    <n v="18.8"/>
    <n v="1625"/>
    <x v="0"/>
    <n v="2"/>
    <x v="2"/>
    <x v="3"/>
    <n v="245170"/>
    <n v="3.53"/>
    <n v="5"/>
  </r>
  <r>
    <x v="4"/>
    <s v="Model 3"/>
    <x v="3"/>
    <x v="0"/>
    <n v="42441.37"/>
    <n v="104.2"/>
    <n v="372"/>
    <n v="260.89999999999998"/>
    <n v="2.56"/>
    <n v="200"/>
    <n v="260"/>
    <n v="237"/>
    <s v="FWD"/>
    <n v="7"/>
    <x v="0"/>
    <n v="57.3"/>
    <n v="2532"/>
    <x v="1"/>
    <n v="2"/>
    <x v="2"/>
    <x v="1"/>
    <n v="230471"/>
    <n v="4.32"/>
    <n v="5"/>
  </r>
  <r>
    <x v="10"/>
    <s v="iX"/>
    <x v="1"/>
    <x v="3"/>
    <n v="61657.41"/>
    <n v="79.900000000000006"/>
    <n v="273"/>
    <n v="112.4"/>
    <n v="5.22"/>
    <n v="174"/>
    <n v="295"/>
    <n v="276"/>
    <s v="AWD"/>
    <n v="5"/>
    <x v="1"/>
    <n v="58.7"/>
    <n v="1890"/>
    <x v="1"/>
    <n v="2"/>
    <x v="0"/>
    <x v="1"/>
    <n v="21575"/>
    <n v="3.67"/>
    <n v="6"/>
  </r>
  <r>
    <x v="2"/>
    <s v="Equinox EV"/>
    <x v="0"/>
    <x v="3"/>
    <n v="37448.46"/>
    <n v="74.099999999999994"/>
    <n v="275"/>
    <n v="104.4"/>
    <n v="5.71"/>
    <n v="165"/>
    <n v="350"/>
    <n v="350"/>
    <s v="AWD"/>
    <n v="7"/>
    <x v="1"/>
    <n v="47.5"/>
    <n v="1971"/>
    <x v="1"/>
    <n v="0"/>
    <x v="2"/>
    <x v="1"/>
    <n v="12182"/>
    <n v="3.71"/>
    <n v="5"/>
  </r>
  <r>
    <x v="3"/>
    <s v="EV9"/>
    <x v="0"/>
    <x v="4"/>
    <n v="55591.96"/>
    <n v="80.5"/>
    <n v="283"/>
    <n v="90.4"/>
    <n v="6.21"/>
    <n v="166"/>
    <n v="533"/>
    <n v="490"/>
    <s v="AWD"/>
    <n v="5"/>
    <x v="1"/>
    <n v="41.6"/>
    <n v="2004"/>
    <x v="0"/>
    <n v="1"/>
    <x v="3"/>
    <x v="1"/>
    <n v="113695"/>
    <n v="3.55"/>
    <n v="5"/>
  </r>
  <r>
    <x v="1"/>
    <s v="bZ4X"/>
    <x v="2"/>
    <x v="2"/>
    <n v="55686.21"/>
    <n v="91.7"/>
    <n v="324"/>
    <n v="116.2"/>
    <n v="4.88"/>
    <n v="179"/>
    <n v="560"/>
    <n v="505"/>
    <s v="FWD"/>
    <n v="5"/>
    <x v="2"/>
    <n v="64.2"/>
    <n v="1570"/>
    <x v="1"/>
    <n v="1"/>
    <x v="1"/>
    <x v="1"/>
    <n v="18558"/>
    <n v="3.6"/>
    <n v="4"/>
  </r>
  <r>
    <x v="0"/>
    <s v="ID.4"/>
    <x v="3"/>
    <x v="2"/>
    <n v="47485.93"/>
    <n v="104.7"/>
    <n v="349"/>
    <n v="67.7"/>
    <n v="5.75"/>
    <n v="166"/>
    <n v="429"/>
    <n v="423"/>
    <s v="FWD"/>
    <n v="5"/>
    <x v="5"/>
    <n v="17.8"/>
    <n v="1870"/>
    <x v="0"/>
    <n v="1"/>
    <x v="0"/>
    <x v="1"/>
    <n v="243761"/>
    <n v="3.63"/>
    <n v="5"/>
  </r>
  <r>
    <x v="7"/>
    <s v="Dolphin"/>
    <x v="3"/>
    <x v="0"/>
    <n v="53346.09"/>
    <n v="111"/>
    <n v="410"/>
    <n v="228.9"/>
    <n v="4.0199999999999996"/>
    <n v="189"/>
    <n v="553"/>
    <n v="436"/>
    <s v="FWD"/>
    <n v="7"/>
    <x v="1"/>
    <n v="67.3"/>
    <n v="1923"/>
    <x v="1"/>
    <n v="0"/>
    <x v="4"/>
    <x v="1"/>
    <n v="141126"/>
    <n v="4.1900000000000004"/>
    <n v="3"/>
  </r>
  <r>
    <x v="5"/>
    <s v="EQC"/>
    <x v="3"/>
    <x v="2"/>
    <n v="162751.1"/>
    <n v="96.3"/>
    <n v="344"/>
    <n v="117"/>
    <n v="4.3499999999999996"/>
    <n v="185"/>
    <n v="1000"/>
    <n v="889"/>
    <s v="AWD"/>
    <n v="5"/>
    <x v="5"/>
    <n v="33.4"/>
    <n v="1500"/>
    <x v="1"/>
    <n v="1"/>
    <x v="0"/>
    <x v="0"/>
    <n v="68195"/>
    <n v="4.28"/>
    <n v="6"/>
  </r>
  <r>
    <x v="7"/>
    <s v="Dolphin"/>
    <x v="6"/>
    <x v="4"/>
    <n v="70472.75"/>
    <n v="66.3"/>
    <n v="241"/>
    <n v="74.7"/>
    <n v="7.41"/>
    <n v="138"/>
    <n v="730"/>
    <n v="699"/>
    <s v="AWD"/>
    <n v="5"/>
    <x v="2"/>
    <n v="67.2"/>
    <n v="1731"/>
    <x v="2"/>
    <n v="2"/>
    <x v="4"/>
    <x v="2"/>
    <n v="199656"/>
    <n v="3.4"/>
    <n v="4"/>
  </r>
  <r>
    <x v="1"/>
    <s v="bZ4X"/>
    <x v="2"/>
    <x v="3"/>
    <n v="36014.199999999997"/>
    <n v="52.5"/>
    <n v="186"/>
    <n v="91.3"/>
    <n v="5.22"/>
    <n v="177"/>
    <n v="200"/>
    <n v="212"/>
    <s v="FWD"/>
    <n v="5"/>
    <x v="4"/>
    <n v="29.8"/>
    <n v="1500"/>
    <x v="0"/>
    <n v="1"/>
    <x v="1"/>
    <x v="1"/>
    <n v="5267"/>
    <n v="3.41"/>
    <n v="3"/>
  </r>
  <r>
    <x v="4"/>
    <s v="Model Y"/>
    <x v="5"/>
    <x v="3"/>
    <n v="41355.449999999997"/>
    <n v="69.599999999999994"/>
    <n v="247"/>
    <n v="307.7"/>
    <n v="5.79"/>
    <n v="165"/>
    <n v="287"/>
    <n v="328"/>
    <s v="RWD"/>
    <n v="5"/>
    <x v="2"/>
    <n v="69.8"/>
    <n v="1501"/>
    <x v="0"/>
    <n v="2"/>
    <x v="2"/>
    <x v="1"/>
    <n v="407336"/>
    <n v="3.8"/>
    <n v="4"/>
  </r>
  <r>
    <x v="6"/>
    <s v="Ronin"/>
    <x v="2"/>
    <x v="3"/>
    <n v="65556.39"/>
    <n v="55.1"/>
    <n v="194"/>
    <n v="77.099999999999994"/>
    <n v="6.84"/>
    <n v="143"/>
    <n v="472"/>
    <n v="380"/>
    <s v="RWD"/>
    <n v="7"/>
    <x v="2"/>
    <n v="70.599999999999994"/>
    <n v="1500"/>
    <x v="1"/>
    <n v="1"/>
    <x v="2"/>
    <x v="2"/>
    <n v="2927"/>
    <n v="3.38"/>
    <n v="4"/>
  </r>
  <r>
    <x v="4"/>
    <s v="Model S"/>
    <x v="5"/>
    <x v="3"/>
    <n v="88832.48"/>
    <n v="49.6"/>
    <n v="157"/>
    <n v="285.7"/>
    <n v="7.87"/>
    <n v="138"/>
    <n v="597"/>
    <n v="558"/>
    <s v="FWD"/>
    <n v="7"/>
    <x v="4"/>
    <n v="24.3"/>
    <n v="1583"/>
    <x v="1"/>
    <n v="2"/>
    <x v="2"/>
    <x v="2"/>
    <n v="238605"/>
    <n v="3.46"/>
    <n v="4"/>
  </r>
  <r>
    <x v="11"/>
    <s v="Q4 e-tron"/>
    <x v="5"/>
    <x v="2"/>
    <n v="71435.350000000006"/>
    <n v="106"/>
    <n v="377"/>
    <n v="144.5"/>
    <n v="5.29"/>
    <n v="176"/>
    <n v="416"/>
    <n v="348"/>
    <s v="FWD"/>
    <n v="7"/>
    <x v="3"/>
    <n v="34.1"/>
    <n v="1500"/>
    <x v="2"/>
    <n v="1"/>
    <x v="0"/>
    <x v="2"/>
    <n v="45647"/>
    <n v="3.96"/>
    <n v="6"/>
  </r>
  <r>
    <x v="8"/>
    <s v="i30"/>
    <x v="3"/>
    <x v="4"/>
    <n v="41853.99"/>
    <n v="80.099999999999994"/>
    <n v="318"/>
    <n v="59.6"/>
    <n v="6.15"/>
    <n v="157"/>
    <n v="390"/>
    <n v="369"/>
    <s v="FWD"/>
    <n v="7"/>
    <x v="3"/>
    <n v="21.8"/>
    <n v="1688"/>
    <x v="0"/>
    <n v="1"/>
    <x v="3"/>
    <x v="1"/>
    <n v="111448"/>
    <n v="3.65"/>
    <n v="4"/>
  </r>
  <r>
    <x v="15"/>
    <s v="XC90 Recharge"/>
    <x v="3"/>
    <x v="1"/>
    <n v="96813.71"/>
    <n v="40.6"/>
    <n v="150"/>
    <n v="140.69999999999999"/>
    <n v="7.68"/>
    <n v="123"/>
    <n v="899"/>
    <n v="801"/>
    <s v="FWD"/>
    <n v="7"/>
    <x v="2"/>
    <n v="63.9"/>
    <n v="1615"/>
    <x v="1"/>
    <n v="2"/>
    <x v="5"/>
    <x v="2"/>
    <n v="10606"/>
    <n v="3.2"/>
    <n v="3"/>
  </r>
  <r>
    <x v="4"/>
    <s v="Model Y"/>
    <x v="3"/>
    <x v="1"/>
    <n v="129623.74"/>
    <n v="54.6"/>
    <n v="210"/>
    <n v="270"/>
    <n v="7.44"/>
    <n v="132"/>
    <n v="960"/>
    <n v="849"/>
    <s v="AWD"/>
    <n v="5"/>
    <x v="0"/>
    <n v="75.599999999999994"/>
    <n v="2337"/>
    <x v="1"/>
    <n v="2"/>
    <x v="2"/>
    <x v="0"/>
    <n v="481115"/>
    <n v="3.49"/>
    <n v="5"/>
  </r>
  <r>
    <x v="3"/>
    <s v="EV9"/>
    <x v="2"/>
    <x v="4"/>
    <n v="70066.61"/>
    <n v="55.2"/>
    <n v="186"/>
    <n v="110.9"/>
    <n v="5.46"/>
    <n v="169"/>
    <n v="783"/>
    <n v="737"/>
    <s v="AWD"/>
    <n v="7"/>
    <x v="1"/>
    <n v="36.799999999999997"/>
    <n v="1704"/>
    <x v="0"/>
    <n v="2"/>
    <x v="3"/>
    <x v="2"/>
    <n v="125092"/>
    <n v="3.1"/>
    <n v="3"/>
  </r>
  <r>
    <x v="6"/>
    <s v="Ocean"/>
    <x v="3"/>
    <x v="1"/>
    <n v="141027"/>
    <n v="54.1"/>
    <n v="190"/>
    <n v="99"/>
    <n v="6.37"/>
    <n v="168"/>
    <n v="1000"/>
    <n v="877"/>
    <s v="AWD"/>
    <n v="7"/>
    <x v="5"/>
    <n v="32.1"/>
    <n v="1626"/>
    <x v="1"/>
    <n v="1"/>
    <x v="2"/>
    <x v="0"/>
    <n v="11123"/>
    <n v="3.38"/>
    <n v="4"/>
  </r>
  <r>
    <x v="8"/>
    <s v="Ioniq 5"/>
    <x v="6"/>
    <x v="4"/>
    <n v="50630.65"/>
    <n v="64"/>
    <n v="203"/>
    <n v="104.1"/>
    <n v="5.57"/>
    <n v="171"/>
    <n v="545"/>
    <n v="452"/>
    <s v="FWD"/>
    <n v="5"/>
    <x v="3"/>
    <n v="31.4"/>
    <n v="1560"/>
    <x v="1"/>
    <n v="0"/>
    <x v="3"/>
    <x v="1"/>
    <n v="60112"/>
    <n v="3.39"/>
    <n v="3"/>
  </r>
  <r>
    <x v="10"/>
    <s v="i4"/>
    <x v="3"/>
    <x v="1"/>
    <n v="113836.67"/>
    <n v="71.5"/>
    <n v="253"/>
    <n v="76.5"/>
    <n v="6.71"/>
    <n v="152"/>
    <n v="1000"/>
    <n v="842"/>
    <s v="FWD"/>
    <n v="7"/>
    <x v="1"/>
    <n v="37.200000000000003"/>
    <n v="1950"/>
    <x v="0"/>
    <n v="1"/>
    <x v="0"/>
    <x v="0"/>
    <n v="42535"/>
    <n v="3.47"/>
    <n v="8"/>
  </r>
  <r>
    <x v="2"/>
    <s v="Silverado EV"/>
    <x v="3"/>
    <x v="4"/>
    <n v="51177.18"/>
    <n v="46.9"/>
    <n v="150"/>
    <n v="107.7"/>
    <n v="7.48"/>
    <n v="140"/>
    <n v="597"/>
    <n v="521"/>
    <s v="FWD"/>
    <n v="7"/>
    <x v="2"/>
    <n v="60.3"/>
    <n v="1514"/>
    <x v="0"/>
    <n v="0"/>
    <x v="2"/>
    <x v="1"/>
    <n v="14323"/>
    <n v="3.34"/>
    <n v="4"/>
  </r>
  <r>
    <x v="0"/>
    <s v="ID.3"/>
    <x v="5"/>
    <x v="2"/>
    <n v="92636.43"/>
    <n v="109.7"/>
    <n v="373"/>
    <n v="74.5"/>
    <n v="4.4400000000000004"/>
    <n v="188"/>
    <n v="1000"/>
    <n v="867"/>
    <s v="FWD"/>
    <n v="7"/>
    <x v="0"/>
    <n v="56.1"/>
    <n v="2583"/>
    <x v="1"/>
    <n v="0"/>
    <x v="0"/>
    <x v="2"/>
    <n v="243081"/>
    <n v="3.92"/>
    <n v="3"/>
  </r>
  <r>
    <x v="10"/>
    <s v="i7"/>
    <x v="2"/>
    <x v="4"/>
    <n v="64827.83"/>
    <n v="42.9"/>
    <n v="150"/>
    <n v="89.3"/>
    <n v="5.19"/>
    <n v="176"/>
    <n v="368"/>
    <n v="312"/>
    <s v="RWD"/>
    <n v="5"/>
    <x v="1"/>
    <n v="38.299999999999997"/>
    <n v="2130"/>
    <x v="0"/>
    <n v="2"/>
    <x v="0"/>
    <x v="1"/>
    <n v="69279"/>
    <n v="3.23"/>
    <n v="7"/>
  </r>
  <r>
    <x v="3"/>
    <s v="Niro EV"/>
    <x v="3"/>
    <x v="0"/>
    <n v="56005.31"/>
    <n v="102.7"/>
    <n v="361"/>
    <n v="216.5"/>
    <n v="4.41"/>
    <n v="184"/>
    <n v="592"/>
    <n v="524"/>
    <s v="AWD"/>
    <n v="7"/>
    <x v="5"/>
    <n v="22.4"/>
    <n v="1649"/>
    <x v="1"/>
    <n v="0"/>
    <x v="3"/>
    <x v="1"/>
    <n v="96451"/>
    <n v="3.9"/>
    <n v="5"/>
  </r>
  <r>
    <x v="11"/>
    <s v="Q6 e-tron"/>
    <x v="6"/>
    <x v="4"/>
    <n v="102595.23"/>
    <n v="84.1"/>
    <n v="278"/>
    <n v="83.1"/>
    <n v="7.86"/>
    <n v="128"/>
    <n v="773"/>
    <n v="639"/>
    <s v="FWD"/>
    <n v="5"/>
    <x v="4"/>
    <n v="31.5"/>
    <n v="1500"/>
    <x v="2"/>
    <n v="1"/>
    <x v="0"/>
    <x v="0"/>
    <n v="45569"/>
    <n v="3.67"/>
    <n v="8"/>
  </r>
  <r>
    <x v="4"/>
    <s v="Model Y"/>
    <x v="1"/>
    <x v="1"/>
    <n v="74321.009999999995"/>
    <n v="61.2"/>
    <n v="226"/>
    <n v="217.2"/>
    <n v="7.98"/>
    <n v="118"/>
    <n v="555"/>
    <n v="457"/>
    <s v="FWD"/>
    <n v="7"/>
    <x v="0"/>
    <n v="67.599999999999994"/>
    <n v="2356"/>
    <x v="1"/>
    <n v="3"/>
    <x v="2"/>
    <x v="2"/>
    <n v="438573"/>
    <n v="3.82"/>
    <n v="5"/>
  </r>
  <r>
    <x v="7"/>
    <s v="Qin"/>
    <x v="0"/>
    <x v="3"/>
    <n v="51321.91"/>
    <n v="45.9"/>
    <n v="150"/>
    <n v="53.5"/>
    <n v="6.62"/>
    <n v="156"/>
    <n v="523"/>
    <n v="464"/>
    <s v="RWD"/>
    <n v="7"/>
    <x v="3"/>
    <n v="36"/>
    <n v="1815"/>
    <x v="1"/>
    <n v="1"/>
    <x v="4"/>
    <x v="1"/>
    <n v="135053"/>
    <n v="3.36"/>
    <n v="4"/>
  </r>
  <r>
    <x v="1"/>
    <s v="bZ4X"/>
    <x v="2"/>
    <x v="4"/>
    <n v="61582.84"/>
    <n v="62.3"/>
    <n v="215"/>
    <n v="127.5"/>
    <n v="7.4"/>
    <n v="130"/>
    <n v="668"/>
    <n v="665"/>
    <s v="FWD"/>
    <n v="5"/>
    <x v="3"/>
    <n v="35.5"/>
    <n v="1929"/>
    <x v="1"/>
    <n v="2"/>
    <x v="1"/>
    <x v="1"/>
    <n v="26767"/>
    <n v="3.22"/>
    <n v="3"/>
  </r>
  <r>
    <x v="11"/>
    <s v="Q6 e-tron"/>
    <x v="1"/>
    <x v="3"/>
    <n v="87894.85"/>
    <n v="84.4"/>
    <n v="315"/>
    <n v="107.6"/>
    <n v="7.62"/>
    <n v="136"/>
    <n v="609"/>
    <n v="589"/>
    <s v="FWD"/>
    <n v="7"/>
    <x v="3"/>
    <n v="22.7"/>
    <n v="1500"/>
    <x v="1"/>
    <n v="1"/>
    <x v="0"/>
    <x v="2"/>
    <n v="64291"/>
    <n v="3.45"/>
    <n v="6"/>
  </r>
  <r>
    <x v="0"/>
    <s v="ID.3"/>
    <x v="3"/>
    <x v="0"/>
    <n v="88484.86"/>
    <n v="105.9"/>
    <n v="381"/>
    <n v="231.1"/>
    <n v="3.32"/>
    <n v="196"/>
    <n v="983"/>
    <n v="930"/>
    <s v="RWD"/>
    <n v="7"/>
    <x v="4"/>
    <n v="16.3"/>
    <n v="1717"/>
    <x v="2"/>
    <n v="0"/>
    <x v="0"/>
    <x v="2"/>
    <n v="285530"/>
    <n v="3.65"/>
    <n v="4"/>
  </r>
  <r>
    <x v="10"/>
    <s v="i3"/>
    <x v="0"/>
    <x v="1"/>
    <n v="102426.61"/>
    <n v="53.1"/>
    <n v="197"/>
    <n v="50.8"/>
    <n v="6.62"/>
    <n v="146"/>
    <n v="829"/>
    <n v="771"/>
    <s v="RWD"/>
    <n v="7"/>
    <x v="0"/>
    <n v="63.4"/>
    <n v="2700"/>
    <x v="1"/>
    <n v="1"/>
    <x v="0"/>
    <x v="0"/>
    <n v="26181"/>
    <n v="3.26"/>
    <n v="5"/>
  </r>
  <r>
    <x v="7"/>
    <s v="Max"/>
    <x v="3"/>
    <x v="1"/>
    <n v="104281.84"/>
    <n v="69.7"/>
    <n v="233"/>
    <n v="138.30000000000001"/>
    <n v="5.5"/>
    <n v="170"/>
    <n v="1000"/>
    <n v="890"/>
    <s v="AWD"/>
    <n v="7"/>
    <x v="2"/>
    <n v="70.400000000000006"/>
    <n v="1633"/>
    <x v="0"/>
    <n v="1"/>
    <x v="4"/>
    <x v="0"/>
    <n v="164080"/>
    <n v="3.52"/>
    <n v="4"/>
  </r>
  <r>
    <x v="4"/>
    <s v="Model X"/>
    <x v="5"/>
    <x v="0"/>
    <n v="167028.1"/>
    <n v="106.1"/>
    <n v="356"/>
    <n v="325.39999999999998"/>
    <n v="4.37"/>
    <n v="186"/>
    <n v="1000"/>
    <n v="866"/>
    <s v="AWD"/>
    <n v="7"/>
    <x v="1"/>
    <n v="42.1"/>
    <n v="2121"/>
    <x v="0"/>
    <n v="2"/>
    <x v="2"/>
    <x v="0"/>
    <n v="191484"/>
    <n v="4.17"/>
    <n v="5"/>
  </r>
  <r>
    <x v="8"/>
    <s v="Ioniq 6"/>
    <x v="2"/>
    <x v="1"/>
    <n v="45546.32"/>
    <n v="45.1"/>
    <n v="160"/>
    <n v="121.2"/>
    <n v="5.18"/>
    <n v="171"/>
    <n v="424"/>
    <n v="385"/>
    <s v="RWD"/>
    <n v="7"/>
    <x v="5"/>
    <n v="27.7"/>
    <n v="1514"/>
    <x v="0"/>
    <n v="0"/>
    <x v="3"/>
    <x v="1"/>
    <n v="71807"/>
    <n v="3.28"/>
    <n v="4"/>
  </r>
  <r>
    <x v="7"/>
    <s v="Max"/>
    <x v="3"/>
    <x v="4"/>
    <n v="86288.72"/>
    <n v="81.900000000000006"/>
    <n v="311"/>
    <n v="145.1"/>
    <n v="5.25"/>
    <n v="174"/>
    <n v="1000"/>
    <n v="911"/>
    <s v="FWD"/>
    <n v="5"/>
    <x v="2"/>
    <n v="61.8"/>
    <n v="1500"/>
    <x v="0"/>
    <n v="0"/>
    <x v="4"/>
    <x v="2"/>
    <n v="120560"/>
    <n v="3.71"/>
    <n v="3"/>
  </r>
  <r>
    <x v="3"/>
    <s v="Picanto EV"/>
    <x v="3"/>
    <x v="3"/>
    <n v="58803.16"/>
    <n v="70.099999999999994"/>
    <n v="248"/>
    <n v="86.3"/>
    <n v="7.19"/>
    <n v="153"/>
    <n v="636"/>
    <n v="517"/>
    <s v="FWD"/>
    <n v="5"/>
    <x v="0"/>
    <n v="68.8"/>
    <n v="2466"/>
    <x v="0"/>
    <n v="1"/>
    <x v="3"/>
    <x v="1"/>
    <n v="111130"/>
    <n v="3.52"/>
    <n v="3"/>
  </r>
  <r>
    <x v="4"/>
    <s v="Model S"/>
    <x v="0"/>
    <x v="4"/>
    <n v="44024.89"/>
    <n v="81.599999999999994"/>
    <n v="284"/>
    <n v="302"/>
    <n v="7.69"/>
    <n v="143"/>
    <n v="283"/>
    <n v="237"/>
    <s v="FWD"/>
    <n v="7"/>
    <x v="0"/>
    <n v="70.900000000000006"/>
    <n v="2856"/>
    <x v="1"/>
    <n v="3"/>
    <x v="2"/>
    <x v="1"/>
    <n v="124369"/>
    <n v="3.76"/>
    <n v="5"/>
  </r>
  <r>
    <x v="6"/>
    <s v="Ocean"/>
    <x v="2"/>
    <x v="2"/>
    <n v="113331.61"/>
    <n v="84.6"/>
    <n v="274"/>
    <n v="74.400000000000006"/>
    <n v="4.8600000000000003"/>
    <n v="170"/>
    <n v="1000"/>
    <n v="895"/>
    <s v="RWD"/>
    <n v="5"/>
    <x v="0"/>
    <n v="57.1"/>
    <n v="2457"/>
    <x v="1"/>
    <n v="0"/>
    <x v="2"/>
    <x v="0"/>
    <n v="17978"/>
    <n v="3.23"/>
    <n v="3"/>
  </r>
  <r>
    <x v="14"/>
    <s v="Taycan"/>
    <x v="2"/>
    <x v="2"/>
    <n v="111922.96"/>
    <n v="102.7"/>
    <n v="358"/>
    <n v="276.89999999999998"/>
    <n v="4.29"/>
    <n v="188"/>
    <n v="371"/>
    <n v="339"/>
    <s v="FWD"/>
    <n v="7"/>
    <x v="3"/>
    <n v="23"/>
    <n v="1657"/>
    <x v="1"/>
    <n v="0"/>
    <x v="0"/>
    <x v="0"/>
    <n v="28429"/>
    <n v="3.99"/>
    <n v="5"/>
  </r>
  <r>
    <x v="2"/>
    <s v="Silverado EV"/>
    <x v="2"/>
    <x v="0"/>
    <n v="74262.98"/>
    <n v="80.7"/>
    <n v="285"/>
    <n v="195.8"/>
    <n v="3.55"/>
    <n v="197"/>
    <n v="1000"/>
    <n v="892"/>
    <s v="RWD"/>
    <n v="7"/>
    <x v="5"/>
    <n v="38.9"/>
    <n v="1589"/>
    <x v="1"/>
    <n v="0"/>
    <x v="2"/>
    <x v="2"/>
    <n v="24171"/>
    <n v="3.38"/>
    <n v="4"/>
  </r>
  <r>
    <x v="8"/>
    <s v="Ioniq 5"/>
    <x v="2"/>
    <x v="2"/>
    <n v="41621.620000000003"/>
    <n v="97.9"/>
    <n v="365"/>
    <n v="103.1"/>
    <n v="5.66"/>
    <n v="162"/>
    <n v="362"/>
    <n v="322"/>
    <s v="FWD"/>
    <n v="5"/>
    <x v="3"/>
    <n v="39"/>
    <n v="1900"/>
    <x v="1"/>
    <n v="1"/>
    <x v="3"/>
    <x v="1"/>
    <n v="70525"/>
    <n v="3.62"/>
    <n v="4"/>
  </r>
  <r>
    <x v="7"/>
    <s v="Qin"/>
    <x v="3"/>
    <x v="0"/>
    <n v="122517.87"/>
    <n v="73.599999999999994"/>
    <n v="252"/>
    <n v="225.1"/>
    <n v="2.78"/>
    <n v="200"/>
    <n v="1000"/>
    <n v="873"/>
    <s v="AWD"/>
    <n v="7"/>
    <x v="3"/>
    <n v="25.6"/>
    <n v="1755"/>
    <x v="0"/>
    <n v="0"/>
    <x v="4"/>
    <x v="0"/>
    <n v="150780"/>
    <n v="3.44"/>
    <n v="3"/>
  </r>
  <r>
    <x v="9"/>
    <s v="F-150 Lightning"/>
    <x v="4"/>
    <x v="3"/>
    <n v="63458.62"/>
    <n v="66.8"/>
    <n v="253"/>
    <n v="128.6"/>
    <n v="7.67"/>
    <n v="136"/>
    <n v="700"/>
    <n v="632"/>
    <s v="RWD"/>
    <n v="4"/>
    <x v="0"/>
    <n v="72.900000000000006"/>
    <n v="2629"/>
    <x v="0"/>
    <n v="1"/>
    <x v="2"/>
    <x v="1"/>
    <n v="76517"/>
    <n v="3.4"/>
    <n v="4"/>
  </r>
  <r>
    <x v="10"/>
    <s v="i5"/>
    <x v="0"/>
    <x v="1"/>
    <n v="140938.73000000001"/>
    <n v="59.3"/>
    <n v="195"/>
    <n v="101.9"/>
    <n v="6.9"/>
    <n v="137"/>
    <n v="1000"/>
    <n v="942"/>
    <s v="RWD"/>
    <n v="5"/>
    <x v="1"/>
    <n v="37.6"/>
    <n v="1843"/>
    <x v="1"/>
    <n v="1"/>
    <x v="0"/>
    <x v="0"/>
    <n v="51811"/>
    <n v="3.11"/>
    <n v="8"/>
  </r>
  <r>
    <x v="4"/>
    <s v="Model 3"/>
    <x v="3"/>
    <x v="3"/>
    <n v="90298.51"/>
    <n v="49.3"/>
    <n v="183"/>
    <n v="228.4"/>
    <n v="6.81"/>
    <n v="157"/>
    <n v="631"/>
    <n v="512"/>
    <s v="AWD"/>
    <n v="5"/>
    <x v="5"/>
    <n v="37.299999999999997"/>
    <n v="1528"/>
    <x v="2"/>
    <n v="2"/>
    <x v="2"/>
    <x v="2"/>
    <n v="163915"/>
    <n v="3.66"/>
    <n v="5"/>
  </r>
  <r>
    <x v="11"/>
    <s v="Q4 e-tron"/>
    <x v="3"/>
    <x v="3"/>
    <n v="79689.05"/>
    <n v="81.7"/>
    <n v="278"/>
    <n v="148.19999999999999"/>
    <n v="7.13"/>
    <n v="148"/>
    <n v="505"/>
    <n v="432"/>
    <s v="AWD"/>
    <n v="5"/>
    <x v="2"/>
    <n v="68.900000000000006"/>
    <n v="1714"/>
    <x v="0"/>
    <n v="1"/>
    <x v="0"/>
    <x v="2"/>
    <n v="66705"/>
    <n v="3.5"/>
    <n v="7"/>
  </r>
  <r>
    <x v="5"/>
    <s v="EQC"/>
    <x v="5"/>
    <x v="3"/>
    <n v="137679.26999999999"/>
    <n v="71.2"/>
    <n v="244"/>
    <n v="54.3"/>
    <n v="7.92"/>
    <n v="136"/>
    <n v="848"/>
    <n v="725"/>
    <s v="FWD"/>
    <n v="7"/>
    <x v="4"/>
    <n v="15.9"/>
    <n v="1767"/>
    <x v="1"/>
    <n v="1"/>
    <x v="0"/>
    <x v="0"/>
    <n v="34790"/>
    <n v="3.64"/>
    <n v="7"/>
  </r>
  <r>
    <x v="1"/>
    <s v="bZ4X"/>
    <x v="3"/>
    <x v="2"/>
    <n v="72608.92"/>
    <n v="97.1"/>
    <n v="334"/>
    <n v="75.5"/>
    <n v="5.77"/>
    <n v="156"/>
    <n v="912"/>
    <n v="799"/>
    <s v="AWD"/>
    <n v="5"/>
    <x v="5"/>
    <n v="23.1"/>
    <n v="1731"/>
    <x v="0"/>
    <n v="1"/>
    <x v="1"/>
    <x v="2"/>
    <n v="13954"/>
    <n v="3.57"/>
    <n v="4"/>
  </r>
  <r>
    <x v="2"/>
    <s v="Equinox EV"/>
    <x v="3"/>
    <x v="1"/>
    <n v="91034.7"/>
    <n v="47.9"/>
    <n v="164"/>
    <n v="115.9"/>
    <n v="5.45"/>
    <n v="169"/>
    <n v="1000"/>
    <n v="923"/>
    <s v="AWD"/>
    <n v="5"/>
    <x v="1"/>
    <n v="48"/>
    <n v="1847"/>
    <x v="0"/>
    <n v="1"/>
    <x v="2"/>
    <x v="2"/>
    <n v="12825"/>
    <n v="3.46"/>
    <n v="3"/>
  </r>
  <r>
    <x v="3"/>
    <s v="Picanto EV"/>
    <x v="0"/>
    <x v="3"/>
    <n v="42171.81"/>
    <n v="67.099999999999994"/>
    <n v="252"/>
    <n v="141.5"/>
    <n v="7.02"/>
    <n v="155"/>
    <n v="399"/>
    <n v="351"/>
    <s v="AWD"/>
    <n v="5"/>
    <x v="3"/>
    <n v="21.8"/>
    <n v="1500"/>
    <x v="0"/>
    <n v="0"/>
    <x v="3"/>
    <x v="1"/>
    <n v="135630"/>
    <n v="3.6"/>
    <n v="5"/>
  </r>
  <r>
    <x v="0"/>
    <s v="ID. Aero"/>
    <x v="6"/>
    <x v="2"/>
    <n v="40762.980000000003"/>
    <n v="101.5"/>
    <n v="332"/>
    <n v="75.3"/>
    <n v="5.95"/>
    <n v="164"/>
    <n v="315"/>
    <n v="293"/>
    <s v="AWD"/>
    <n v="7"/>
    <x v="4"/>
    <n v="16.399999999999999"/>
    <n v="1532"/>
    <x v="0"/>
    <n v="0"/>
    <x v="0"/>
    <x v="1"/>
    <n v="220087"/>
    <n v="3.39"/>
    <n v="4"/>
  </r>
  <r>
    <x v="13"/>
    <s v="R3"/>
    <x v="3"/>
    <x v="3"/>
    <n v="70880.73"/>
    <n v="80.900000000000006"/>
    <n v="285"/>
    <n v="59.1"/>
    <n v="6.31"/>
    <n v="148"/>
    <n v="218"/>
    <n v="273"/>
    <s v="FWD"/>
    <n v="5"/>
    <x v="0"/>
    <n v="78"/>
    <n v="2589"/>
    <x v="1"/>
    <n v="1"/>
    <x v="2"/>
    <x v="2"/>
    <n v="11173"/>
    <n v="3.44"/>
    <n v="4"/>
  </r>
  <r>
    <x v="5"/>
    <s v="EQS"/>
    <x v="2"/>
    <x v="0"/>
    <n v="114049.24"/>
    <n v="103.4"/>
    <n v="368"/>
    <n v="191.2"/>
    <n v="3.81"/>
    <n v="187"/>
    <n v="607"/>
    <n v="502"/>
    <s v="AWD"/>
    <n v="5"/>
    <x v="2"/>
    <n v="70.2"/>
    <n v="1541"/>
    <x v="1"/>
    <n v="2"/>
    <x v="0"/>
    <x v="0"/>
    <n v="68987"/>
    <n v="3.92"/>
    <n v="6"/>
  </r>
  <r>
    <x v="4"/>
    <s v="Model 3"/>
    <x v="2"/>
    <x v="4"/>
    <n v="36657.019999999997"/>
    <n v="61.2"/>
    <n v="188"/>
    <n v="296.39999999999998"/>
    <n v="7.11"/>
    <n v="144"/>
    <n v="270"/>
    <n v="219"/>
    <s v="AWD"/>
    <n v="5"/>
    <x v="4"/>
    <n v="28.4"/>
    <n v="1813"/>
    <x v="1"/>
    <n v="3"/>
    <x v="2"/>
    <x v="1"/>
    <n v="208877"/>
    <n v="3.91"/>
    <n v="5"/>
  </r>
  <r>
    <x v="4"/>
    <s v="Cybertruck"/>
    <x v="3"/>
    <x v="1"/>
    <n v="124865.93"/>
    <n v="64.900000000000006"/>
    <n v="241"/>
    <n v="330.2"/>
    <n v="7.79"/>
    <n v="124"/>
    <n v="895"/>
    <n v="800"/>
    <s v="AWD"/>
    <n v="5"/>
    <x v="0"/>
    <n v="79.599999999999994"/>
    <n v="2145"/>
    <x v="0"/>
    <n v="2"/>
    <x v="2"/>
    <x v="0"/>
    <n v="223231"/>
    <n v="3.65"/>
    <n v="4"/>
  </r>
  <r>
    <x v="0"/>
    <s v="ID. Buzz"/>
    <x v="5"/>
    <x v="3"/>
    <n v="46634.879999999997"/>
    <n v="48.4"/>
    <n v="169"/>
    <n v="105.6"/>
    <n v="7.47"/>
    <n v="137"/>
    <n v="418"/>
    <n v="376"/>
    <s v="FWD"/>
    <n v="7"/>
    <x v="2"/>
    <n v="77.099999999999994"/>
    <n v="1500"/>
    <x v="0"/>
    <n v="2"/>
    <x v="0"/>
    <x v="1"/>
    <n v="203221"/>
    <n v="3.33"/>
    <n v="4"/>
  </r>
  <r>
    <x v="9"/>
    <s v="Explorer EV"/>
    <x v="0"/>
    <x v="4"/>
    <n v="68553.62"/>
    <n v="71.3"/>
    <n v="243"/>
    <n v="137.1"/>
    <n v="5.0199999999999996"/>
    <n v="173"/>
    <n v="722"/>
    <n v="627"/>
    <s v="FWD"/>
    <n v="5"/>
    <x v="1"/>
    <n v="44.5"/>
    <n v="1984"/>
    <x v="1"/>
    <n v="0"/>
    <x v="2"/>
    <x v="2"/>
    <n v="60519"/>
    <n v="3.36"/>
    <n v="5"/>
  </r>
  <r>
    <x v="14"/>
    <s v="Taycan"/>
    <x v="0"/>
    <x v="0"/>
    <n v="254017.08"/>
    <n v="118.1"/>
    <n v="408"/>
    <n v="222.2"/>
    <n v="3.9"/>
    <n v="190"/>
    <n v="1000"/>
    <n v="936"/>
    <s v="AWD"/>
    <n v="5"/>
    <x v="5"/>
    <n v="21.8"/>
    <n v="1500"/>
    <x v="1"/>
    <n v="0"/>
    <x v="0"/>
    <x v="0"/>
    <n v="26159"/>
    <n v="4.2"/>
    <n v="8"/>
  </r>
  <r>
    <x v="4"/>
    <s v="Model X"/>
    <x v="4"/>
    <x v="4"/>
    <n v="27945.8"/>
    <n v="48.4"/>
    <n v="157"/>
    <n v="300.2"/>
    <n v="7.15"/>
    <n v="149"/>
    <n v="188"/>
    <n v="200"/>
    <s v="AWD"/>
    <n v="7"/>
    <x v="3"/>
    <n v="39.700000000000003"/>
    <n v="1891"/>
    <x v="1"/>
    <n v="2"/>
    <x v="2"/>
    <x v="3"/>
    <n v="162791"/>
    <n v="3.38"/>
    <n v="6"/>
  </r>
  <r>
    <x v="3"/>
    <s v="Niro EV"/>
    <x v="2"/>
    <x v="0"/>
    <n v="51697.58"/>
    <n v="115.1"/>
    <n v="396"/>
    <n v="187.6"/>
    <n v="3.39"/>
    <n v="194"/>
    <n v="533"/>
    <n v="497"/>
    <s v="RWD"/>
    <n v="5"/>
    <x v="0"/>
    <n v="72.400000000000006"/>
    <n v="2631"/>
    <x v="1"/>
    <n v="1"/>
    <x v="3"/>
    <x v="1"/>
    <n v="56242"/>
    <n v="3.84"/>
    <n v="4"/>
  </r>
  <r>
    <x v="0"/>
    <s v="ID.4"/>
    <x v="2"/>
    <x v="4"/>
    <n v="36019.25"/>
    <n v="63.3"/>
    <n v="224"/>
    <n v="133.5"/>
    <n v="6.85"/>
    <n v="140"/>
    <n v="257"/>
    <n v="296"/>
    <s v="RWD"/>
    <n v="7"/>
    <x v="3"/>
    <n v="18.5"/>
    <n v="1771"/>
    <x v="0"/>
    <n v="0"/>
    <x v="0"/>
    <x v="1"/>
    <n v="209890"/>
    <n v="3.52"/>
    <n v="4"/>
  </r>
  <r>
    <x v="6"/>
    <s v="Ocean"/>
    <x v="2"/>
    <x v="1"/>
    <n v="121374.95"/>
    <n v="70.8"/>
    <n v="262"/>
    <n v="142.80000000000001"/>
    <n v="6.04"/>
    <n v="153"/>
    <n v="1000"/>
    <n v="845"/>
    <s v="AWD"/>
    <n v="7"/>
    <x v="2"/>
    <n v="69.2"/>
    <n v="1768"/>
    <x v="2"/>
    <n v="0"/>
    <x v="2"/>
    <x v="0"/>
    <n v="26859"/>
    <n v="3.7"/>
    <n v="5"/>
  </r>
  <r>
    <x v="5"/>
    <s v="EQG"/>
    <x v="5"/>
    <x v="1"/>
    <n v="115211.58"/>
    <n v="57.3"/>
    <n v="174"/>
    <n v="69.8"/>
    <n v="6.09"/>
    <n v="161"/>
    <n v="622"/>
    <n v="619"/>
    <s v="RWD"/>
    <n v="7"/>
    <x v="5"/>
    <n v="15.5"/>
    <n v="1500"/>
    <x v="0"/>
    <n v="1"/>
    <x v="0"/>
    <x v="0"/>
    <n v="42340"/>
    <n v="3.43"/>
    <n v="6"/>
  </r>
  <r>
    <x v="5"/>
    <s v="EQG"/>
    <x v="3"/>
    <x v="4"/>
    <n v="139106.45000000001"/>
    <n v="61.4"/>
    <n v="208"/>
    <n v="51.8"/>
    <n v="6.86"/>
    <n v="150"/>
    <n v="922"/>
    <n v="787"/>
    <s v="RWD"/>
    <n v="7"/>
    <x v="4"/>
    <n v="38.5"/>
    <n v="1656"/>
    <x v="1"/>
    <n v="1"/>
    <x v="0"/>
    <x v="0"/>
    <n v="49644"/>
    <n v="3.35"/>
    <n v="6"/>
  </r>
  <r>
    <x v="8"/>
    <s v="i30"/>
    <x v="3"/>
    <x v="4"/>
    <n v="60050.99"/>
    <n v="47.8"/>
    <n v="165"/>
    <n v="73.099999999999994"/>
    <n v="7.67"/>
    <n v="133"/>
    <n v="663"/>
    <n v="681"/>
    <s v="AWD"/>
    <n v="5"/>
    <x v="3"/>
    <n v="24.1"/>
    <n v="1500"/>
    <x v="0"/>
    <n v="1"/>
    <x v="3"/>
    <x v="1"/>
    <n v="138281"/>
    <n v="3.21"/>
    <n v="3"/>
  </r>
  <r>
    <x v="0"/>
    <s v="ID.4"/>
    <x v="5"/>
    <x v="4"/>
    <n v="44501.34"/>
    <n v="41.7"/>
    <n v="150"/>
    <n v="146"/>
    <n v="7.64"/>
    <n v="135"/>
    <n v="378"/>
    <n v="326"/>
    <s v="FWD"/>
    <n v="7"/>
    <x v="4"/>
    <n v="34.299999999999997"/>
    <n v="1547"/>
    <x v="1"/>
    <n v="1"/>
    <x v="0"/>
    <x v="1"/>
    <n v="220387"/>
    <n v="3.14"/>
    <n v="5"/>
  </r>
  <r>
    <x v="7"/>
    <s v="Yuan Plus"/>
    <x v="2"/>
    <x v="3"/>
    <n v="40390.03"/>
    <n v="62.1"/>
    <n v="232"/>
    <n v="89.4"/>
    <n v="7.19"/>
    <n v="138"/>
    <n v="402"/>
    <n v="324"/>
    <s v="AWD"/>
    <n v="7"/>
    <x v="4"/>
    <n v="35.4"/>
    <n v="1810"/>
    <x v="1"/>
    <n v="0"/>
    <x v="4"/>
    <x v="1"/>
    <n v="138054"/>
    <n v="3.39"/>
    <n v="4"/>
  </r>
  <r>
    <x v="4"/>
    <s v="Cybertruck"/>
    <x v="2"/>
    <x v="2"/>
    <n v="45682.18"/>
    <n v="109.7"/>
    <n v="377"/>
    <n v="312.89999999999998"/>
    <n v="5.32"/>
    <n v="165"/>
    <n v="335"/>
    <n v="376"/>
    <s v="RWD"/>
    <n v="5"/>
    <x v="0"/>
    <n v="63.3"/>
    <n v="2562"/>
    <x v="0"/>
    <n v="2"/>
    <x v="2"/>
    <x v="1"/>
    <n v="170687"/>
    <n v="3.94"/>
    <n v="4"/>
  </r>
  <r>
    <x v="5"/>
    <s v="EQE"/>
    <x v="3"/>
    <x v="4"/>
    <n v="103044.63"/>
    <n v="78.900000000000006"/>
    <n v="264"/>
    <n v="128.1"/>
    <n v="7.97"/>
    <n v="132"/>
    <n v="592"/>
    <n v="542"/>
    <s v="AWD"/>
    <n v="5"/>
    <x v="2"/>
    <n v="63.3"/>
    <n v="1542"/>
    <x v="1"/>
    <n v="1"/>
    <x v="0"/>
    <x v="0"/>
    <n v="75663"/>
    <n v="3.56"/>
    <n v="5"/>
  </r>
  <r>
    <x v="9"/>
    <s v="Mustang Mach-E"/>
    <x v="5"/>
    <x v="2"/>
    <n v="53193.55"/>
    <n v="98"/>
    <n v="364"/>
    <n v="83.3"/>
    <n v="5.19"/>
    <n v="173"/>
    <n v="541"/>
    <n v="487"/>
    <s v="RWD"/>
    <n v="7"/>
    <x v="2"/>
    <n v="70.2"/>
    <n v="1783"/>
    <x v="0"/>
    <n v="2"/>
    <x v="2"/>
    <x v="1"/>
    <n v="23578"/>
    <n v="3.93"/>
    <n v="4"/>
  </r>
  <r>
    <x v="17"/>
    <s v="e:Ny1"/>
    <x v="5"/>
    <x v="0"/>
    <n v="51309.25"/>
    <n v="118.5"/>
    <n v="410"/>
    <n v="188.1"/>
    <n v="3.03"/>
    <n v="200"/>
    <n v="742"/>
    <n v="677"/>
    <s v="RWD"/>
    <n v="5"/>
    <x v="5"/>
    <n v="36.5"/>
    <n v="1557"/>
    <x v="1"/>
    <n v="1"/>
    <x v="1"/>
    <x v="1"/>
    <n v="6885"/>
    <n v="3.78"/>
    <n v="5"/>
  </r>
  <r>
    <x v="18"/>
    <s v="SU7"/>
    <x v="2"/>
    <x v="0"/>
    <n v="102584.09"/>
    <n v="74.5"/>
    <n v="250"/>
    <n v="185.6"/>
    <n v="3.7"/>
    <n v="195"/>
    <n v="1000"/>
    <n v="937"/>
    <s v="AWD"/>
    <n v="5"/>
    <x v="3"/>
    <n v="38.5"/>
    <n v="1831"/>
    <x v="1"/>
    <n v="0"/>
    <x v="4"/>
    <x v="0"/>
    <n v="19780"/>
    <n v="3.36"/>
    <n v="4"/>
  </r>
  <r>
    <x v="3"/>
    <s v="Sportage EV"/>
    <x v="2"/>
    <x v="2"/>
    <n v="99048.18"/>
    <n v="89"/>
    <n v="324"/>
    <n v="92.3"/>
    <n v="5.55"/>
    <n v="168"/>
    <n v="1000"/>
    <n v="907"/>
    <s v="FWD"/>
    <n v="7"/>
    <x v="1"/>
    <n v="40.6"/>
    <n v="2057"/>
    <x v="1"/>
    <n v="0"/>
    <x v="3"/>
    <x v="2"/>
    <n v="55742"/>
    <n v="3.56"/>
    <n v="4"/>
  </r>
  <r>
    <x v="9"/>
    <s v="Mustang Mach-E"/>
    <x v="0"/>
    <x v="3"/>
    <n v="67976.38"/>
    <n v="49"/>
    <n v="179"/>
    <n v="107.9"/>
    <n v="5.74"/>
    <n v="166"/>
    <n v="778"/>
    <n v="690"/>
    <s v="AWD"/>
    <n v="7"/>
    <x v="1"/>
    <n v="39.700000000000003"/>
    <n v="2302"/>
    <x v="0"/>
    <n v="0"/>
    <x v="2"/>
    <x v="2"/>
    <n v="21067"/>
    <n v="3.27"/>
    <n v="3"/>
  </r>
  <r>
    <x v="1"/>
    <s v="bZ4X"/>
    <x v="0"/>
    <x v="4"/>
    <n v="69285.919999999998"/>
    <n v="67.099999999999994"/>
    <n v="201"/>
    <n v="99.7"/>
    <n v="5.12"/>
    <n v="168"/>
    <n v="831"/>
    <n v="745"/>
    <s v="AWD"/>
    <n v="7"/>
    <x v="3"/>
    <n v="36.200000000000003"/>
    <n v="1552"/>
    <x v="1"/>
    <n v="1"/>
    <x v="1"/>
    <x v="2"/>
    <n v="15625"/>
    <n v="3.58"/>
    <n v="4"/>
  </r>
  <r>
    <x v="5"/>
    <s v="EQC"/>
    <x v="2"/>
    <x v="0"/>
    <n v="167898.8"/>
    <n v="106"/>
    <n v="375"/>
    <n v="218.2"/>
    <n v="3.4"/>
    <n v="200"/>
    <n v="1000"/>
    <n v="941"/>
    <s v="RWD"/>
    <n v="5"/>
    <x v="4"/>
    <n v="24.5"/>
    <n v="1729"/>
    <x v="0"/>
    <n v="1"/>
    <x v="0"/>
    <x v="0"/>
    <n v="20936"/>
    <n v="4.04"/>
    <n v="6"/>
  </r>
  <r>
    <x v="7"/>
    <s v="Qin"/>
    <x v="3"/>
    <x v="4"/>
    <n v="36623.25"/>
    <n v="43.3"/>
    <n v="164"/>
    <n v="149.80000000000001"/>
    <n v="7.7"/>
    <n v="139"/>
    <n v="344"/>
    <n v="318"/>
    <s v="FWD"/>
    <n v="5"/>
    <x v="0"/>
    <n v="59.5"/>
    <n v="2509"/>
    <x v="1"/>
    <n v="0"/>
    <x v="4"/>
    <x v="1"/>
    <n v="185983"/>
    <n v="3.42"/>
    <n v="5"/>
  </r>
  <r>
    <x v="0"/>
    <s v="ID.5"/>
    <x v="3"/>
    <x v="3"/>
    <n v="30097.01"/>
    <n v="74.3"/>
    <n v="267"/>
    <n v="58.6"/>
    <n v="7.84"/>
    <n v="127"/>
    <n v="150"/>
    <n v="200"/>
    <s v="AWD"/>
    <n v="7"/>
    <x v="4"/>
    <n v="36.6"/>
    <n v="1883"/>
    <x v="1"/>
    <n v="0"/>
    <x v="0"/>
    <x v="3"/>
    <n v="289031"/>
    <n v="3.27"/>
    <n v="5"/>
  </r>
  <r>
    <x v="4"/>
    <s v="Model S"/>
    <x v="0"/>
    <x v="0"/>
    <n v="82511.11"/>
    <n v="85.6"/>
    <n v="289"/>
    <n v="232"/>
    <n v="4.3099999999999996"/>
    <n v="180"/>
    <n v="553"/>
    <n v="487"/>
    <s v="FWD"/>
    <n v="5"/>
    <x v="4"/>
    <n v="35.200000000000003"/>
    <n v="1518"/>
    <x v="0"/>
    <n v="2"/>
    <x v="2"/>
    <x v="2"/>
    <n v="243479"/>
    <n v="3.78"/>
    <n v="5"/>
  </r>
  <r>
    <x v="1"/>
    <s v="bZ Compact SUV"/>
    <x v="1"/>
    <x v="0"/>
    <n v="56751.98"/>
    <n v="90.8"/>
    <n v="324"/>
    <n v="228.5"/>
    <n v="3.6"/>
    <n v="191"/>
    <n v="598"/>
    <n v="543"/>
    <s v="RWD"/>
    <n v="5"/>
    <x v="1"/>
    <n v="50.7"/>
    <n v="2143"/>
    <x v="1"/>
    <n v="1"/>
    <x v="1"/>
    <x v="1"/>
    <n v="9887"/>
    <n v="3.39"/>
    <n v="3"/>
  </r>
  <r>
    <x v="3"/>
    <s v="EV6"/>
    <x v="2"/>
    <x v="3"/>
    <n v="30277.360000000001"/>
    <n v="62.3"/>
    <n v="226"/>
    <n v="143.80000000000001"/>
    <n v="5.42"/>
    <n v="172"/>
    <n v="150"/>
    <n v="200"/>
    <s v="RWD"/>
    <n v="5"/>
    <x v="2"/>
    <n v="75.2"/>
    <n v="1644"/>
    <x v="1"/>
    <n v="1"/>
    <x v="3"/>
    <x v="3"/>
    <n v="130299"/>
    <n v="3.2"/>
    <n v="5"/>
  </r>
  <r>
    <x v="7"/>
    <s v="Qin"/>
    <x v="2"/>
    <x v="0"/>
    <n v="103480.37"/>
    <n v="104.9"/>
    <n v="347"/>
    <n v="176.2"/>
    <n v="2.95"/>
    <n v="200"/>
    <n v="1000"/>
    <n v="907"/>
    <s v="RWD"/>
    <n v="7"/>
    <x v="1"/>
    <n v="64.3"/>
    <n v="2052"/>
    <x v="0"/>
    <n v="0"/>
    <x v="4"/>
    <x v="0"/>
    <n v="211837"/>
    <n v="3.58"/>
    <n v="5"/>
  </r>
  <r>
    <x v="10"/>
    <s v="i7"/>
    <x v="5"/>
    <x v="3"/>
    <n v="48107.44"/>
    <n v="41.6"/>
    <n v="150"/>
    <n v="139"/>
    <n v="5.91"/>
    <n v="169"/>
    <n v="156"/>
    <n v="200"/>
    <s v="AWD"/>
    <n v="7"/>
    <x v="1"/>
    <n v="45.9"/>
    <n v="2060"/>
    <x v="0"/>
    <n v="1"/>
    <x v="0"/>
    <x v="1"/>
    <n v="49300"/>
    <n v="3.02"/>
    <n v="7"/>
  </r>
  <r>
    <x v="3"/>
    <s v="Sportage EV"/>
    <x v="0"/>
    <x v="1"/>
    <n v="102070.65"/>
    <n v="49.5"/>
    <n v="174"/>
    <n v="64.3"/>
    <n v="5.56"/>
    <n v="163"/>
    <n v="1000"/>
    <n v="940"/>
    <s v="FWD"/>
    <n v="7"/>
    <x v="1"/>
    <n v="50.1"/>
    <n v="1859"/>
    <x v="2"/>
    <n v="2"/>
    <x v="3"/>
    <x v="0"/>
    <n v="148039"/>
    <n v="3.37"/>
    <n v="4"/>
  </r>
  <r>
    <x v="0"/>
    <s v="ID.3"/>
    <x v="3"/>
    <x v="1"/>
    <n v="94110.75"/>
    <n v="60.5"/>
    <n v="194"/>
    <n v="64"/>
    <n v="6.75"/>
    <n v="149"/>
    <n v="1000"/>
    <n v="888"/>
    <s v="AWD"/>
    <n v="7"/>
    <x v="2"/>
    <n v="70.2"/>
    <n v="1687"/>
    <x v="1"/>
    <n v="1"/>
    <x v="0"/>
    <x v="2"/>
    <n v="225387"/>
    <n v="3.43"/>
    <n v="4"/>
  </r>
  <r>
    <x v="4"/>
    <s v="Cybertruck"/>
    <x v="3"/>
    <x v="4"/>
    <n v="125305.65"/>
    <n v="42"/>
    <n v="158"/>
    <n v="277.7"/>
    <n v="6.96"/>
    <n v="136"/>
    <n v="868"/>
    <n v="786"/>
    <s v="AWD"/>
    <n v="7"/>
    <x v="0"/>
    <n v="57.9"/>
    <n v="2372"/>
    <x v="0"/>
    <n v="2"/>
    <x v="2"/>
    <x v="0"/>
    <n v="199754"/>
    <n v="3.28"/>
    <n v="5"/>
  </r>
  <r>
    <x v="10"/>
    <s v="i7"/>
    <x v="5"/>
    <x v="0"/>
    <n v="116974.41"/>
    <n v="71.900000000000006"/>
    <n v="251"/>
    <n v="175.3"/>
    <n v="3.87"/>
    <n v="190"/>
    <n v="1000"/>
    <n v="909"/>
    <s v="RWD"/>
    <n v="5"/>
    <x v="0"/>
    <n v="53.7"/>
    <n v="2650"/>
    <x v="1"/>
    <n v="2"/>
    <x v="0"/>
    <x v="0"/>
    <n v="50944"/>
    <n v="3.38"/>
    <n v="6"/>
  </r>
  <r>
    <x v="8"/>
    <s v="Ioniq 6"/>
    <x v="2"/>
    <x v="2"/>
    <n v="84751.75"/>
    <n v="83.1"/>
    <n v="305"/>
    <n v="97.4"/>
    <n v="5.49"/>
    <n v="169"/>
    <n v="1000"/>
    <n v="924"/>
    <s v="RWD"/>
    <n v="5"/>
    <x v="2"/>
    <n v="61"/>
    <n v="1511"/>
    <x v="1"/>
    <n v="0"/>
    <x v="3"/>
    <x v="2"/>
    <n v="53893"/>
    <n v="3.55"/>
    <n v="3"/>
  </r>
  <r>
    <x v="9"/>
    <s v="Explorer EV"/>
    <x v="3"/>
    <x v="4"/>
    <n v="65329.39"/>
    <n v="49.5"/>
    <n v="157"/>
    <n v="137.30000000000001"/>
    <n v="6.01"/>
    <n v="165"/>
    <n v="671"/>
    <n v="629"/>
    <s v="RWD"/>
    <n v="7"/>
    <x v="4"/>
    <n v="22"/>
    <n v="1592"/>
    <x v="0"/>
    <n v="2"/>
    <x v="2"/>
    <x v="2"/>
    <n v="24686"/>
    <n v="3.21"/>
    <n v="4"/>
  </r>
  <r>
    <x v="8"/>
    <s v="Ioniq"/>
    <x v="5"/>
    <x v="2"/>
    <n v="78614.710000000006"/>
    <n v="78"/>
    <n v="278"/>
    <n v="57.5"/>
    <n v="5.83"/>
    <n v="159"/>
    <n v="987"/>
    <n v="924"/>
    <s v="FWD"/>
    <n v="5"/>
    <x v="0"/>
    <n v="67.3"/>
    <n v="2653"/>
    <x v="1"/>
    <n v="2"/>
    <x v="3"/>
    <x v="2"/>
    <n v="126223"/>
    <n v="3.68"/>
    <n v="4"/>
  </r>
  <r>
    <x v="5"/>
    <s v="GLE EV"/>
    <x v="5"/>
    <x v="4"/>
    <n v="135101.31"/>
    <n v="74.2"/>
    <n v="242"/>
    <n v="110.8"/>
    <n v="5.12"/>
    <n v="181"/>
    <n v="807"/>
    <n v="733"/>
    <s v="FWD"/>
    <n v="5"/>
    <x v="1"/>
    <n v="59.2"/>
    <n v="2160"/>
    <x v="0"/>
    <n v="2"/>
    <x v="0"/>
    <x v="0"/>
    <n v="54508"/>
    <n v="3.82"/>
    <n v="5"/>
  </r>
  <r>
    <x v="3"/>
    <s v="Niro EV"/>
    <x v="0"/>
    <x v="1"/>
    <n v="96493.02"/>
    <n v="59.1"/>
    <n v="207"/>
    <n v="89.9"/>
    <n v="7.25"/>
    <n v="146"/>
    <n v="1000"/>
    <n v="965"/>
    <s v="RWD"/>
    <n v="7"/>
    <x v="2"/>
    <n v="79"/>
    <n v="1729"/>
    <x v="1"/>
    <n v="2"/>
    <x v="3"/>
    <x v="2"/>
    <n v="123691"/>
    <n v="3.45"/>
    <n v="4"/>
  </r>
  <r>
    <x v="3"/>
    <s v="EV9"/>
    <x v="0"/>
    <x v="3"/>
    <n v="52108.05"/>
    <n v="65.900000000000006"/>
    <n v="230"/>
    <n v="119.1"/>
    <n v="6.72"/>
    <n v="152"/>
    <n v="531"/>
    <n v="442"/>
    <s v="FWD"/>
    <n v="5"/>
    <x v="1"/>
    <n v="53"/>
    <n v="1976"/>
    <x v="1"/>
    <n v="0"/>
    <x v="3"/>
    <x v="1"/>
    <n v="98868"/>
    <n v="3.23"/>
    <n v="3"/>
  </r>
  <r>
    <x v="11"/>
    <s v="e-tron"/>
    <x v="0"/>
    <x v="3"/>
    <n v="93510.78"/>
    <n v="53"/>
    <n v="195"/>
    <n v="63.5"/>
    <n v="5.08"/>
    <n v="161"/>
    <n v="659"/>
    <n v="562"/>
    <s v="AWD"/>
    <n v="5"/>
    <x v="3"/>
    <n v="16.899999999999999"/>
    <n v="1834"/>
    <x v="1"/>
    <n v="1"/>
    <x v="0"/>
    <x v="2"/>
    <n v="70832"/>
    <n v="3.16"/>
    <n v="6"/>
  </r>
  <r>
    <x v="0"/>
    <s v="ID.4"/>
    <x v="2"/>
    <x v="4"/>
    <n v="78233.39"/>
    <n v="46.6"/>
    <n v="161"/>
    <n v="105"/>
    <n v="7.69"/>
    <n v="139"/>
    <n v="824"/>
    <n v="725"/>
    <s v="FWD"/>
    <n v="5"/>
    <x v="4"/>
    <n v="19.5"/>
    <n v="1684"/>
    <x v="0"/>
    <n v="1"/>
    <x v="0"/>
    <x v="2"/>
    <n v="259295"/>
    <n v="3.2"/>
    <n v="3"/>
  </r>
  <r>
    <x v="4"/>
    <s v="Model S"/>
    <x v="3"/>
    <x v="3"/>
    <n v="101976.23"/>
    <n v="83.7"/>
    <n v="284"/>
    <n v="268.2"/>
    <n v="7.24"/>
    <n v="139"/>
    <n v="754"/>
    <n v="680"/>
    <s v="FWD"/>
    <n v="5"/>
    <x v="3"/>
    <n v="27.1"/>
    <n v="1882"/>
    <x v="1"/>
    <n v="2"/>
    <x v="2"/>
    <x v="0"/>
    <n v="160905"/>
    <n v="3.89"/>
    <n v="5"/>
  </r>
  <r>
    <x v="4"/>
    <s v="Model Y"/>
    <x v="2"/>
    <x v="4"/>
    <n v="110000.94"/>
    <n v="53.4"/>
    <n v="163"/>
    <n v="322.5"/>
    <n v="5.33"/>
    <n v="172"/>
    <n v="809"/>
    <n v="763"/>
    <s v="AWD"/>
    <n v="5"/>
    <x v="5"/>
    <n v="16.100000000000001"/>
    <n v="1577"/>
    <x v="0"/>
    <n v="2"/>
    <x v="2"/>
    <x v="0"/>
    <n v="414109"/>
    <n v="3.55"/>
    <n v="4"/>
  </r>
  <r>
    <x v="2"/>
    <s v="Equinox EV"/>
    <x v="3"/>
    <x v="0"/>
    <n v="83117.350000000006"/>
    <n v="106.5"/>
    <n v="362"/>
    <n v="215.7"/>
    <n v="3.06"/>
    <n v="200"/>
    <n v="1000"/>
    <n v="888"/>
    <s v="AWD"/>
    <n v="5"/>
    <x v="1"/>
    <n v="59.7"/>
    <n v="1801"/>
    <x v="2"/>
    <n v="1"/>
    <x v="2"/>
    <x v="2"/>
    <n v="17250"/>
    <n v="3.59"/>
    <n v="4"/>
  </r>
  <r>
    <x v="10"/>
    <s v="i7"/>
    <x v="3"/>
    <x v="1"/>
    <n v="107462.71"/>
    <n v="63"/>
    <n v="242"/>
    <n v="78.900000000000006"/>
    <n v="5.42"/>
    <n v="175"/>
    <n v="929"/>
    <n v="805"/>
    <s v="RWD"/>
    <n v="5"/>
    <x v="5"/>
    <n v="34.200000000000003"/>
    <n v="1736"/>
    <x v="1"/>
    <n v="2"/>
    <x v="0"/>
    <x v="0"/>
    <n v="59946"/>
    <n v="3.37"/>
    <n v="7"/>
  </r>
  <r>
    <x v="2"/>
    <s v="Blazer EV"/>
    <x v="1"/>
    <x v="4"/>
    <n v="55685.25"/>
    <n v="80.400000000000006"/>
    <n v="288"/>
    <n v="51.4"/>
    <n v="6.05"/>
    <n v="158"/>
    <n v="670"/>
    <n v="592"/>
    <s v="FWD"/>
    <n v="7"/>
    <x v="5"/>
    <n v="39.9"/>
    <n v="1642"/>
    <x v="0"/>
    <n v="0"/>
    <x v="2"/>
    <x v="1"/>
    <n v="22694"/>
    <n v="3.58"/>
    <n v="4"/>
  </r>
  <r>
    <x v="7"/>
    <s v="Max"/>
    <x v="5"/>
    <x v="0"/>
    <n v="90766.48"/>
    <n v="91"/>
    <n v="318"/>
    <n v="231.3"/>
    <n v="2.7"/>
    <n v="200"/>
    <n v="1000"/>
    <n v="928"/>
    <s v="FWD"/>
    <n v="5"/>
    <x v="5"/>
    <n v="29.3"/>
    <n v="1500"/>
    <x v="0"/>
    <n v="0"/>
    <x v="4"/>
    <x v="2"/>
    <n v="205278"/>
    <n v="3.53"/>
    <n v="3"/>
  </r>
  <r>
    <x v="4"/>
    <s v="Model Y"/>
    <x v="5"/>
    <x v="3"/>
    <n v="111102.01"/>
    <n v="57.5"/>
    <n v="194"/>
    <n v="273.3"/>
    <n v="7.1"/>
    <n v="140"/>
    <n v="805"/>
    <n v="733"/>
    <s v="FWD"/>
    <n v="5"/>
    <x v="5"/>
    <n v="30"/>
    <n v="1767"/>
    <x v="1"/>
    <n v="2"/>
    <x v="2"/>
    <x v="0"/>
    <n v="457566"/>
    <n v="3.79"/>
    <n v="5"/>
  </r>
  <r>
    <x v="4"/>
    <s v="Cybertruck"/>
    <x v="5"/>
    <x v="3"/>
    <n v="121350.3"/>
    <n v="82.3"/>
    <n v="289"/>
    <n v="226.3"/>
    <n v="7.42"/>
    <n v="130"/>
    <n v="930"/>
    <n v="825"/>
    <s v="AWD"/>
    <n v="5"/>
    <x v="0"/>
    <n v="72.599999999999994"/>
    <n v="2759"/>
    <x v="1"/>
    <n v="3"/>
    <x v="2"/>
    <x v="0"/>
    <n v="144677"/>
    <n v="3.86"/>
    <n v="6"/>
  </r>
  <r>
    <x v="7"/>
    <s v="Qin"/>
    <x v="3"/>
    <x v="3"/>
    <n v="43868.55"/>
    <n v="77.3"/>
    <n v="290"/>
    <n v="123"/>
    <n v="5.63"/>
    <n v="165"/>
    <n v="450"/>
    <n v="423"/>
    <s v="FWD"/>
    <n v="5"/>
    <x v="4"/>
    <n v="35.5"/>
    <n v="1761"/>
    <x v="1"/>
    <n v="1"/>
    <x v="4"/>
    <x v="1"/>
    <n v="211394"/>
    <n v="3.74"/>
    <n v="3"/>
  </r>
  <r>
    <x v="3"/>
    <s v="EV9"/>
    <x v="5"/>
    <x v="2"/>
    <n v="37918.559999999998"/>
    <n v="79.900000000000006"/>
    <n v="304"/>
    <n v="103.8"/>
    <n v="4.71"/>
    <n v="182"/>
    <n v="284"/>
    <n v="216"/>
    <s v="AWD"/>
    <n v="5"/>
    <x v="1"/>
    <n v="42.9"/>
    <n v="2341"/>
    <x v="1"/>
    <n v="0"/>
    <x v="3"/>
    <x v="1"/>
    <n v="92798"/>
    <n v="3.66"/>
    <n v="3"/>
  </r>
  <r>
    <x v="0"/>
    <s v="ID.5"/>
    <x v="0"/>
    <x v="1"/>
    <n v="87378.559999999998"/>
    <n v="46.6"/>
    <n v="155"/>
    <n v="73.900000000000006"/>
    <n v="5.68"/>
    <n v="162"/>
    <n v="1000"/>
    <n v="866"/>
    <s v="AWD"/>
    <n v="7"/>
    <x v="0"/>
    <n v="70.7"/>
    <n v="2532"/>
    <x v="2"/>
    <n v="0"/>
    <x v="0"/>
    <x v="2"/>
    <n v="280958"/>
    <n v="3.26"/>
    <n v="5"/>
  </r>
  <r>
    <x v="0"/>
    <s v="ID. Aero"/>
    <x v="3"/>
    <x v="2"/>
    <n v="98049.57"/>
    <n v="79.3"/>
    <n v="271"/>
    <n v="109.3"/>
    <n v="5.08"/>
    <n v="178"/>
    <n v="1000"/>
    <n v="925"/>
    <s v="FWD"/>
    <n v="7"/>
    <x v="0"/>
    <n v="78.8"/>
    <n v="2544"/>
    <x v="0"/>
    <n v="0"/>
    <x v="0"/>
    <x v="2"/>
    <n v="232457"/>
    <n v="3.53"/>
    <n v="3"/>
  </r>
  <r>
    <x v="11"/>
    <s v="Q6 e-tron"/>
    <x v="3"/>
    <x v="3"/>
    <n v="91070.12"/>
    <n v="66.400000000000006"/>
    <n v="224"/>
    <n v="134.5"/>
    <n v="7.09"/>
    <n v="152"/>
    <n v="640"/>
    <n v="596"/>
    <s v="AWD"/>
    <n v="5"/>
    <x v="5"/>
    <n v="21.5"/>
    <n v="1500"/>
    <x v="2"/>
    <n v="1"/>
    <x v="0"/>
    <x v="2"/>
    <n v="69627"/>
    <n v="3.71"/>
    <n v="7"/>
  </r>
  <r>
    <x v="7"/>
    <s v="Dolphin"/>
    <x v="5"/>
    <x v="3"/>
    <n v="33590.410000000003"/>
    <n v="74.099999999999994"/>
    <n v="252"/>
    <n v="145.1"/>
    <n v="7.81"/>
    <n v="140"/>
    <n v="320"/>
    <n v="319"/>
    <s v="AWD"/>
    <n v="7"/>
    <x v="0"/>
    <n v="59.1"/>
    <n v="2166"/>
    <x v="0"/>
    <n v="1"/>
    <x v="4"/>
    <x v="3"/>
    <n v="225478"/>
    <n v="3.58"/>
    <n v="5"/>
  </r>
  <r>
    <x v="8"/>
    <s v="Ioniq 5"/>
    <x v="0"/>
    <x v="2"/>
    <n v="51553.1"/>
    <n v="75.3"/>
    <n v="265"/>
    <n v="102.7"/>
    <n v="5.85"/>
    <n v="174"/>
    <n v="530"/>
    <n v="474"/>
    <s v="RWD"/>
    <n v="5"/>
    <x v="4"/>
    <n v="25.8"/>
    <n v="1500"/>
    <x v="1"/>
    <n v="0"/>
    <x v="3"/>
    <x v="1"/>
    <n v="110986"/>
    <n v="3.76"/>
    <n v="4"/>
  </r>
  <r>
    <x v="9"/>
    <s v="Mustang Mach-E"/>
    <x v="3"/>
    <x v="3"/>
    <n v="31921.1"/>
    <n v="77.2"/>
    <n v="284"/>
    <n v="63.3"/>
    <n v="5.86"/>
    <n v="172"/>
    <n v="250"/>
    <n v="221"/>
    <s v="AWD"/>
    <n v="5"/>
    <x v="4"/>
    <n v="16"/>
    <n v="1500"/>
    <x v="1"/>
    <n v="2"/>
    <x v="2"/>
    <x v="3"/>
    <n v="21264"/>
    <n v="3.57"/>
    <n v="5"/>
  </r>
  <r>
    <x v="0"/>
    <s v="ID.4"/>
    <x v="2"/>
    <x v="2"/>
    <n v="67460.11"/>
    <n v="97.9"/>
    <n v="324"/>
    <n v="92.4"/>
    <n v="4.29"/>
    <n v="180"/>
    <n v="681"/>
    <n v="643"/>
    <s v="FWD"/>
    <n v="7"/>
    <x v="0"/>
    <n v="78.7"/>
    <n v="2596"/>
    <x v="0"/>
    <n v="0"/>
    <x v="0"/>
    <x v="2"/>
    <n v="219503"/>
    <n v="3.66"/>
    <n v="3"/>
  </r>
  <r>
    <x v="10"/>
    <s v="i7"/>
    <x v="3"/>
    <x v="4"/>
    <n v="56108.72"/>
    <n v="78.400000000000006"/>
    <n v="280"/>
    <n v="142.19999999999999"/>
    <n v="5.1100000000000003"/>
    <n v="178"/>
    <n v="253"/>
    <n v="262"/>
    <s v="AWD"/>
    <n v="5"/>
    <x v="3"/>
    <n v="24.8"/>
    <n v="1729"/>
    <x v="1"/>
    <n v="1"/>
    <x v="0"/>
    <x v="1"/>
    <n v="32771"/>
    <n v="3.55"/>
    <n v="5"/>
  </r>
  <r>
    <x v="5"/>
    <s v="EQS"/>
    <x v="2"/>
    <x v="0"/>
    <n v="175695.73"/>
    <n v="119.3"/>
    <n v="421"/>
    <n v="160.5"/>
    <n v="2.98"/>
    <n v="200"/>
    <n v="1000"/>
    <n v="867"/>
    <s v="AWD"/>
    <n v="5"/>
    <x v="0"/>
    <n v="71.5"/>
    <n v="2775"/>
    <x v="0"/>
    <n v="1"/>
    <x v="0"/>
    <x v="0"/>
    <n v="47072"/>
    <n v="4.1399999999999997"/>
    <n v="7"/>
  </r>
  <r>
    <x v="1"/>
    <s v="bZ Compact SUV"/>
    <x v="6"/>
    <x v="3"/>
    <n v="47569.79"/>
    <n v="41.5"/>
    <n v="160"/>
    <n v="86.2"/>
    <n v="7.8"/>
    <n v="133"/>
    <n v="419"/>
    <n v="383"/>
    <s v="RWD"/>
    <n v="5"/>
    <x v="1"/>
    <n v="43.1"/>
    <n v="1792"/>
    <x v="0"/>
    <n v="0"/>
    <x v="1"/>
    <x v="1"/>
    <n v="28709"/>
    <n v="3.17"/>
    <n v="4"/>
  </r>
  <r>
    <x v="4"/>
    <s v="Cybertruck"/>
    <x v="2"/>
    <x v="0"/>
    <n v="68394.929999999993"/>
    <n v="94.8"/>
    <n v="315"/>
    <n v="254.1"/>
    <n v="4.1500000000000004"/>
    <n v="179"/>
    <n v="520"/>
    <n v="388"/>
    <s v="RWD"/>
    <n v="5"/>
    <x v="0"/>
    <n v="64.599999999999994"/>
    <n v="2391"/>
    <x v="1"/>
    <n v="2"/>
    <x v="2"/>
    <x v="2"/>
    <n v="230110"/>
    <n v="4"/>
    <n v="5"/>
  </r>
  <r>
    <x v="13"/>
    <s v="R1T"/>
    <x v="3"/>
    <x v="4"/>
    <n v="78693.27"/>
    <n v="63.6"/>
    <n v="243"/>
    <n v="115.4"/>
    <n v="5.92"/>
    <n v="171"/>
    <n v="624"/>
    <n v="547"/>
    <s v="RWD"/>
    <n v="4"/>
    <x v="0"/>
    <n v="67.099999999999994"/>
    <n v="2866"/>
    <x v="0"/>
    <n v="0"/>
    <x v="2"/>
    <x v="2"/>
    <n v="14022"/>
    <n v="3.14"/>
    <n v="6"/>
  </r>
  <r>
    <x v="8"/>
    <s v="Ioniq 6"/>
    <x v="3"/>
    <x v="4"/>
    <n v="46340.480000000003"/>
    <n v="70.599999999999994"/>
    <n v="240"/>
    <n v="88.7"/>
    <n v="7.3"/>
    <n v="133"/>
    <n v="473"/>
    <n v="446"/>
    <s v="FWD"/>
    <n v="5"/>
    <x v="5"/>
    <n v="18.5"/>
    <n v="1585"/>
    <x v="2"/>
    <n v="0"/>
    <x v="3"/>
    <x v="1"/>
    <n v="91894"/>
    <n v="3.21"/>
    <n v="4"/>
  </r>
  <r>
    <x v="7"/>
    <s v="Seagull"/>
    <x v="4"/>
    <x v="4"/>
    <n v="73231.02"/>
    <n v="46.1"/>
    <n v="166"/>
    <n v="143.1"/>
    <n v="7.63"/>
    <n v="141"/>
    <n v="844"/>
    <n v="798"/>
    <s v="AWD"/>
    <n v="5"/>
    <x v="5"/>
    <n v="24.9"/>
    <n v="1547"/>
    <x v="0"/>
    <n v="1"/>
    <x v="4"/>
    <x v="2"/>
    <n v="227938"/>
    <n v="3.21"/>
    <n v="4"/>
  </r>
  <r>
    <x v="8"/>
    <s v="Ioniq 6"/>
    <x v="3"/>
    <x v="4"/>
    <n v="70402.19"/>
    <n v="49.9"/>
    <n v="170"/>
    <n v="108.8"/>
    <n v="7.04"/>
    <n v="148"/>
    <n v="866"/>
    <n v="746"/>
    <s v="FWD"/>
    <n v="5"/>
    <x v="5"/>
    <n v="21.9"/>
    <n v="1500"/>
    <x v="1"/>
    <n v="1"/>
    <x v="3"/>
    <x v="2"/>
    <n v="69074"/>
    <n v="3.3"/>
    <n v="4"/>
  </r>
  <r>
    <x v="19"/>
    <n v="3"/>
    <x v="2"/>
    <x v="1"/>
    <n v="98223.61"/>
    <n v="58.4"/>
    <n v="219"/>
    <n v="103.2"/>
    <n v="7.31"/>
    <n v="147"/>
    <n v="701"/>
    <n v="672"/>
    <s v="RWD"/>
    <n v="5"/>
    <x v="4"/>
    <n v="27.3"/>
    <n v="1500"/>
    <x v="0"/>
    <n v="2"/>
    <x v="5"/>
    <x v="2"/>
    <n v="3904"/>
    <n v="3.65"/>
    <n v="4"/>
  </r>
  <r>
    <x v="8"/>
    <s v="Ioniq"/>
    <x v="2"/>
    <x v="1"/>
    <n v="39646.49"/>
    <n v="41"/>
    <n v="150"/>
    <n v="94.3"/>
    <n v="5.91"/>
    <n v="174"/>
    <n v="271"/>
    <n v="236"/>
    <s v="AWD"/>
    <n v="5"/>
    <x v="3"/>
    <n v="31.2"/>
    <n v="1595"/>
    <x v="1"/>
    <n v="0"/>
    <x v="3"/>
    <x v="1"/>
    <n v="129173"/>
    <n v="3"/>
    <n v="3"/>
  </r>
  <r>
    <x v="7"/>
    <s v="Yuan Plus"/>
    <x v="0"/>
    <x v="4"/>
    <n v="70732.36"/>
    <n v="45.3"/>
    <n v="151"/>
    <n v="118.3"/>
    <n v="5.92"/>
    <n v="161"/>
    <n v="801"/>
    <n v="724"/>
    <s v="FWD"/>
    <n v="5"/>
    <x v="3"/>
    <n v="38.9"/>
    <n v="1764"/>
    <x v="0"/>
    <n v="1"/>
    <x v="4"/>
    <x v="2"/>
    <n v="198624"/>
    <n v="3.14"/>
    <n v="3"/>
  </r>
  <r>
    <x v="10"/>
    <s v="i5"/>
    <x v="0"/>
    <x v="4"/>
    <n v="106048.4"/>
    <n v="47.8"/>
    <n v="195"/>
    <n v="87"/>
    <n v="6.06"/>
    <n v="167"/>
    <n v="866"/>
    <n v="827"/>
    <s v="AWD"/>
    <n v="5"/>
    <x v="3"/>
    <n v="16.399999999999999"/>
    <n v="1511"/>
    <x v="1"/>
    <n v="1"/>
    <x v="0"/>
    <x v="0"/>
    <n v="52016"/>
    <n v="3.3"/>
    <n v="5"/>
  </r>
  <r>
    <x v="7"/>
    <s v="Seagull"/>
    <x v="5"/>
    <x v="4"/>
    <n v="75687.78"/>
    <n v="57.9"/>
    <n v="223"/>
    <n v="77.400000000000006"/>
    <n v="7.1"/>
    <n v="136"/>
    <n v="911"/>
    <n v="866"/>
    <s v="AWD"/>
    <n v="7"/>
    <x v="5"/>
    <n v="31.9"/>
    <n v="1545"/>
    <x v="2"/>
    <n v="2"/>
    <x v="4"/>
    <x v="2"/>
    <n v="230330"/>
    <n v="3.4"/>
    <n v="4"/>
  </r>
  <r>
    <x v="4"/>
    <s v="Model 3"/>
    <x v="2"/>
    <x v="1"/>
    <n v="164903.76"/>
    <n v="51.1"/>
    <n v="184"/>
    <n v="261.5"/>
    <n v="6.48"/>
    <n v="159"/>
    <n v="1000"/>
    <n v="922"/>
    <s v="AWD"/>
    <n v="5"/>
    <x v="4"/>
    <n v="30.2"/>
    <n v="1747"/>
    <x v="2"/>
    <n v="2"/>
    <x v="2"/>
    <x v="0"/>
    <n v="238934"/>
    <n v="3.62"/>
    <n v="5"/>
  </r>
  <r>
    <x v="4"/>
    <s v="Cybertruck"/>
    <x v="3"/>
    <x v="1"/>
    <n v="104330.24000000001"/>
    <n v="50.1"/>
    <n v="185"/>
    <n v="261.5"/>
    <n v="7.04"/>
    <n v="145"/>
    <n v="792"/>
    <n v="738"/>
    <s v="RWD"/>
    <n v="7"/>
    <x v="0"/>
    <n v="79.099999999999994"/>
    <n v="2220"/>
    <x v="0"/>
    <n v="2"/>
    <x v="2"/>
    <x v="0"/>
    <n v="241443"/>
    <n v="3.82"/>
    <n v="6"/>
  </r>
  <r>
    <x v="4"/>
    <s v="Model 3"/>
    <x v="1"/>
    <x v="1"/>
    <n v="74667.63"/>
    <n v="60.5"/>
    <n v="201"/>
    <n v="228.2"/>
    <n v="6.62"/>
    <n v="159"/>
    <n v="552"/>
    <n v="490"/>
    <s v="AWD"/>
    <n v="5"/>
    <x v="0"/>
    <n v="78.2"/>
    <n v="2148"/>
    <x v="1"/>
    <n v="2"/>
    <x v="2"/>
    <x v="2"/>
    <n v="245609"/>
    <n v="3.71"/>
    <n v="4"/>
  </r>
  <r>
    <x v="4"/>
    <s v="Model S"/>
    <x v="2"/>
    <x v="4"/>
    <n v="132957.6"/>
    <n v="57.4"/>
    <n v="197"/>
    <n v="313"/>
    <n v="5.66"/>
    <n v="168"/>
    <n v="1000"/>
    <n v="900"/>
    <s v="RWD"/>
    <n v="7"/>
    <x v="5"/>
    <n v="24.8"/>
    <n v="1603"/>
    <x v="1"/>
    <n v="2"/>
    <x v="2"/>
    <x v="0"/>
    <n v="220563"/>
    <n v="3.46"/>
    <n v="5"/>
  </r>
  <r>
    <x v="4"/>
    <s v="Model Y"/>
    <x v="3"/>
    <x v="0"/>
    <n v="146521.88"/>
    <n v="91.7"/>
    <n v="343"/>
    <n v="226.2"/>
    <n v="3.18"/>
    <n v="200"/>
    <n v="1000"/>
    <n v="863"/>
    <s v="AWD"/>
    <n v="5"/>
    <x v="1"/>
    <n v="58.9"/>
    <n v="1942"/>
    <x v="0"/>
    <n v="2"/>
    <x v="2"/>
    <x v="0"/>
    <n v="406719"/>
    <n v="4.12"/>
    <n v="5"/>
  </r>
  <r>
    <x v="10"/>
    <s v="i7"/>
    <x v="2"/>
    <x v="2"/>
    <n v="126323.43"/>
    <n v="92.6"/>
    <n v="337"/>
    <n v="134.19999999999999"/>
    <n v="4.57"/>
    <n v="190"/>
    <n v="1000"/>
    <n v="906"/>
    <s v="FWD"/>
    <n v="7"/>
    <x v="3"/>
    <n v="38.1"/>
    <n v="1500"/>
    <x v="1"/>
    <n v="1"/>
    <x v="0"/>
    <x v="0"/>
    <n v="51591"/>
    <n v="3.87"/>
    <n v="6"/>
  </r>
  <r>
    <x v="4"/>
    <s v="Model X"/>
    <x v="3"/>
    <x v="3"/>
    <n v="42945.26"/>
    <n v="77"/>
    <n v="266"/>
    <n v="309.89999999999998"/>
    <n v="6.79"/>
    <n v="148"/>
    <n v="248"/>
    <n v="200"/>
    <s v="AWD"/>
    <n v="7"/>
    <x v="1"/>
    <n v="66.099999999999994"/>
    <n v="1861"/>
    <x v="1"/>
    <n v="3"/>
    <x v="2"/>
    <x v="1"/>
    <n v="202664"/>
    <n v="3.79"/>
    <n v="5"/>
  </r>
  <r>
    <x v="7"/>
    <s v="Dolphin"/>
    <x v="2"/>
    <x v="2"/>
    <n v="38014.51"/>
    <n v="86.6"/>
    <n v="325"/>
    <n v="141.9"/>
    <n v="4.79"/>
    <n v="169"/>
    <n v="383"/>
    <n v="328"/>
    <s v="AWD"/>
    <n v="7"/>
    <x v="1"/>
    <n v="45.2"/>
    <n v="1687"/>
    <x v="1"/>
    <n v="0"/>
    <x v="4"/>
    <x v="1"/>
    <n v="241420"/>
    <n v="3.72"/>
    <n v="3"/>
  </r>
  <r>
    <x v="11"/>
    <s v="e-tron"/>
    <x v="3"/>
    <x v="4"/>
    <n v="109441.61"/>
    <n v="51.1"/>
    <n v="161"/>
    <n v="100.9"/>
    <n v="7.02"/>
    <n v="151"/>
    <n v="876"/>
    <n v="844"/>
    <s v="AWD"/>
    <n v="5"/>
    <x v="3"/>
    <n v="21.6"/>
    <n v="1589"/>
    <x v="0"/>
    <n v="1"/>
    <x v="0"/>
    <x v="0"/>
    <n v="27623"/>
    <n v="3.34"/>
    <n v="7"/>
  </r>
  <r>
    <x v="8"/>
    <s v="Ioniq 6"/>
    <x v="5"/>
    <x v="2"/>
    <n v="93179.93"/>
    <n v="102.1"/>
    <n v="351"/>
    <n v="126.1"/>
    <n v="4.97"/>
    <n v="181"/>
    <n v="1000"/>
    <n v="892"/>
    <s v="FWD"/>
    <n v="5"/>
    <x v="5"/>
    <n v="16.2"/>
    <n v="1500"/>
    <x v="0"/>
    <n v="1"/>
    <x v="3"/>
    <x v="2"/>
    <n v="64997"/>
    <n v="3.42"/>
    <n v="4"/>
  </r>
  <r>
    <x v="10"/>
    <s v="i5"/>
    <x v="3"/>
    <x v="1"/>
    <n v="79696.27"/>
    <n v="76.5"/>
    <n v="251"/>
    <n v="103.6"/>
    <n v="6.21"/>
    <n v="161"/>
    <n v="550"/>
    <n v="514"/>
    <s v="AWD"/>
    <n v="5"/>
    <x v="0"/>
    <n v="60"/>
    <n v="2846"/>
    <x v="1"/>
    <n v="1"/>
    <x v="0"/>
    <x v="2"/>
    <n v="32509"/>
    <n v="3.24"/>
    <n v="5"/>
  </r>
  <r>
    <x v="4"/>
    <s v="Model Y"/>
    <x v="3"/>
    <x v="4"/>
    <n v="85878.17"/>
    <n v="49.2"/>
    <n v="188"/>
    <n v="238.9"/>
    <n v="6.03"/>
    <n v="164"/>
    <n v="605"/>
    <n v="592"/>
    <s v="RWD"/>
    <n v="7"/>
    <x v="5"/>
    <n v="29.6"/>
    <n v="2009"/>
    <x v="0"/>
    <n v="2"/>
    <x v="2"/>
    <x v="2"/>
    <n v="499717"/>
    <n v="3.42"/>
    <n v="5"/>
  </r>
  <r>
    <x v="4"/>
    <s v="Model Y"/>
    <x v="4"/>
    <x v="4"/>
    <n v="49771.040000000001"/>
    <n v="62.5"/>
    <n v="225"/>
    <n v="212.5"/>
    <n v="5.56"/>
    <n v="175"/>
    <n v="317"/>
    <n v="261"/>
    <s v="FWD"/>
    <n v="5"/>
    <x v="4"/>
    <n v="34.200000000000003"/>
    <n v="1578"/>
    <x v="2"/>
    <n v="3"/>
    <x v="2"/>
    <x v="1"/>
    <n v="483023"/>
    <n v="3.69"/>
    <n v="5"/>
  </r>
  <r>
    <x v="4"/>
    <s v="Model 3"/>
    <x v="3"/>
    <x v="1"/>
    <n v="60544.17"/>
    <n v="81.599999999999994"/>
    <n v="287"/>
    <n v="247.1"/>
    <n v="5.81"/>
    <n v="158"/>
    <n v="384"/>
    <n v="366"/>
    <s v="RWD"/>
    <n v="5"/>
    <x v="0"/>
    <n v="51.2"/>
    <n v="2538"/>
    <x v="1"/>
    <n v="2"/>
    <x v="2"/>
    <x v="1"/>
    <n v="170776"/>
    <n v="3.98"/>
    <n v="6"/>
  </r>
  <r>
    <x v="4"/>
    <s v="Model S"/>
    <x v="5"/>
    <x v="2"/>
    <n v="125990.82"/>
    <n v="75.3"/>
    <n v="272"/>
    <n v="209.9"/>
    <n v="4.9400000000000004"/>
    <n v="171"/>
    <n v="955"/>
    <n v="881"/>
    <s v="FWD"/>
    <n v="7"/>
    <x v="3"/>
    <n v="17.100000000000001"/>
    <n v="1589"/>
    <x v="1"/>
    <n v="2"/>
    <x v="2"/>
    <x v="0"/>
    <n v="200607"/>
    <n v="3.97"/>
    <n v="4"/>
  </r>
  <r>
    <x v="7"/>
    <s v="Seagull"/>
    <x v="6"/>
    <x v="2"/>
    <n v="48719.93"/>
    <n v="95.3"/>
    <n v="342"/>
    <n v="125.3"/>
    <n v="5.39"/>
    <n v="166"/>
    <n v="449"/>
    <n v="397"/>
    <s v="FWD"/>
    <n v="5"/>
    <x v="4"/>
    <n v="30.4"/>
    <n v="1511"/>
    <x v="0"/>
    <n v="0"/>
    <x v="4"/>
    <x v="1"/>
    <n v="158941"/>
    <n v="3.72"/>
    <n v="4"/>
  </r>
  <r>
    <x v="4"/>
    <s v="Model X"/>
    <x v="1"/>
    <x v="0"/>
    <n v="66277.97"/>
    <n v="97.7"/>
    <n v="340"/>
    <n v="285.5"/>
    <n v="3.71"/>
    <n v="189"/>
    <n v="445"/>
    <n v="394"/>
    <s v="RWD"/>
    <n v="5"/>
    <x v="0"/>
    <n v="59.1"/>
    <n v="2882"/>
    <x v="2"/>
    <n v="2"/>
    <x v="2"/>
    <x v="2"/>
    <n v="108652"/>
    <n v="4.1100000000000003"/>
    <n v="4"/>
  </r>
  <r>
    <x v="4"/>
    <s v="Model Y"/>
    <x v="3"/>
    <x v="4"/>
    <n v="122990.85"/>
    <n v="43.1"/>
    <n v="177"/>
    <n v="222.1"/>
    <n v="7.3"/>
    <n v="132"/>
    <n v="909"/>
    <n v="826"/>
    <s v="AWD"/>
    <n v="5"/>
    <x v="3"/>
    <n v="25.4"/>
    <n v="1500"/>
    <x v="0"/>
    <n v="2"/>
    <x v="2"/>
    <x v="0"/>
    <n v="444103"/>
    <n v="3.49"/>
    <n v="5"/>
  </r>
  <r>
    <x v="4"/>
    <s v="Model 3"/>
    <x v="3"/>
    <x v="4"/>
    <n v="77509.320000000007"/>
    <n v="78.599999999999994"/>
    <n v="256"/>
    <n v="347.7"/>
    <n v="7.73"/>
    <n v="130"/>
    <n v="522"/>
    <n v="442"/>
    <s v="RWD"/>
    <n v="7"/>
    <x v="3"/>
    <n v="18"/>
    <n v="1500"/>
    <x v="2"/>
    <n v="2"/>
    <x v="2"/>
    <x v="2"/>
    <n v="156028"/>
    <n v="3.89"/>
    <n v="4"/>
  </r>
  <r>
    <x v="8"/>
    <s v="Ioniq 5"/>
    <x v="3"/>
    <x v="3"/>
    <n v="42592.08"/>
    <n v="73.400000000000006"/>
    <n v="215"/>
    <n v="90.7"/>
    <n v="6.29"/>
    <n v="154"/>
    <n v="432"/>
    <n v="362"/>
    <s v="FWD"/>
    <n v="5"/>
    <x v="0"/>
    <n v="54.8"/>
    <n v="2777"/>
    <x v="0"/>
    <n v="0"/>
    <x v="3"/>
    <x v="1"/>
    <n v="124929"/>
    <n v="3.43"/>
    <n v="4"/>
  </r>
  <r>
    <x v="7"/>
    <s v="Max"/>
    <x v="5"/>
    <x v="4"/>
    <n v="42445.79"/>
    <n v="53"/>
    <n v="173"/>
    <n v="61.8"/>
    <n v="5.53"/>
    <n v="167"/>
    <n v="444"/>
    <n v="446"/>
    <s v="AWD"/>
    <n v="7"/>
    <x v="4"/>
    <n v="34.200000000000003"/>
    <n v="1642"/>
    <x v="0"/>
    <n v="1"/>
    <x v="4"/>
    <x v="1"/>
    <n v="217748"/>
    <n v="3.05"/>
    <n v="5"/>
  </r>
  <r>
    <x v="0"/>
    <s v="ID. Aero"/>
    <x v="0"/>
    <x v="0"/>
    <n v="44275.35"/>
    <n v="90.4"/>
    <n v="308"/>
    <n v="211.5"/>
    <n v="4.49"/>
    <n v="180"/>
    <n v="363"/>
    <n v="288"/>
    <s v="AWD"/>
    <n v="7"/>
    <x v="3"/>
    <n v="36.4"/>
    <n v="1606"/>
    <x v="1"/>
    <n v="2"/>
    <x v="0"/>
    <x v="1"/>
    <n v="209760"/>
    <n v="3.52"/>
    <n v="3"/>
  </r>
  <r>
    <x v="8"/>
    <s v="Ioniq 6"/>
    <x v="3"/>
    <x v="0"/>
    <n v="107109.36"/>
    <n v="119.6"/>
    <n v="434"/>
    <n v="239.3"/>
    <n v="2.87"/>
    <n v="200"/>
    <n v="1000"/>
    <n v="906"/>
    <s v="AWD"/>
    <n v="5"/>
    <x v="1"/>
    <n v="68.7"/>
    <n v="2249"/>
    <x v="1"/>
    <n v="1"/>
    <x v="3"/>
    <x v="0"/>
    <n v="92278"/>
    <n v="3.9"/>
    <n v="3"/>
  </r>
  <r>
    <x v="2"/>
    <s v="Bolt EV"/>
    <x v="0"/>
    <x v="3"/>
    <n v="38369.910000000003"/>
    <n v="46.8"/>
    <n v="177"/>
    <n v="81.7"/>
    <n v="6.83"/>
    <n v="139"/>
    <n v="363"/>
    <n v="331"/>
    <s v="FWD"/>
    <n v="7"/>
    <x v="1"/>
    <n v="57.5"/>
    <n v="2174"/>
    <x v="1"/>
    <n v="0"/>
    <x v="2"/>
    <x v="1"/>
    <n v="19280"/>
    <n v="3.34"/>
    <n v="3"/>
  </r>
  <r>
    <x v="4"/>
    <s v="Model S"/>
    <x v="0"/>
    <x v="2"/>
    <n v="82872.710000000006"/>
    <n v="88.9"/>
    <n v="322"/>
    <n v="293.39999999999998"/>
    <n v="4.3099999999999996"/>
    <n v="182"/>
    <n v="559"/>
    <n v="488"/>
    <s v="AWD"/>
    <n v="7"/>
    <x v="4"/>
    <n v="38"/>
    <n v="1852"/>
    <x v="1"/>
    <n v="2"/>
    <x v="2"/>
    <x v="2"/>
    <n v="233601"/>
    <n v="3.61"/>
    <n v="5"/>
  </r>
  <r>
    <x v="9"/>
    <s v="Mustang Mach-E"/>
    <x v="2"/>
    <x v="1"/>
    <n v="96727.35"/>
    <n v="71.400000000000006"/>
    <n v="233"/>
    <n v="128.6"/>
    <n v="7.7"/>
    <n v="140"/>
    <n v="1000"/>
    <n v="862"/>
    <s v="AWD"/>
    <n v="7"/>
    <x v="3"/>
    <n v="20.7"/>
    <n v="1832"/>
    <x v="2"/>
    <n v="1"/>
    <x v="2"/>
    <x v="2"/>
    <n v="75873"/>
    <n v="3.24"/>
    <n v="5"/>
  </r>
  <r>
    <x v="10"/>
    <s v="i7"/>
    <x v="2"/>
    <x v="3"/>
    <n v="84385.88"/>
    <n v="47.3"/>
    <n v="177"/>
    <n v="108.6"/>
    <n v="7.35"/>
    <n v="136"/>
    <n v="601"/>
    <n v="552"/>
    <s v="FWD"/>
    <n v="7"/>
    <x v="5"/>
    <n v="23.5"/>
    <n v="1500"/>
    <x v="1"/>
    <n v="1"/>
    <x v="0"/>
    <x v="2"/>
    <n v="74771"/>
    <n v="3.09"/>
    <n v="6"/>
  </r>
  <r>
    <x v="4"/>
    <s v="Model Y"/>
    <x v="3"/>
    <x v="2"/>
    <n v="33796.25"/>
    <n v="90.1"/>
    <n v="295"/>
    <n v="250.6"/>
    <n v="4.0599999999999996"/>
    <n v="183"/>
    <n v="215"/>
    <n v="200"/>
    <s v="RWD"/>
    <n v="5"/>
    <x v="1"/>
    <n v="43"/>
    <n v="2400"/>
    <x v="1"/>
    <n v="2"/>
    <x v="2"/>
    <x v="3"/>
    <n v="476519"/>
    <n v="3.86"/>
    <n v="5"/>
  </r>
  <r>
    <x v="11"/>
    <s v="e-tron GT"/>
    <x v="3"/>
    <x v="3"/>
    <n v="67634.789999999994"/>
    <n v="79.900000000000006"/>
    <n v="278"/>
    <n v="90.2"/>
    <n v="5.56"/>
    <n v="167"/>
    <n v="396"/>
    <n v="388"/>
    <s v="FWD"/>
    <n v="5"/>
    <x v="5"/>
    <n v="24.9"/>
    <n v="1712"/>
    <x v="0"/>
    <n v="2"/>
    <x v="0"/>
    <x v="2"/>
    <n v="62437"/>
    <n v="3.52"/>
    <n v="8"/>
  </r>
  <r>
    <x v="13"/>
    <s v="R2"/>
    <x v="3"/>
    <x v="2"/>
    <n v="105675.37"/>
    <n v="104"/>
    <n v="386"/>
    <n v="102.2"/>
    <n v="4.6399999999999997"/>
    <n v="173"/>
    <n v="1000"/>
    <n v="866"/>
    <s v="AWD"/>
    <n v="5"/>
    <x v="1"/>
    <n v="63.1"/>
    <n v="2353"/>
    <x v="1"/>
    <n v="0"/>
    <x v="2"/>
    <x v="0"/>
    <n v="25421"/>
    <n v="3.88"/>
    <n v="4"/>
  </r>
  <r>
    <x v="4"/>
    <s v="Model X"/>
    <x v="0"/>
    <x v="4"/>
    <n v="43959.45"/>
    <n v="63.9"/>
    <n v="211"/>
    <n v="207.5"/>
    <n v="6.67"/>
    <n v="148"/>
    <n v="283"/>
    <n v="251"/>
    <s v="FWD"/>
    <n v="5"/>
    <x v="1"/>
    <n v="62.7"/>
    <n v="1838"/>
    <x v="2"/>
    <n v="2"/>
    <x v="2"/>
    <x v="1"/>
    <n v="124556"/>
    <n v="3.97"/>
    <n v="4"/>
  </r>
  <r>
    <x v="7"/>
    <s v="Dolphin"/>
    <x v="3"/>
    <x v="3"/>
    <n v="19398.189999999999"/>
    <n v="79.599999999999994"/>
    <n v="255"/>
    <n v="104.3"/>
    <n v="7.87"/>
    <n v="125"/>
    <n v="165"/>
    <n v="200"/>
    <s v="FWD"/>
    <n v="5"/>
    <x v="2"/>
    <n v="71.900000000000006"/>
    <n v="1500"/>
    <x v="0"/>
    <n v="0"/>
    <x v="4"/>
    <x v="3"/>
    <n v="165718"/>
    <n v="3.4"/>
    <n v="4"/>
  </r>
  <r>
    <x v="9"/>
    <s v="Explorer EV"/>
    <x v="5"/>
    <x v="3"/>
    <n v="55828.42"/>
    <n v="47.5"/>
    <n v="163"/>
    <n v="69"/>
    <n v="5.68"/>
    <n v="167"/>
    <n v="570"/>
    <n v="527"/>
    <s v="RWD"/>
    <n v="5"/>
    <x v="3"/>
    <n v="22.3"/>
    <n v="1668"/>
    <x v="1"/>
    <n v="1"/>
    <x v="2"/>
    <x v="1"/>
    <n v="64449"/>
    <n v="3.39"/>
    <n v="5"/>
  </r>
  <r>
    <x v="2"/>
    <s v="Blazer EV"/>
    <x v="3"/>
    <x v="4"/>
    <n v="55791.9"/>
    <n v="43.1"/>
    <n v="150"/>
    <n v="123.6"/>
    <n v="6.64"/>
    <n v="150"/>
    <n v="646"/>
    <n v="596"/>
    <s v="FWD"/>
    <n v="7"/>
    <x v="1"/>
    <n v="35.299999999999997"/>
    <n v="1903"/>
    <x v="1"/>
    <n v="2"/>
    <x v="2"/>
    <x v="1"/>
    <n v="16439"/>
    <n v="3.05"/>
    <n v="4"/>
  </r>
  <r>
    <x v="4"/>
    <s v="Model 3"/>
    <x v="3"/>
    <x v="1"/>
    <n v="151283.19"/>
    <n v="58.3"/>
    <n v="189"/>
    <n v="340.8"/>
    <n v="6.99"/>
    <n v="152"/>
    <n v="1000"/>
    <n v="918"/>
    <s v="AWD"/>
    <n v="5"/>
    <x v="5"/>
    <n v="36.700000000000003"/>
    <n v="1557"/>
    <x v="1"/>
    <n v="2"/>
    <x v="2"/>
    <x v="0"/>
    <n v="203592"/>
    <n v="3.49"/>
    <n v="5"/>
  </r>
  <r>
    <x v="7"/>
    <s v="Qin"/>
    <x v="2"/>
    <x v="0"/>
    <n v="54577.89"/>
    <n v="119.6"/>
    <n v="427"/>
    <n v="156.1"/>
    <n v="4.3099999999999996"/>
    <n v="190"/>
    <n v="567"/>
    <n v="531"/>
    <s v="AWD"/>
    <n v="5"/>
    <x v="3"/>
    <n v="27.9"/>
    <n v="1638"/>
    <x v="1"/>
    <n v="0"/>
    <x v="4"/>
    <x v="1"/>
    <n v="139526"/>
    <n v="3.84"/>
    <n v="5"/>
  </r>
  <r>
    <x v="0"/>
    <s v="ID. Buzz"/>
    <x v="3"/>
    <x v="4"/>
    <n v="55247.47"/>
    <n v="53.5"/>
    <n v="199"/>
    <n v="114.4"/>
    <n v="5.73"/>
    <n v="170"/>
    <n v="459"/>
    <n v="410"/>
    <s v="AWD"/>
    <n v="5"/>
    <x v="5"/>
    <n v="34.4"/>
    <n v="1500"/>
    <x v="1"/>
    <n v="1"/>
    <x v="0"/>
    <x v="1"/>
    <n v="220284"/>
    <n v="3.29"/>
    <n v="4"/>
  </r>
  <r>
    <x v="8"/>
    <s v="Ioniq 6"/>
    <x v="3"/>
    <x v="3"/>
    <n v="37922.42"/>
    <n v="50.5"/>
    <n v="150"/>
    <n v="65.400000000000006"/>
    <n v="6.36"/>
    <n v="155"/>
    <n v="325"/>
    <n v="323"/>
    <s v="RWD"/>
    <n v="5"/>
    <x v="1"/>
    <n v="68.599999999999994"/>
    <n v="1992"/>
    <x v="2"/>
    <n v="0"/>
    <x v="3"/>
    <x v="1"/>
    <n v="75225"/>
    <n v="3.06"/>
    <n v="5"/>
  </r>
  <r>
    <x v="3"/>
    <s v="EV9"/>
    <x v="0"/>
    <x v="3"/>
    <n v="65534.18"/>
    <n v="84.3"/>
    <n v="248"/>
    <n v="57.6"/>
    <n v="5.04"/>
    <n v="176"/>
    <n v="708"/>
    <n v="642"/>
    <s v="FWD"/>
    <n v="5"/>
    <x v="1"/>
    <n v="56.5"/>
    <n v="1815"/>
    <x v="0"/>
    <n v="1"/>
    <x v="3"/>
    <x v="2"/>
    <n v="115671"/>
    <n v="3.43"/>
    <n v="4"/>
  </r>
  <r>
    <x v="0"/>
    <s v="ID.3"/>
    <x v="5"/>
    <x v="4"/>
    <n v="36867.620000000003"/>
    <n v="42"/>
    <n v="175"/>
    <n v="63.1"/>
    <n v="6.92"/>
    <n v="148"/>
    <n v="259"/>
    <n v="233"/>
    <s v="RWD"/>
    <n v="7"/>
    <x v="2"/>
    <n v="67.099999999999994"/>
    <n v="1542"/>
    <x v="1"/>
    <n v="1"/>
    <x v="0"/>
    <x v="1"/>
    <n v="299992"/>
    <n v="3.38"/>
    <n v="4"/>
  </r>
  <r>
    <x v="8"/>
    <s v="Ioniq 6"/>
    <x v="0"/>
    <x v="4"/>
    <n v="66319.66"/>
    <n v="72.900000000000006"/>
    <n v="225"/>
    <n v="110.9"/>
    <n v="7.63"/>
    <n v="134"/>
    <n v="766"/>
    <n v="617"/>
    <s v="RWD"/>
    <n v="7"/>
    <x v="2"/>
    <n v="77.2"/>
    <n v="1709"/>
    <x v="0"/>
    <n v="0"/>
    <x v="3"/>
    <x v="2"/>
    <n v="139935"/>
    <n v="3.2"/>
    <n v="3"/>
  </r>
  <r>
    <x v="2"/>
    <s v="Blazer EV"/>
    <x v="5"/>
    <x v="4"/>
    <n v="47749.35"/>
    <n v="64.3"/>
    <n v="253"/>
    <n v="114"/>
    <n v="5.82"/>
    <n v="170"/>
    <n v="522"/>
    <n v="467"/>
    <s v="RWD"/>
    <n v="7"/>
    <x v="0"/>
    <n v="71.900000000000006"/>
    <n v="2378"/>
    <x v="1"/>
    <n v="0"/>
    <x v="2"/>
    <x v="1"/>
    <n v="11602"/>
    <n v="3.26"/>
    <n v="4"/>
  </r>
  <r>
    <x v="4"/>
    <s v="Model S"/>
    <x v="3"/>
    <x v="4"/>
    <n v="75212.509999999995"/>
    <n v="79.3"/>
    <n v="260"/>
    <n v="293.3"/>
    <n v="6.39"/>
    <n v="154"/>
    <n v="528"/>
    <n v="494"/>
    <s v="FWD"/>
    <n v="7"/>
    <x v="5"/>
    <n v="37.799999999999997"/>
    <n v="1513"/>
    <x v="1"/>
    <n v="3"/>
    <x v="2"/>
    <x v="2"/>
    <n v="148099"/>
    <n v="3.93"/>
    <n v="6"/>
  </r>
  <r>
    <x v="7"/>
    <s v="Atto 3"/>
    <x v="3"/>
    <x v="2"/>
    <n v="87159.360000000001"/>
    <n v="101.7"/>
    <n v="351"/>
    <n v="140.4"/>
    <n v="4.3499999999999996"/>
    <n v="183"/>
    <n v="986"/>
    <n v="946"/>
    <s v="AWD"/>
    <n v="5"/>
    <x v="0"/>
    <n v="68.2"/>
    <n v="2527"/>
    <x v="2"/>
    <n v="1"/>
    <x v="4"/>
    <x v="2"/>
    <n v="204628"/>
    <n v="3.58"/>
    <n v="3"/>
  </r>
  <r>
    <x v="2"/>
    <s v="Bolt EUV"/>
    <x v="4"/>
    <x v="4"/>
    <n v="44183.28"/>
    <n v="58.8"/>
    <n v="207"/>
    <n v="105"/>
    <n v="5.23"/>
    <n v="169"/>
    <n v="449"/>
    <n v="443"/>
    <s v="RWD"/>
    <n v="5"/>
    <x v="2"/>
    <n v="64.7"/>
    <n v="1615"/>
    <x v="1"/>
    <n v="0"/>
    <x v="2"/>
    <x v="1"/>
    <n v="22786"/>
    <n v="3.51"/>
    <n v="4"/>
  </r>
  <r>
    <x v="11"/>
    <s v="e-tron"/>
    <x v="0"/>
    <x v="4"/>
    <n v="63313.85"/>
    <n v="56.2"/>
    <n v="189"/>
    <n v="110"/>
    <n v="6.71"/>
    <n v="138"/>
    <n v="298"/>
    <n v="281"/>
    <s v="AWD"/>
    <n v="5"/>
    <x v="2"/>
    <n v="72.2"/>
    <n v="1632"/>
    <x v="0"/>
    <n v="1"/>
    <x v="0"/>
    <x v="1"/>
    <n v="25175"/>
    <n v="3.27"/>
    <n v="6"/>
  </r>
  <r>
    <x v="8"/>
    <s v="Kona Electric"/>
    <x v="2"/>
    <x v="2"/>
    <n v="90974.8"/>
    <n v="80.400000000000006"/>
    <n v="296"/>
    <n v="119.4"/>
    <n v="4.7"/>
    <n v="179"/>
    <n v="1000"/>
    <n v="923"/>
    <s v="FWD"/>
    <n v="7"/>
    <x v="2"/>
    <n v="72.599999999999994"/>
    <n v="1741"/>
    <x v="0"/>
    <n v="0"/>
    <x v="3"/>
    <x v="2"/>
    <n v="59668"/>
    <n v="3.91"/>
    <n v="3"/>
  </r>
  <r>
    <x v="8"/>
    <s v="Ioniq 5"/>
    <x v="1"/>
    <x v="0"/>
    <n v="81725.25"/>
    <n v="71.7"/>
    <n v="234"/>
    <n v="189.2"/>
    <n v="3.79"/>
    <n v="197"/>
    <n v="1000"/>
    <n v="888"/>
    <s v="AWD"/>
    <n v="5"/>
    <x v="5"/>
    <n v="37"/>
    <n v="1500"/>
    <x v="1"/>
    <n v="1"/>
    <x v="3"/>
    <x v="2"/>
    <n v="72070"/>
    <n v="3.48"/>
    <n v="4"/>
  </r>
  <r>
    <x v="4"/>
    <s v="Model Y"/>
    <x v="3"/>
    <x v="2"/>
    <n v="64135.13"/>
    <n v="97.7"/>
    <n v="359"/>
    <n v="226.7"/>
    <n v="5.4"/>
    <n v="171"/>
    <n v="471"/>
    <n v="372"/>
    <s v="RWD"/>
    <n v="5"/>
    <x v="3"/>
    <n v="37.5"/>
    <n v="1742"/>
    <x v="0"/>
    <n v="3"/>
    <x v="2"/>
    <x v="1"/>
    <n v="427732"/>
    <n v="4.21"/>
    <n v="4"/>
  </r>
  <r>
    <x v="0"/>
    <s v="ID.4"/>
    <x v="3"/>
    <x v="0"/>
    <n v="91483.89"/>
    <n v="74.2"/>
    <n v="246"/>
    <n v="206.1"/>
    <n v="3.02"/>
    <n v="199"/>
    <n v="1000"/>
    <n v="891"/>
    <s v="AWD"/>
    <n v="5"/>
    <x v="4"/>
    <n v="37.299999999999997"/>
    <n v="1500"/>
    <x v="0"/>
    <n v="1"/>
    <x v="0"/>
    <x v="2"/>
    <n v="206750"/>
    <n v="3.64"/>
    <n v="3"/>
  </r>
  <r>
    <x v="8"/>
    <s v="i30"/>
    <x v="2"/>
    <x v="1"/>
    <n v="40685.58"/>
    <n v="66.5"/>
    <n v="247"/>
    <n v="65"/>
    <n v="6.33"/>
    <n v="159"/>
    <n v="381"/>
    <n v="313"/>
    <s v="AWD"/>
    <n v="7"/>
    <x v="3"/>
    <n v="18.5"/>
    <n v="1548"/>
    <x v="1"/>
    <n v="0"/>
    <x v="3"/>
    <x v="1"/>
    <n v="143645"/>
    <n v="3.36"/>
    <n v="4"/>
  </r>
  <r>
    <x v="7"/>
    <s v="Dolphin"/>
    <x v="3"/>
    <x v="3"/>
    <n v="52144.09"/>
    <n v="43.5"/>
    <n v="150"/>
    <n v="82.6"/>
    <n v="5.1100000000000003"/>
    <n v="178"/>
    <n v="572"/>
    <n v="578"/>
    <s v="FWD"/>
    <n v="7"/>
    <x v="3"/>
    <n v="15.2"/>
    <n v="1600"/>
    <x v="0"/>
    <n v="0"/>
    <x v="4"/>
    <x v="1"/>
    <n v="212512"/>
    <n v="3.12"/>
    <n v="3"/>
  </r>
  <r>
    <x v="7"/>
    <s v="Yuan Plus"/>
    <x v="2"/>
    <x v="3"/>
    <n v="73962.429999999993"/>
    <n v="41.7"/>
    <n v="163"/>
    <n v="108.8"/>
    <n v="5.83"/>
    <n v="163"/>
    <n v="867"/>
    <n v="753"/>
    <s v="RWD"/>
    <n v="5"/>
    <x v="5"/>
    <n v="18.399999999999999"/>
    <n v="1597"/>
    <x v="1"/>
    <n v="0"/>
    <x v="4"/>
    <x v="2"/>
    <n v="121424"/>
    <n v="3.25"/>
    <n v="3"/>
  </r>
  <r>
    <x v="0"/>
    <s v="ID.5"/>
    <x v="0"/>
    <x v="0"/>
    <n v="62312.34"/>
    <n v="116.7"/>
    <n v="420"/>
    <n v="160.5"/>
    <n v="4.17"/>
    <n v="191"/>
    <n v="574"/>
    <n v="499"/>
    <s v="FWD"/>
    <n v="7"/>
    <x v="5"/>
    <n v="30.5"/>
    <n v="1792"/>
    <x v="0"/>
    <n v="0"/>
    <x v="0"/>
    <x v="1"/>
    <n v="298301"/>
    <n v="3.59"/>
    <n v="3"/>
  </r>
  <r>
    <x v="4"/>
    <s v="Model 3"/>
    <x v="2"/>
    <x v="2"/>
    <n v="73678.259999999995"/>
    <n v="106.1"/>
    <n v="370"/>
    <n v="204.7"/>
    <n v="4.74"/>
    <n v="177"/>
    <n v="505"/>
    <n v="433"/>
    <s v="RWD"/>
    <n v="5"/>
    <x v="4"/>
    <n v="29.7"/>
    <n v="1536"/>
    <x v="1"/>
    <n v="2"/>
    <x v="2"/>
    <x v="2"/>
    <n v="201869"/>
    <n v="3.99"/>
    <n v="5"/>
  </r>
  <r>
    <x v="7"/>
    <s v="Leaf 50X"/>
    <x v="4"/>
    <x v="1"/>
    <n v="32842.629999999997"/>
    <n v="55.1"/>
    <n v="180"/>
    <n v="131"/>
    <n v="7.28"/>
    <n v="139"/>
    <n v="415"/>
    <n v="337"/>
    <s v="AWD"/>
    <n v="5"/>
    <x v="1"/>
    <n v="55.1"/>
    <n v="2155"/>
    <x v="0"/>
    <n v="1"/>
    <x v="4"/>
    <x v="3"/>
    <n v="173134"/>
    <n v="3.1"/>
    <n v="4"/>
  </r>
  <r>
    <x v="7"/>
    <s v="Atto 3"/>
    <x v="0"/>
    <x v="0"/>
    <n v="62874.95"/>
    <n v="71.7"/>
    <n v="262"/>
    <n v="179.3"/>
    <n v="3.15"/>
    <n v="200"/>
    <n v="691"/>
    <n v="603"/>
    <s v="RWD"/>
    <n v="5"/>
    <x v="5"/>
    <n v="38.9"/>
    <n v="1665"/>
    <x v="0"/>
    <n v="0"/>
    <x v="4"/>
    <x v="1"/>
    <n v="207361"/>
    <n v="3.74"/>
    <n v="4"/>
  </r>
  <r>
    <x v="7"/>
    <s v="Atto 3"/>
    <x v="1"/>
    <x v="1"/>
    <n v="107436.09"/>
    <n v="65.7"/>
    <n v="255"/>
    <n v="124.5"/>
    <n v="7.71"/>
    <n v="137"/>
    <n v="1000"/>
    <n v="899"/>
    <s v="RWD"/>
    <n v="5"/>
    <x v="1"/>
    <n v="37.799999999999997"/>
    <n v="1887"/>
    <x v="1"/>
    <n v="1"/>
    <x v="4"/>
    <x v="0"/>
    <n v="201045"/>
    <n v="3.64"/>
    <n v="3"/>
  </r>
  <r>
    <x v="4"/>
    <s v="Model 3"/>
    <x v="3"/>
    <x v="1"/>
    <n v="154568.94"/>
    <n v="68"/>
    <n v="235"/>
    <n v="285.7"/>
    <n v="5.0199999999999996"/>
    <n v="170"/>
    <n v="1000"/>
    <n v="937"/>
    <s v="RWD"/>
    <n v="5"/>
    <x v="4"/>
    <n v="21.2"/>
    <n v="1756"/>
    <x v="1"/>
    <n v="3"/>
    <x v="2"/>
    <x v="0"/>
    <n v="245844"/>
    <n v="3.7"/>
    <n v="5"/>
  </r>
  <r>
    <x v="11"/>
    <s v="e-tron"/>
    <x v="2"/>
    <x v="4"/>
    <n v="62074.39"/>
    <n v="65.3"/>
    <n v="236"/>
    <n v="53.7"/>
    <n v="5.78"/>
    <n v="160"/>
    <n v="256"/>
    <n v="256"/>
    <s v="RWD"/>
    <n v="7"/>
    <x v="1"/>
    <n v="53.4"/>
    <n v="2242"/>
    <x v="1"/>
    <n v="2"/>
    <x v="0"/>
    <x v="1"/>
    <n v="41240"/>
    <n v="3.53"/>
    <n v="8"/>
  </r>
  <r>
    <x v="3"/>
    <s v="EV6"/>
    <x v="2"/>
    <x v="0"/>
    <n v="68316.17"/>
    <n v="76.400000000000006"/>
    <n v="262"/>
    <n v="155.30000000000001"/>
    <n v="3.88"/>
    <n v="189"/>
    <n v="785"/>
    <n v="658"/>
    <s v="RWD"/>
    <n v="7"/>
    <x v="3"/>
    <n v="23.8"/>
    <n v="1907"/>
    <x v="0"/>
    <n v="2"/>
    <x v="3"/>
    <x v="2"/>
    <n v="86275"/>
    <n v="3.61"/>
    <n v="3"/>
  </r>
  <r>
    <x v="10"/>
    <s v="iX"/>
    <x v="0"/>
    <x v="3"/>
    <n v="98461.71"/>
    <n v="53"/>
    <n v="185"/>
    <n v="121"/>
    <n v="6.84"/>
    <n v="142"/>
    <n v="800"/>
    <n v="752"/>
    <s v="FWD"/>
    <n v="7"/>
    <x v="5"/>
    <n v="27.3"/>
    <n v="1509"/>
    <x v="1"/>
    <n v="2"/>
    <x v="0"/>
    <x v="2"/>
    <n v="22686"/>
    <n v="3"/>
    <n v="7"/>
  </r>
  <r>
    <x v="9"/>
    <s v="Mustang Mach-E"/>
    <x v="0"/>
    <x v="1"/>
    <n v="61500.69"/>
    <n v="61.2"/>
    <n v="209"/>
    <n v="73"/>
    <n v="6.01"/>
    <n v="154"/>
    <n v="616"/>
    <n v="524"/>
    <s v="AWD"/>
    <n v="7"/>
    <x v="5"/>
    <n v="15.4"/>
    <n v="1576"/>
    <x v="1"/>
    <n v="1"/>
    <x v="2"/>
    <x v="1"/>
    <n v="52208"/>
    <n v="3.39"/>
    <n v="4"/>
  </r>
  <r>
    <x v="8"/>
    <s v="Ioniq 6"/>
    <x v="2"/>
    <x v="4"/>
    <n v="60164.53"/>
    <n v="53.1"/>
    <n v="185"/>
    <n v="61.2"/>
    <n v="7.06"/>
    <n v="146"/>
    <n v="673"/>
    <n v="592"/>
    <s v="FWD"/>
    <n v="7"/>
    <x v="1"/>
    <n v="41.7"/>
    <n v="1827"/>
    <x v="1"/>
    <n v="1"/>
    <x v="3"/>
    <x v="1"/>
    <n v="85467"/>
    <n v="3.29"/>
    <n v="5"/>
  </r>
  <r>
    <x v="4"/>
    <s v="Model 3"/>
    <x v="0"/>
    <x v="4"/>
    <n v="123171.93"/>
    <n v="71.8"/>
    <n v="246"/>
    <n v="208.4"/>
    <n v="6.3"/>
    <n v="150"/>
    <n v="907"/>
    <n v="860"/>
    <s v="FWD"/>
    <n v="5"/>
    <x v="3"/>
    <n v="24.7"/>
    <n v="1779"/>
    <x v="0"/>
    <n v="3"/>
    <x v="2"/>
    <x v="0"/>
    <n v="165942"/>
    <n v="3.71"/>
    <n v="5"/>
  </r>
  <r>
    <x v="8"/>
    <s v="i30"/>
    <x v="2"/>
    <x v="3"/>
    <n v="35093.17"/>
    <n v="77.099999999999994"/>
    <n v="295"/>
    <n v="136"/>
    <n v="7.96"/>
    <n v="134"/>
    <n v="249"/>
    <n v="207"/>
    <s v="FWD"/>
    <n v="5"/>
    <x v="2"/>
    <n v="65.599999999999994"/>
    <n v="1663"/>
    <x v="0"/>
    <n v="2"/>
    <x v="3"/>
    <x v="1"/>
    <n v="117101"/>
    <n v="3.46"/>
    <n v="4"/>
  </r>
  <r>
    <x v="3"/>
    <s v="Niro EV"/>
    <x v="4"/>
    <x v="1"/>
    <n v="101333.39"/>
    <n v="70.5"/>
    <n v="249"/>
    <n v="104"/>
    <n v="5.45"/>
    <n v="170"/>
    <n v="1000"/>
    <n v="846"/>
    <s v="RWD"/>
    <n v="5"/>
    <x v="2"/>
    <n v="71.2"/>
    <n v="1660"/>
    <x v="0"/>
    <n v="0"/>
    <x v="3"/>
    <x v="0"/>
    <n v="89918"/>
    <n v="3.29"/>
    <n v="4"/>
  </r>
  <r>
    <x v="2"/>
    <s v="Blazer EV"/>
    <x v="1"/>
    <x v="2"/>
    <n v="54305.64"/>
    <n v="86.4"/>
    <n v="289"/>
    <n v="121.7"/>
    <n v="5.96"/>
    <n v="162"/>
    <n v="669"/>
    <n v="612"/>
    <s v="FWD"/>
    <n v="5"/>
    <x v="2"/>
    <n v="66.900000000000006"/>
    <n v="1708"/>
    <x v="1"/>
    <n v="2"/>
    <x v="2"/>
    <x v="1"/>
    <n v="18445"/>
    <n v="3.56"/>
    <n v="4"/>
  </r>
  <r>
    <x v="0"/>
    <s v="ID. Buzz"/>
    <x v="3"/>
    <x v="0"/>
    <n v="58007.82"/>
    <n v="105.3"/>
    <n v="382"/>
    <n v="246.2"/>
    <n v="4.21"/>
    <n v="188"/>
    <n v="563"/>
    <n v="492"/>
    <s v="RWD"/>
    <n v="7"/>
    <x v="2"/>
    <n v="67.8"/>
    <n v="1781"/>
    <x v="2"/>
    <n v="0"/>
    <x v="0"/>
    <x v="1"/>
    <n v="241176"/>
    <n v="3.98"/>
    <n v="3"/>
  </r>
  <r>
    <x v="4"/>
    <s v="Cybertruck"/>
    <x v="2"/>
    <x v="0"/>
    <n v="188964.7"/>
    <n v="106.8"/>
    <n v="367"/>
    <n v="318"/>
    <n v="4.3499999999999996"/>
    <n v="193"/>
    <n v="1000"/>
    <n v="912"/>
    <s v="RWD"/>
    <n v="7"/>
    <x v="0"/>
    <n v="67.400000000000006"/>
    <n v="2274"/>
    <x v="0"/>
    <n v="3"/>
    <x v="2"/>
    <x v="0"/>
    <n v="239165"/>
    <n v="4.2699999999999996"/>
    <n v="5"/>
  </r>
  <r>
    <x v="7"/>
    <s v="Leaf 50X"/>
    <x v="3"/>
    <x v="4"/>
    <n v="33650.32"/>
    <n v="63.9"/>
    <n v="231"/>
    <n v="79.2"/>
    <n v="7.37"/>
    <n v="134"/>
    <n v="332"/>
    <n v="340"/>
    <s v="AWD"/>
    <n v="7"/>
    <x v="5"/>
    <n v="39.5"/>
    <n v="1698"/>
    <x v="0"/>
    <n v="1"/>
    <x v="4"/>
    <x v="3"/>
    <n v="210399"/>
    <n v="3.56"/>
    <n v="4"/>
  </r>
  <r>
    <x v="0"/>
    <s v="ID. Buzz"/>
    <x v="0"/>
    <x v="3"/>
    <n v="31850.78"/>
    <n v="51.4"/>
    <n v="199"/>
    <n v="81.3"/>
    <n v="7.1"/>
    <n v="149"/>
    <n v="166"/>
    <n v="200"/>
    <s v="FWD"/>
    <n v="5"/>
    <x v="5"/>
    <n v="30.7"/>
    <n v="1500"/>
    <x v="1"/>
    <n v="0"/>
    <x v="0"/>
    <x v="3"/>
    <n v="272903"/>
    <n v="3.24"/>
    <n v="3"/>
  </r>
  <r>
    <x v="10"/>
    <s v="iX"/>
    <x v="5"/>
    <x v="4"/>
    <n v="111337.67"/>
    <n v="83.1"/>
    <n v="295"/>
    <n v="73.5"/>
    <n v="5.59"/>
    <n v="167"/>
    <n v="1000"/>
    <n v="922"/>
    <s v="RWD"/>
    <n v="7"/>
    <x v="2"/>
    <n v="66"/>
    <n v="1641"/>
    <x v="0"/>
    <n v="1"/>
    <x v="0"/>
    <x v="0"/>
    <n v="20689"/>
    <n v="3.65"/>
    <n v="7"/>
  </r>
  <r>
    <x v="3"/>
    <s v="Sportage EV"/>
    <x v="2"/>
    <x v="4"/>
    <n v="56593.19"/>
    <n v="56.2"/>
    <n v="197"/>
    <n v="62.4"/>
    <n v="5.24"/>
    <n v="170"/>
    <n v="590"/>
    <n v="549"/>
    <s v="RWD"/>
    <n v="5"/>
    <x v="1"/>
    <n v="55.4"/>
    <n v="2177"/>
    <x v="0"/>
    <n v="0"/>
    <x v="3"/>
    <x v="1"/>
    <n v="135755"/>
    <n v="3.26"/>
    <n v="4"/>
  </r>
  <r>
    <x v="0"/>
    <s v="ID.3"/>
    <x v="2"/>
    <x v="3"/>
    <n v="71569.98"/>
    <n v="57.7"/>
    <n v="186"/>
    <n v="144.5"/>
    <n v="5.62"/>
    <n v="158"/>
    <n v="746"/>
    <n v="669"/>
    <s v="RWD"/>
    <n v="7"/>
    <x v="1"/>
    <n v="68.2"/>
    <n v="2030"/>
    <x v="1"/>
    <n v="1"/>
    <x v="0"/>
    <x v="2"/>
    <n v="287315"/>
    <n v="3.19"/>
    <n v="3"/>
  </r>
  <r>
    <x v="14"/>
    <s v="Macan Electric"/>
    <x v="0"/>
    <x v="2"/>
    <n v="139594.69"/>
    <n v="75.599999999999994"/>
    <n v="252"/>
    <n v="292.5"/>
    <n v="4.3499999999999996"/>
    <n v="179"/>
    <n v="611"/>
    <n v="473"/>
    <s v="FWD"/>
    <n v="7"/>
    <x v="3"/>
    <n v="25.3"/>
    <n v="1829"/>
    <x v="2"/>
    <n v="0"/>
    <x v="0"/>
    <x v="0"/>
    <n v="9428"/>
    <n v="3.64"/>
    <n v="8"/>
  </r>
  <r>
    <x v="3"/>
    <s v="Niro EV"/>
    <x v="0"/>
    <x v="4"/>
    <n v="42128.98"/>
    <n v="66.599999999999994"/>
    <n v="226"/>
    <n v="79.400000000000006"/>
    <n v="6.82"/>
    <n v="145"/>
    <n v="371"/>
    <n v="263"/>
    <s v="FWD"/>
    <n v="7"/>
    <x v="3"/>
    <n v="33.200000000000003"/>
    <n v="1795"/>
    <x v="0"/>
    <n v="0"/>
    <x v="3"/>
    <x v="1"/>
    <n v="121472"/>
    <n v="3.23"/>
    <n v="4"/>
  </r>
  <r>
    <x v="7"/>
    <s v="Seagull"/>
    <x v="0"/>
    <x v="3"/>
    <n v="52361.13"/>
    <n v="60"/>
    <n v="186"/>
    <n v="121.5"/>
    <n v="7.42"/>
    <n v="142"/>
    <n v="534"/>
    <n v="449"/>
    <s v="FWD"/>
    <n v="7"/>
    <x v="3"/>
    <n v="32.1"/>
    <n v="1500"/>
    <x v="0"/>
    <n v="0"/>
    <x v="4"/>
    <x v="1"/>
    <n v="203886"/>
    <n v="3.06"/>
    <n v="3"/>
  </r>
  <r>
    <x v="4"/>
    <s v="Cybertruck"/>
    <x v="1"/>
    <x v="0"/>
    <n v="161513.5"/>
    <n v="115.3"/>
    <n v="420"/>
    <n v="223.7"/>
    <n v="2.54"/>
    <n v="200"/>
    <n v="1000"/>
    <n v="924"/>
    <s v="RWD"/>
    <n v="5"/>
    <x v="0"/>
    <n v="75.099999999999994"/>
    <n v="2605"/>
    <x v="0"/>
    <n v="2"/>
    <x v="2"/>
    <x v="0"/>
    <n v="172224"/>
    <n v="4.09"/>
    <n v="4"/>
  </r>
  <r>
    <x v="4"/>
    <s v="Model S"/>
    <x v="3"/>
    <x v="0"/>
    <n v="99545.7"/>
    <n v="74.099999999999994"/>
    <n v="250"/>
    <n v="202.5"/>
    <n v="4.1900000000000004"/>
    <n v="190"/>
    <n v="746"/>
    <n v="677"/>
    <s v="AWD"/>
    <n v="7"/>
    <x v="3"/>
    <n v="34.700000000000003"/>
    <n v="1588"/>
    <x v="0"/>
    <n v="2"/>
    <x v="2"/>
    <x v="2"/>
    <n v="244941"/>
    <n v="3.69"/>
    <n v="5"/>
  </r>
  <r>
    <x v="7"/>
    <s v="Dolphin"/>
    <x v="0"/>
    <x v="1"/>
    <n v="78664.3"/>
    <n v="82.8"/>
    <n v="301"/>
    <n v="145.4"/>
    <n v="6.95"/>
    <n v="137"/>
    <n v="845"/>
    <n v="776"/>
    <s v="AWD"/>
    <n v="5"/>
    <x v="0"/>
    <n v="74"/>
    <n v="2356"/>
    <x v="1"/>
    <n v="1"/>
    <x v="4"/>
    <x v="2"/>
    <n v="238674"/>
    <n v="3.59"/>
    <n v="4"/>
  </r>
  <r>
    <x v="4"/>
    <s v="Model Y"/>
    <x v="1"/>
    <x v="3"/>
    <n v="75540.09"/>
    <n v="49.6"/>
    <n v="150"/>
    <n v="293.39999999999998"/>
    <n v="5.78"/>
    <n v="154"/>
    <n v="490"/>
    <n v="455"/>
    <s v="FWD"/>
    <n v="5"/>
    <x v="4"/>
    <n v="23"/>
    <n v="1503"/>
    <x v="1"/>
    <n v="2"/>
    <x v="2"/>
    <x v="2"/>
    <n v="455317"/>
    <n v="3.27"/>
    <n v="6"/>
  </r>
  <r>
    <x v="4"/>
    <s v="Model S"/>
    <x v="3"/>
    <x v="0"/>
    <n v="135540.84"/>
    <n v="85.8"/>
    <n v="296"/>
    <n v="299.2"/>
    <n v="3.77"/>
    <n v="188"/>
    <n v="1000"/>
    <n v="854"/>
    <s v="RWD"/>
    <n v="5"/>
    <x v="1"/>
    <n v="61.5"/>
    <n v="2369"/>
    <x v="1"/>
    <n v="3"/>
    <x v="2"/>
    <x v="0"/>
    <n v="108193"/>
    <n v="3.98"/>
    <n v="5"/>
  </r>
  <r>
    <x v="7"/>
    <s v="Seagull"/>
    <x v="2"/>
    <x v="3"/>
    <n v="24520.21"/>
    <n v="71.2"/>
    <n v="253"/>
    <n v="57.5"/>
    <n v="6.21"/>
    <n v="159"/>
    <n v="228"/>
    <n v="201"/>
    <s v="AWD"/>
    <n v="7"/>
    <x v="3"/>
    <n v="33.700000000000003"/>
    <n v="1739"/>
    <x v="1"/>
    <n v="1"/>
    <x v="4"/>
    <x v="3"/>
    <n v="191198"/>
    <n v="3.48"/>
    <n v="5"/>
  </r>
  <r>
    <x v="4"/>
    <s v="Model Y"/>
    <x v="5"/>
    <x v="3"/>
    <n v="113350.86"/>
    <n v="73.5"/>
    <n v="268"/>
    <n v="207.2"/>
    <n v="6.51"/>
    <n v="155"/>
    <n v="835"/>
    <n v="807"/>
    <s v="FWD"/>
    <n v="7"/>
    <x v="5"/>
    <n v="17.399999999999999"/>
    <n v="1500"/>
    <x v="1"/>
    <n v="2"/>
    <x v="2"/>
    <x v="0"/>
    <n v="463970"/>
    <n v="3.62"/>
    <n v="6"/>
  </r>
  <r>
    <x v="11"/>
    <s v="Q6 e-tron"/>
    <x v="3"/>
    <x v="3"/>
    <n v="80914.990000000005"/>
    <n v="67.400000000000006"/>
    <n v="220"/>
    <n v="55.8"/>
    <n v="5.13"/>
    <n v="178"/>
    <n v="484"/>
    <n v="414"/>
    <s v="FWD"/>
    <n v="5"/>
    <x v="5"/>
    <n v="30"/>
    <n v="1500"/>
    <x v="1"/>
    <n v="1"/>
    <x v="0"/>
    <x v="2"/>
    <n v="22856"/>
    <n v="3.44"/>
    <n v="7"/>
  </r>
  <r>
    <x v="4"/>
    <s v="Model X"/>
    <x v="0"/>
    <x v="0"/>
    <n v="84447.94"/>
    <n v="72.5"/>
    <n v="255"/>
    <n v="322.2"/>
    <n v="3.35"/>
    <n v="200"/>
    <n v="602"/>
    <n v="569"/>
    <s v="FWD"/>
    <n v="5"/>
    <x v="5"/>
    <n v="36.6"/>
    <n v="1535"/>
    <x v="0"/>
    <n v="2"/>
    <x v="2"/>
    <x v="2"/>
    <n v="103295"/>
    <n v="3.51"/>
    <n v="6"/>
  </r>
  <r>
    <x v="8"/>
    <s v="Ioniq"/>
    <x v="2"/>
    <x v="3"/>
    <n v="31858.49"/>
    <n v="76.599999999999994"/>
    <n v="274"/>
    <n v="140.30000000000001"/>
    <n v="5.5"/>
    <n v="171"/>
    <n v="286"/>
    <n v="243"/>
    <s v="FWD"/>
    <n v="7"/>
    <x v="3"/>
    <n v="24"/>
    <n v="1538"/>
    <x v="2"/>
    <n v="0"/>
    <x v="3"/>
    <x v="3"/>
    <n v="89552"/>
    <n v="3.4"/>
    <n v="5"/>
  </r>
  <r>
    <x v="0"/>
    <s v="ID.5"/>
    <x v="3"/>
    <x v="4"/>
    <n v="70801.47"/>
    <n v="60.4"/>
    <n v="204"/>
    <n v="126.5"/>
    <n v="7.51"/>
    <n v="137"/>
    <n v="785"/>
    <n v="727"/>
    <s v="FWD"/>
    <n v="7"/>
    <x v="1"/>
    <n v="66.5"/>
    <n v="1837"/>
    <x v="1"/>
    <n v="0"/>
    <x v="0"/>
    <x v="2"/>
    <n v="299914"/>
    <n v="3.54"/>
    <n v="4"/>
  </r>
  <r>
    <x v="19"/>
    <n v="4"/>
    <x v="3"/>
    <x v="4"/>
    <n v="80679.27"/>
    <n v="41.3"/>
    <n v="155"/>
    <n v="112.6"/>
    <n v="5.25"/>
    <n v="170"/>
    <n v="456"/>
    <n v="427"/>
    <s v="AWD"/>
    <n v="5"/>
    <x v="3"/>
    <n v="33.200000000000003"/>
    <n v="1818"/>
    <x v="1"/>
    <n v="0"/>
    <x v="5"/>
    <x v="2"/>
    <n v="7428"/>
    <n v="3.03"/>
    <n v="4"/>
  </r>
  <r>
    <x v="4"/>
    <s v="Model S"/>
    <x v="3"/>
    <x v="3"/>
    <n v="29088.57"/>
    <n v="79.3"/>
    <n v="262"/>
    <n v="230.9"/>
    <n v="6.43"/>
    <n v="148"/>
    <n v="150"/>
    <n v="200"/>
    <s v="FWD"/>
    <n v="7"/>
    <x v="2"/>
    <n v="79.5"/>
    <n v="1535"/>
    <x v="1"/>
    <n v="2"/>
    <x v="2"/>
    <x v="3"/>
    <n v="173989"/>
    <n v="4.17"/>
    <n v="6"/>
  </r>
  <r>
    <x v="0"/>
    <s v="ID.3"/>
    <x v="5"/>
    <x v="2"/>
    <n v="57231.82"/>
    <n v="83.1"/>
    <n v="283"/>
    <n v="81.400000000000006"/>
    <n v="4.75"/>
    <n v="170"/>
    <n v="586"/>
    <n v="546"/>
    <s v="RWD"/>
    <n v="7"/>
    <x v="2"/>
    <n v="69.5"/>
    <n v="1604"/>
    <x v="0"/>
    <n v="1"/>
    <x v="0"/>
    <x v="1"/>
    <n v="290062"/>
    <n v="3.77"/>
    <n v="4"/>
  </r>
  <r>
    <x v="6"/>
    <s v="Ronin"/>
    <x v="3"/>
    <x v="1"/>
    <n v="67039.100000000006"/>
    <n v="75"/>
    <n v="271"/>
    <n v="92.9"/>
    <n v="7.99"/>
    <n v="127"/>
    <n v="473"/>
    <n v="448"/>
    <s v="AWD"/>
    <n v="7"/>
    <x v="4"/>
    <n v="30.8"/>
    <n v="1735"/>
    <x v="1"/>
    <n v="1"/>
    <x v="2"/>
    <x v="2"/>
    <n v="2336"/>
    <n v="3.5"/>
    <n v="5"/>
  </r>
  <r>
    <x v="5"/>
    <s v="EQG"/>
    <x v="2"/>
    <x v="3"/>
    <n v="72880.75"/>
    <n v="63.7"/>
    <n v="235"/>
    <n v="106.4"/>
    <n v="7.57"/>
    <n v="133"/>
    <n v="273"/>
    <n v="269"/>
    <s v="RWD"/>
    <n v="5"/>
    <x v="0"/>
    <n v="69.400000000000006"/>
    <n v="2466"/>
    <x v="0"/>
    <n v="1"/>
    <x v="0"/>
    <x v="2"/>
    <n v="46123"/>
    <n v="3.85"/>
    <n v="5"/>
  </r>
  <r>
    <x v="9"/>
    <s v="E-Transit"/>
    <x v="2"/>
    <x v="1"/>
    <n v="81884.759999999995"/>
    <n v="79.5"/>
    <n v="280"/>
    <n v="54.3"/>
    <n v="7.91"/>
    <n v="134"/>
    <n v="950"/>
    <n v="893"/>
    <s v="AWD"/>
    <n v="5"/>
    <x v="3"/>
    <n v="22.8"/>
    <n v="1998"/>
    <x v="2"/>
    <n v="1"/>
    <x v="2"/>
    <x v="2"/>
    <n v="49332"/>
    <n v="3.58"/>
    <n v="4"/>
  </r>
  <r>
    <x v="7"/>
    <s v="Dolphin"/>
    <x v="2"/>
    <x v="3"/>
    <n v="27229.19"/>
    <n v="64.8"/>
    <n v="227"/>
    <n v="133.19999999999999"/>
    <n v="7.27"/>
    <n v="144"/>
    <n v="326"/>
    <n v="301"/>
    <s v="FWD"/>
    <n v="5"/>
    <x v="3"/>
    <n v="28"/>
    <n v="1522"/>
    <x v="1"/>
    <n v="0"/>
    <x v="4"/>
    <x v="3"/>
    <n v="118103"/>
    <n v="3.49"/>
    <n v="4"/>
  </r>
  <r>
    <x v="4"/>
    <s v="Cybertruck"/>
    <x v="1"/>
    <x v="0"/>
    <n v="39719.769999999997"/>
    <n v="75.3"/>
    <n v="297"/>
    <n v="204.3"/>
    <n v="3.65"/>
    <n v="200"/>
    <n v="277"/>
    <n v="273"/>
    <s v="AWD"/>
    <n v="5"/>
    <x v="0"/>
    <n v="70.2"/>
    <n v="2610"/>
    <x v="1"/>
    <n v="2"/>
    <x v="2"/>
    <x v="1"/>
    <n v="220959"/>
    <n v="4"/>
    <n v="5"/>
  </r>
  <r>
    <x v="10"/>
    <s v="i4"/>
    <x v="2"/>
    <x v="2"/>
    <n v="83737.7"/>
    <n v="90.9"/>
    <n v="331"/>
    <n v="92.1"/>
    <n v="5.78"/>
    <n v="166"/>
    <n v="611"/>
    <n v="530"/>
    <s v="FWD"/>
    <n v="5"/>
    <x v="5"/>
    <n v="22.8"/>
    <n v="1527"/>
    <x v="0"/>
    <n v="2"/>
    <x v="0"/>
    <x v="2"/>
    <n v="68789"/>
    <n v="3.44"/>
    <n v="6"/>
  </r>
  <r>
    <x v="13"/>
    <s v="R2"/>
    <x v="3"/>
    <x v="0"/>
    <n v="104305.19"/>
    <n v="112.7"/>
    <n v="429"/>
    <n v="159.1"/>
    <n v="3.37"/>
    <n v="200"/>
    <n v="1000"/>
    <n v="875"/>
    <s v="FWD"/>
    <n v="7"/>
    <x v="3"/>
    <n v="29.3"/>
    <n v="1500"/>
    <x v="0"/>
    <n v="1"/>
    <x v="2"/>
    <x v="0"/>
    <n v="26219"/>
    <n v="4.08"/>
    <n v="6"/>
  </r>
  <r>
    <x v="3"/>
    <s v="EV6"/>
    <x v="3"/>
    <x v="0"/>
    <n v="107335.21"/>
    <n v="101.2"/>
    <n v="372"/>
    <n v="208.4"/>
    <n v="3.71"/>
    <n v="187"/>
    <n v="1000"/>
    <n v="911"/>
    <s v="AWD"/>
    <n v="5"/>
    <x v="0"/>
    <n v="63.5"/>
    <n v="2775"/>
    <x v="1"/>
    <n v="0"/>
    <x v="3"/>
    <x v="0"/>
    <n v="56222"/>
    <n v="3.63"/>
    <n v="5"/>
  </r>
  <r>
    <x v="3"/>
    <s v="Picanto EV"/>
    <x v="5"/>
    <x v="2"/>
    <n v="38689.25"/>
    <n v="93"/>
    <n v="330"/>
    <n v="69.7"/>
    <n v="5.24"/>
    <n v="173"/>
    <n v="322"/>
    <n v="295"/>
    <s v="FWD"/>
    <n v="7"/>
    <x v="1"/>
    <n v="67.400000000000006"/>
    <n v="1906"/>
    <x v="2"/>
    <n v="1"/>
    <x v="3"/>
    <x v="1"/>
    <n v="112175"/>
    <n v="3.57"/>
    <n v="4"/>
  </r>
  <r>
    <x v="7"/>
    <s v="Dolphin"/>
    <x v="3"/>
    <x v="4"/>
    <n v="45068.52"/>
    <n v="56.6"/>
    <n v="195"/>
    <n v="112.5"/>
    <n v="5.42"/>
    <n v="162"/>
    <n v="472"/>
    <n v="438"/>
    <s v="RWD"/>
    <n v="5"/>
    <x v="5"/>
    <n v="18"/>
    <n v="1566"/>
    <x v="1"/>
    <n v="0"/>
    <x v="4"/>
    <x v="1"/>
    <n v="196546"/>
    <n v="3.22"/>
    <n v="5"/>
  </r>
  <r>
    <x v="9"/>
    <s v="E-Transit"/>
    <x v="0"/>
    <x v="4"/>
    <n v="38404.42"/>
    <n v="49.1"/>
    <n v="193"/>
    <n v="124"/>
    <n v="6.99"/>
    <n v="148"/>
    <n v="300"/>
    <n v="298"/>
    <s v="FWD"/>
    <n v="5"/>
    <x v="0"/>
    <n v="79.099999999999994"/>
    <n v="3000"/>
    <x v="2"/>
    <n v="1"/>
    <x v="2"/>
    <x v="1"/>
    <n v="49683"/>
    <n v="3.43"/>
    <n v="4"/>
  </r>
  <r>
    <x v="4"/>
    <s v="Model S"/>
    <x v="3"/>
    <x v="4"/>
    <n v="47711.51"/>
    <n v="47.2"/>
    <n v="173"/>
    <n v="321.60000000000002"/>
    <n v="5.99"/>
    <n v="154"/>
    <n v="308"/>
    <n v="261"/>
    <s v="FWD"/>
    <n v="5"/>
    <x v="5"/>
    <n v="26.8"/>
    <n v="1500"/>
    <x v="0"/>
    <n v="2"/>
    <x v="2"/>
    <x v="1"/>
    <n v="180408"/>
    <n v="3.58"/>
    <n v="5"/>
  </r>
  <r>
    <x v="7"/>
    <s v="Dolphin"/>
    <x v="0"/>
    <x v="2"/>
    <n v="77360.56"/>
    <n v="106.1"/>
    <n v="386"/>
    <n v="136.6"/>
    <n v="4.88"/>
    <n v="176"/>
    <n v="878"/>
    <n v="785"/>
    <s v="RWD"/>
    <n v="7"/>
    <x v="0"/>
    <n v="52.9"/>
    <n v="2502"/>
    <x v="1"/>
    <n v="1"/>
    <x v="4"/>
    <x v="2"/>
    <n v="154361"/>
    <n v="3.89"/>
    <n v="4"/>
  </r>
  <r>
    <x v="0"/>
    <s v="ID. Buzz"/>
    <x v="2"/>
    <x v="3"/>
    <n v="65767.179999999993"/>
    <n v="48.6"/>
    <n v="159"/>
    <n v="110.2"/>
    <n v="7.4"/>
    <n v="137"/>
    <n v="635"/>
    <n v="584"/>
    <s v="FWD"/>
    <n v="7"/>
    <x v="2"/>
    <n v="66.8"/>
    <n v="1591"/>
    <x v="1"/>
    <n v="0"/>
    <x v="0"/>
    <x v="2"/>
    <n v="214102"/>
    <n v="3.4"/>
    <n v="5"/>
  </r>
  <r>
    <x v="8"/>
    <s v="Ioniq 6"/>
    <x v="3"/>
    <x v="1"/>
    <n v="72308.960000000006"/>
    <n v="49.7"/>
    <n v="167"/>
    <n v="107.3"/>
    <n v="6.71"/>
    <n v="150"/>
    <n v="906"/>
    <n v="841"/>
    <s v="AWD"/>
    <n v="5"/>
    <x v="2"/>
    <n v="64.099999999999994"/>
    <n v="1602"/>
    <x v="2"/>
    <n v="0"/>
    <x v="3"/>
    <x v="2"/>
    <n v="143294"/>
    <n v="3.17"/>
    <n v="4"/>
  </r>
  <r>
    <x v="7"/>
    <s v="Leaf 50X"/>
    <x v="4"/>
    <x v="0"/>
    <n v="86937.42"/>
    <n v="114.7"/>
    <n v="426"/>
    <n v="245.8"/>
    <n v="4"/>
    <n v="200"/>
    <n v="961"/>
    <n v="894"/>
    <s v="FWD"/>
    <n v="7"/>
    <x v="5"/>
    <n v="35.9"/>
    <n v="1500"/>
    <x v="1"/>
    <n v="1"/>
    <x v="4"/>
    <x v="2"/>
    <n v="145646"/>
    <n v="4.13"/>
    <n v="4"/>
  </r>
  <r>
    <x v="4"/>
    <s v="Model 3"/>
    <x v="5"/>
    <x v="4"/>
    <n v="127646.69"/>
    <n v="65.599999999999994"/>
    <n v="239"/>
    <n v="238.5"/>
    <n v="6.59"/>
    <n v="154"/>
    <n v="936"/>
    <n v="844"/>
    <s v="FWD"/>
    <n v="7"/>
    <x v="1"/>
    <n v="57.6"/>
    <n v="2416"/>
    <x v="0"/>
    <n v="2"/>
    <x v="2"/>
    <x v="0"/>
    <n v="120535"/>
    <n v="3.74"/>
    <n v="4"/>
  </r>
  <r>
    <x v="3"/>
    <s v="Sportage EV"/>
    <x v="3"/>
    <x v="2"/>
    <n v="37973.050000000003"/>
    <n v="76.2"/>
    <n v="263"/>
    <n v="50.6"/>
    <n v="4.99"/>
    <n v="172"/>
    <n v="328"/>
    <n v="234"/>
    <s v="RWD"/>
    <n v="5"/>
    <x v="1"/>
    <n v="40.5"/>
    <n v="2061"/>
    <x v="0"/>
    <n v="2"/>
    <x v="3"/>
    <x v="1"/>
    <n v="66783"/>
    <n v="3.42"/>
    <n v="4"/>
  </r>
  <r>
    <x v="7"/>
    <s v="Atto 3"/>
    <x v="0"/>
    <x v="2"/>
    <n v="48954.46"/>
    <n v="94.7"/>
    <n v="326"/>
    <n v="56.1"/>
    <n v="4.75"/>
    <n v="184"/>
    <n v="512"/>
    <n v="464"/>
    <s v="AWD"/>
    <n v="5"/>
    <x v="2"/>
    <n v="74"/>
    <n v="1616"/>
    <x v="1"/>
    <n v="1"/>
    <x v="4"/>
    <x v="1"/>
    <n v="200483"/>
    <n v="3.75"/>
    <n v="4"/>
  </r>
  <r>
    <x v="3"/>
    <s v="EV9"/>
    <x v="4"/>
    <x v="2"/>
    <n v="60641.55"/>
    <n v="109.9"/>
    <n v="404"/>
    <n v="83.4"/>
    <n v="5.66"/>
    <n v="168"/>
    <n v="698"/>
    <n v="655"/>
    <s v="AWD"/>
    <n v="5"/>
    <x v="1"/>
    <n v="57.2"/>
    <n v="2142"/>
    <x v="1"/>
    <n v="2"/>
    <x v="3"/>
    <x v="1"/>
    <n v="116742"/>
    <n v="3.9"/>
    <n v="5"/>
  </r>
  <r>
    <x v="4"/>
    <s v="Model S"/>
    <x v="3"/>
    <x v="2"/>
    <n v="89182.57"/>
    <n v="108.7"/>
    <n v="358"/>
    <n v="299.89999999999998"/>
    <n v="5.62"/>
    <n v="158"/>
    <n v="683"/>
    <n v="643"/>
    <s v="FWD"/>
    <n v="5"/>
    <x v="0"/>
    <n v="69.3"/>
    <n v="2123"/>
    <x v="0"/>
    <n v="2"/>
    <x v="2"/>
    <x v="2"/>
    <n v="161378"/>
    <n v="4"/>
    <n v="6"/>
  </r>
  <r>
    <x v="8"/>
    <s v="Ioniq 5"/>
    <x v="2"/>
    <x v="1"/>
    <n v="41142.11"/>
    <n v="53.2"/>
    <n v="176"/>
    <n v="90.5"/>
    <n v="5.85"/>
    <n v="160"/>
    <n v="367"/>
    <n v="339"/>
    <s v="AWD"/>
    <n v="5"/>
    <x v="3"/>
    <n v="17.5"/>
    <n v="1865"/>
    <x v="0"/>
    <n v="1"/>
    <x v="3"/>
    <x v="1"/>
    <n v="133250"/>
    <n v="3.71"/>
    <n v="4"/>
  </r>
  <r>
    <x v="8"/>
    <s v="Ioniq 5"/>
    <x v="3"/>
    <x v="2"/>
    <n v="49595.48"/>
    <n v="75.099999999999994"/>
    <n v="260"/>
    <n v="73.900000000000006"/>
    <n v="4.53"/>
    <n v="187"/>
    <n v="496"/>
    <n v="428"/>
    <s v="RWD"/>
    <n v="5"/>
    <x v="4"/>
    <n v="18.399999999999999"/>
    <n v="1805"/>
    <x v="1"/>
    <n v="0"/>
    <x v="3"/>
    <x v="1"/>
    <n v="108288"/>
    <n v="3.54"/>
    <n v="4"/>
  </r>
  <r>
    <x v="4"/>
    <s v="Model S"/>
    <x v="3"/>
    <x v="3"/>
    <n v="99045.61"/>
    <n v="69.900000000000006"/>
    <n v="238"/>
    <n v="316.39999999999998"/>
    <n v="7.86"/>
    <n v="125"/>
    <n v="716"/>
    <n v="620"/>
    <s v="FWD"/>
    <n v="5"/>
    <x v="1"/>
    <n v="60.9"/>
    <n v="2154"/>
    <x v="0"/>
    <n v="3"/>
    <x v="2"/>
    <x v="2"/>
    <n v="134937"/>
    <n v="3.58"/>
    <n v="5"/>
  </r>
  <r>
    <x v="7"/>
    <s v="Leaf 50X"/>
    <x v="2"/>
    <x v="4"/>
    <n v="68838.03"/>
    <n v="48.9"/>
    <n v="180"/>
    <n v="88.2"/>
    <n v="6.45"/>
    <n v="147"/>
    <n v="757"/>
    <n v="719"/>
    <s v="FWD"/>
    <n v="7"/>
    <x v="4"/>
    <n v="19.399999999999999"/>
    <n v="1666"/>
    <x v="0"/>
    <n v="0"/>
    <x v="4"/>
    <x v="2"/>
    <n v="173863"/>
    <n v="3.01"/>
    <n v="5"/>
  </r>
  <r>
    <x v="4"/>
    <s v="Model 3"/>
    <x v="2"/>
    <x v="2"/>
    <n v="54793.42"/>
    <n v="108.6"/>
    <n v="395"/>
    <n v="265.39999999999998"/>
    <n v="4.22"/>
    <n v="191"/>
    <n v="350"/>
    <n v="288"/>
    <s v="FWD"/>
    <n v="5"/>
    <x v="3"/>
    <n v="20.8"/>
    <n v="1657"/>
    <x v="0"/>
    <n v="3"/>
    <x v="2"/>
    <x v="1"/>
    <n v="136524"/>
    <n v="4.42"/>
    <n v="6"/>
  </r>
  <r>
    <x v="4"/>
    <s v="Cybertruck"/>
    <x v="3"/>
    <x v="1"/>
    <n v="160711.64000000001"/>
    <n v="76.8"/>
    <n v="290"/>
    <n v="265"/>
    <n v="6.64"/>
    <n v="153"/>
    <n v="1000"/>
    <n v="885"/>
    <s v="AWD"/>
    <n v="5"/>
    <x v="0"/>
    <n v="67.5"/>
    <n v="2776"/>
    <x v="1"/>
    <n v="2"/>
    <x v="2"/>
    <x v="0"/>
    <n v="208796"/>
    <n v="3.95"/>
    <n v="5"/>
  </r>
  <r>
    <x v="15"/>
    <s v="C40 Recharge"/>
    <x v="5"/>
    <x v="2"/>
    <n v="68234.87"/>
    <n v="75.5"/>
    <n v="251"/>
    <n v="127"/>
    <n v="5.73"/>
    <n v="165"/>
    <n v="493"/>
    <n v="456"/>
    <s v="FWD"/>
    <n v="5"/>
    <x v="1"/>
    <n v="41.7"/>
    <n v="2235"/>
    <x v="0"/>
    <n v="0"/>
    <x v="5"/>
    <x v="2"/>
    <n v="22605"/>
    <n v="3.33"/>
    <n v="3"/>
  </r>
  <r>
    <x v="7"/>
    <s v="Atto 3"/>
    <x v="0"/>
    <x v="3"/>
    <n v="53518.98"/>
    <n v="71.2"/>
    <n v="260"/>
    <n v="109.6"/>
    <n v="6.1"/>
    <n v="153"/>
    <n v="632"/>
    <n v="516"/>
    <s v="FWD"/>
    <n v="7"/>
    <x v="3"/>
    <n v="28.5"/>
    <n v="1500"/>
    <x v="0"/>
    <n v="2"/>
    <x v="4"/>
    <x v="1"/>
    <n v="222794"/>
    <n v="3.15"/>
    <n v="4"/>
  </r>
  <r>
    <x v="9"/>
    <s v="E-Transit"/>
    <x v="3"/>
    <x v="4"/>
    <n v="43156.03"/>
    <n v="81.3"/>
    <n v="293"/>
    <n v="146.69999999999999"/>
    <n v="7.18"/>
    <n v="139"/>
    <n v="341"/>
    <n v="288"/>
    <s v="FWD"/>
    <n v="5"/>
    <x v="2"/>
    <n v="65.400000000000006"/>
    <n v="1526"/>
    <x v="0"/>
    <n v="2"/>
    <x v="2"/>
    <x v="1"/>
    <n v="34530"/>
    <n v="3.75"/>
    <n v="4"/>
  </r>
  <r>
    <x v="7"/>
    <s v="Leaf 50X"/>
    <x v="4"/>
    <x v="3"/>
    <n v="44708.41"/>
    <n v="55.8"/>
    <n v="204"/>
    <n v="97.6"/>
    <n v="7.34"/>
    <n v="146"/>
    <n v="492"/>
    <n v="419"/>
    <s v="RWD"/>
    <n v="7"/>
    <x v="3"/>
    <n v="18.7"/>
    <n v="1500"/>
    <x v="0"/>
    <n v="0"/>
    <x v="4"/>
    <x v="1"/>
    <n v="132992"/>
    <n v="3.34"/>
    <n v="4"/>
  </r>
  <r>
    <x v="10"/>
    <s v="i7"/>
    <x v="1"/>
    <x v="2"/>
    <n v="115394.15"/>
    <n v="98.5"/>
    <n v="343"/>
    <n v="61"/>
    <n v="4.9400000000000004"/>
    <n v="167"/>
    <n v="1000"/>
    <n v="863"/>
    <s v="AWD"/>
    <n v="5"/>
    <x v="5"/>
    <n v="18.5"/>
    <n v="1500"/>
    <x v="1"/>
    <n v="1"/>
    <x v="0"/>
    <x v="0"/>
    <n v="58674"/>
    <n v="3.4"/>
    <n v="5"/>
  </r>
  <r>
    <x v="2"/>
    <s v="Bolt EUV"/>
    <x v="3"/>
    <x v="3"/>
    <n v="38010.06"/>
    <n v="62.7"/>
    <n v="226"/>
    <n v="57"/>
    <n v="7.27"/>
    <n v="137"/>
    <n v="303"/>
    <n v="283"/>
    <s v="RWD"/>
    <n v="7"/>
    <x v="3"/>
    <n v="27"/>
    <n v="1852"/>
    <x v="0"/>
    <n v="2"/>
    <x v="2"/>
    <x v="1"/>
    <n v="16274"/>
    <n v="3.18"/>
    <n v="4"/>
  </r>
  <r>
    <x v="3"/>
    <s v="EV6"/>
    <x v="2"/>
    <x v="4"/>
    <n v="70386.61"/>
    <n v="70.900000000000006"/>
    <n v="215"/>
    <n v="57.3"/>
    <n v="5.0199999999999996"/>
    <n v="168"/>
    <n v="727"/>
    <n v="681"/>
    <s v="RWD"/>
    <n v="5"/>
    <x v="5"/>
    <n v="38.700000000000003"/>
    <n v="1504"/>
    <x v="0"/>
    <n v="0"/>
    <x v="3"/>
    <x v="2"/>
    <n v="72998"/>
    <n v="3.35"/>
    <n v="4"/>
  </r>
  <r>
    <x v="8"/>
    <s v="Ioniq"/>
    <x v="1"/>
    <x v="2"/>
    <n v="67747.05"/>
    <n v="89.8"/>
    <n v="333"/>
    <n v="82.6"/>
    <n v="4.95"/>
    <n v="173"/>
    <n v="779"/>
    <n v="667"/>
    <s v="AWD"/>
    <n v="5"/>
    <x v="4"/>
    <n v="29.8"/>
    <n v="1778"/>
    <x v="1"/>
    <n v="2"/>
    <x v="3"/>
    <x v="2"/>
    <n v="100096"/>
    <n v="3.57"/>
    <n v="4"/>
  </r>
  <r>
    <x v="0"/>
    <s v="ID.4"/>
    <x v="2"/>
    <x v="0"/>
    <n v="78109.649999999994"/>
    <n v="110.5"/>
    <n v="383"/>
    <n v="158.6"/>
    <n v="2.78"/>
    <n v="200"/>
    <n v="886"/>
    <n v="783"/>
    <s v="FWD"/>
    <n v="7"/>
    <x v="0"/>
    <n v="78"/>
    <n v="2339"/>
    <x v="1"/>
    <n v="0"/>
    <x v="0"/>
    <x v="2"/>
    <n v="260956"/>
    <n v="3.68"/>
    <n v="4"/>
  </r>
  <r>
    <x v="7"/>
    <s v="Max"/>
    <x v="3"/>
    <x v="3"/>
    <n v="23230.02"/>
    <n v="80.599999999999994"/>
    <n v="262"/>
    <n v="77.900000000000006"/>
    <n v="6.83"/>
    <n v="151"/>
    <n v="173"/>
    <n v="200"/>
    <s v="AWD"/>
    <n v="5"/>
    <x v="2"/>
    <n v="71.2"/>
    <n v="1500"/>
    <x v="1"/>
    <n v="0"/>
    <x v="4"/>
    <x v="3"/>
    <n v="183226"/>
    <n v="3.75"/>
    <n v="4"/>
  </r>
  <r>
    <x v="13"/>
    <s v="R1S"/>
    <x v="5"/>
    <x v="4"/>
    <n v="87078.44"/>
    <n v="72.099999999999994"/>
    <n v="262"/>
    <n v="114.3"/>
    <n v="6.22"/>
    <n v="150"/>
    <n v="1000"/>
    <n v="898"/>
    <s v="RWD"/>
    <n v="5"/>
    <x v="4"/>
    <n v="28"/>
    <n v="1649"/>
    <x v="1"/>
    <n v="0"/>
    <x v="2"/>
    <x v="2"/>
    <n v="21561"/>
    <n v="3.72"/>
    <n v="5"/>
  </r>
  <r>
    <x v="5"/>
    <s v="EQG"/>
    <x v="0"/>
    <x v="2"/>
    <n v="133058.62"/>
    <n v="89.4"/>
    <n v="309"/>
    <n v="123.4"/>
    <n v="5.84"/>
    <n v="158"/>
    <n v="777"/>
    <n v="661"/>
    <s v="AWD"/>
    <n v="7"/>
    <x v="0"/>
    <n v="65.8"/>
    <n v="2651"/>
    <x v="1"/>
    <n v="1"/>
    <x v="0"/>
    <x v="0"/>
    <n v="29039"/>
    <n v="3.99"/>
    <n v="8"/>
  </r>
  <r>
    <x v="6"/>
    <s v="Ronin"/>
    <x v="5"/>
    <x v="3"/>
    <n v="89077.35"/>
    <n v="81.7"/>
    <n v="286"/>
    <n v="60.9"/>
    <n v="6.38"/>
    <n v="155"/>
    <n v="727"/>
    <n v="707"/>
    <s v="FWD"/>
    <n v="5"/>
    <x v="4"/>
    <n v="33.299999999999997"/>
    <n v="1746"/>
    <x v="0"/>
    <n v="2"/>
    <x v="2"/>
    <x v="2"/>
    <n v="28442"/>
    <n v="3.61"/>
    <n v="5"/>
  </r>
  <r>
    <x v="4"/>
    <s v="Model 3"/>
    <x v="3"/>
    <x v="1"/>
    <n v="106221.52"/>
    <n v="66.8"/>
    <n v="251"/>
    <n v="322.10000000000002"/>
    <n v="7.55"/>
    <n v="134"/>
    <n v="785"/>
    <n v="681"/>
    <s v="AWD"/>
    <n v="7"/>
    <x v="5"/>
    <n v="24.8"/>
    <n v="1593"/>
    <x v="0"/>
    <n v="2"/>
    <x v="2"/>
    <x v="0"/>
    <n v="106799"/>
    <n v="3.65"/>
    <n v="5"/>
  </r>
  <r>
    <x v="2"/>
    <s v="Bolt EV"/>
    <x v="2"/>
    <x v="4"/>
    <n v="59253.96"/>
    <n v="56.6"/>
    <n v="223"/>
    <n v="145.1"/>
    <n v="5.33"/>
    <n v="160"/>
    <n v="753"/>
    <n v="666"/>
    <s v="RWD"/>
    <n v="7"/>
    <x v="0"/>
    <n v="64"/>
    <n v="2655"/>
    <x v="1"/>
    <n v="2"/>
    <x v="2"/>
    <x v="1"/>
    <n v="22516"/>
    <n v="3.7"/>
    <n v="4"/>
  </r>
  <r>
    <x v="12"/>
    <s v="ET6"/>
    <x v="3"/>
    <x v="4"/>
    <n v="70152.19"/>
    <n v="44.1"/>
    <n v="160"/>
    <n v="64.900000000000006"/>
    <n v="5.79"/>
    <n v="156"/>
    <n v="523"/>
    <n v="459"/>
    <s v="AWD"/>
    <n v="7"/>
    <x v="0"/>
    <n v="60.4"/>
    <n v="2579"/>
    <x v="1"/>
    <n v="0"/>
    <x v="4"/>
    <x v="2"/>
    <n v="21427"/>
    <n v="3"/>
    <n v="3"/>
  </r>
  <r>
    <x v="4"/>
    <s v="Model X"/>
    <x v="1"/>
    <x v="4"/>
    <n v="45367.75"/>
    <n v="80.8"/>
    <n v="287"/>
    <n v="280.7"/>
    <n v="7.63"/>
    <n v="134"/>
    <n v="319"/>
    <n v="269"/>
    <s v="FWD"/>
    <n v="5"/>
    <x v="5"/>
    <n v="32.799999999999997"/>
    <n v="1627"/>
    <x v="1"/>
    <n v="2"/>
    <x v="2"/>
    <x v="1"/>
    <n v="112809"/>
    <n v="3.72"/>
    <n v="5"/>
  </r>
  <r>
    <x v="4"/>
    <s v="Cybertruck"/>
    <x v="5"/>
    <x v="3"/>
    <n v="101101.42"/>
    <n v="71.8"/>
    <n v="255"/>
    <n v="345.4"/>
    <n v="5.47"/>
    <n v="163"/>
    <n v="743"/>
    <n v="693"/>
    <s v="RWD"/>
    <n v="5"/>
    <x v="0"/>
    <n v="58.6"/>
    <n v="2449"/>
    <x v="2"/>
    <n v="2"/>
    <x v="2"/>
    <x v="0"/>
    <n v="118722"/>
    <n v="3.89"/>
    <n v="5"/>
  </r>
  <r>
    <x v="2"/>
    <s v="Silverado EV"/>
    <x v="2"/>
    <x v="0"/>
    <n v="71690.64"/>
    <n v="77.900000000000006"/>
    <n v="282"/>
    <n v="184.2"/>
    <n v="2.81"/>
    <n v="200"/>
    <n v="1000"/>
    <n v="943"/>
    <s v="AWD"/>
    <n v="5"/>
    <x v="5"/>
    <n v="36"/>
    <n v="1500"/>
    <x v="0"/>
    <n v="1"/>
    <x v="2"/>
    <x v="2"/>
    <n v="26479"/>
    <n v="3.38"/>
    <n v="3"/>
  </r>
  <r>
    <x v="3"/>
    <s v="EV6"/>
    <x v="5"/>
    <x v="3"/>
    <n v="65902.95"/>
    <n v="59.6"/>
    <n v="203"/>
    <n v="101.4"/>
    <n v="7.56"/>
    <n v="132"/>
    <n v="701"/>
    <n v="645"/>
    <s v="AWD"/>
    <n v="5"/>
    <x v="5"/>
    <n v="19.5"/>
    <n v="1918"/>
    <x v="0"/>
    <n v="1"/>
    <x v="3"/>
    <x v="2"/>
    <n v="95119"/>
    <n v="3.3"/>
    <n v="4"/>
  </r>
  <r>
    <x v="5"/>
    <s v="GLE EV"/>
    <x v="2"/>
    <x v="0"/>
    <n v="178911.77"/>
    <n v="79.7"/>
    <n v="265"/>
    <n v="204.2"/>
    <n v="4.4800000000000004"/>
    <n v="187"/>
    <n v="1000"/>
    <n v="924"/>
    <s v="AWD"/>
    <n v="5"/>
    <x v="0"/>
    <n v="71.7"/>
    <n v="2315"/>
    <x v="0"/>
    <n v="2"/>
    <x v="0"/>
    <x v="0"/>
    <n v="68804"/>
    <n v="3.85"/>
    <n v="6"/>
  </r>
  <r>
    <x v="4"/>
    <s v="Model Y"/>
    <x v="3"/>
    <x v="2"/>
    <n v="97027.38"/>
    <n v="108.3"/>
    <n v="372"/>
    <n v="265.89999999999998"/>
    <n v="5.23"/>
    <n v="170"/>
    <n v="708"/>
    <n v="592"/>
    <s v="RWD"/>
    <n v="5"/>
    <x v="0"/>
    <n v="60.6"/>
    <n v="2443"/>
    <x v="1"/>
    <n v="2"/>
    <x v="2"/>
    <x v="2"/>
    <n v="401761"/>
    <n v="4.12"/>
    <n v="4"/>
  </r>
  <r>
    <x v="9"/>
    <s v="F-150 Lightning"/>
    <x v="3"/>
    <x v="2"/>
    <n v="53281.67"/>
    <n v="84.7"/>
    <n v="295"/>
    <n v="89.2"/>
    <n v="5.45"/>
    <n v="173"/>
    <n v="587"/>
    <n v="498"/>
    <s v="FWD"/>
    <n v="4"/>
    <x v="0"/>
    <n v="66.599999999999994"/>
    <n v="2590"/>
    <x v="0"/>
    <n v="0"/>
    <x v="2"/>
    <x v="1"/>
    <n v="59310"/>
    <n v="3.42"/>
    <n v="4"/>
  </r>
  <r>
    <x v="4"/>
    <s v="Model Y"/>
    <x v="0"/>
    <x v="4"/>
    <n v="53432.36"/>
    <n v="79.599999999999994"/>
    <n v="289"/>
    <n v="218.5"/>
    <n v="6.41"/>
    <n v="146"/>
    <n v="397"/>
    <n v="369"/>
    <s v="AWD"/>
    <n v="7"/>
    <x v="4"/>
    <n v="31.6"/>
    <n v="1500"/>
    <x v="1"/>
    <n v="2"/>
    <x v="2"/>
    <x v="1"/>
    <n v="490497"/>
    <n v="3.93"/>
    <n v="6"/>
  </r>
  <r>
    <x v="4"/>
    <s v="Model X"/>
    <x v="3"/>
    <x v="2"/>
    <n v="92231.53"/>
    <n v="76"/>
    <n v="264"/>
    <n v="230.5"/>
    <n v="5.1100000000000003"/>
    <n v="177"/>
    <n v="643"/>
    <n v="559"/>
    <s v="FWD"/>
    <n v="5"/>
    <x v="2"/>
    <n v="79.3"/>
    <n v="1571"/>
    <x v="0"/>
    <n v="2"/>
    <x v="2"/>
    <x v="2"/>
    <n v="226342"/>
    <n v="3.56"/>
    <n v="5"/>
  </r>
  <r>
    <x v="4"/>
    <s v="Model X"/>
    <x v="2"/>
    <x v="4"/>
    <n v="125065.93"/>
    <n v="50.7"/>
    <n v="159"/>
    <n v="274.5"/>
    <n v="5.27"/>
    <n v="172"/>
    <n v="917"/>
    <n v="842"/>
    <s v="RWD"/>
    <n v="7"/>
    <x v="3"/>
    <n v="34.799999999999997"/>
    <n v="1620"/>
    <x v="0"/>
    <n v="2"/>
    <x v="2"/>
    <x v="0"/>
    <n v="243623"/>
    <n v="3.24"/>
    <n v="6"/>
  </r>
  <r>
    <x v="9"/>
    <s v="F-150 Lightning"/>
    <x v="6"/>
    <x v="2"/>
    <n v="67768.09"/>
    <n v="83.3"/>
    <n v="291"/>
    <n v="91.9"/>
    <n v="4.58"/>
    <n v="173"/>
    <n v="752"/>
    <n v="718"/>
    <s v="FWD"/>
    <n v="2"/>
    <x v="0"/>
    <n v="54.9"/>
    <n v="2624"/>
    <x v="1"/>
    <n v="0"/>
    <x v="2"/>
    <x v="2"/>
    <n v="25258"/>
    <n v="3.54"/>
    <n v="4"/>
  </r>
  <r>
    <x v="10"/>
    <s v="i3"/>
    <x v="5"/>
    <x v="4"/>
    <n v="62674.5"/>
    <n v="70.599999999999994"/>
    <n v="211"/>
    <n v="55.7"/>
    <n v="6.14"/>
    <n v="160"/>
    <n v="342"/>
    <n v="306"/>
    <s v="FWD"/>
    <n v="5"/>
    <x v="4"/>
    <n v="18"/>
    <n v="1500"/>
    <x v="2"/>
    <n v="1"/>
    <x v="0"/>
    <x v="1"/>
    <n v="61611"/>
    <n v="3.24"/>
    <n v="6"/>
  </r>
  <r>
    <x v="8"/>
    <s v="Kona Electric"/>
    <x v="0"/>
    <x v="2"/>
    <n v="40702.92"/>
    <n v="77.5"/>
    <n v="277"/>
    <n v="76.400000000000006"/>
    <n v="4.6500000000000004"/>
    <n v="183"/>
    <n v="398"/>
    <n v="317"/>
    <s v="AWD"/>
    <n v="5"/>
    <x v="1"/>
    <n v="61.4"/>
    <n v="2484"/>
    <x v="0"/>
    <n v="1"/>
    <x v="3"/>
    <x v="1"/>
    <n v="128695"/>
    <n v="3.64"/>
    <n v="4"/>
  </r>
  <r>
    <x v="0"/>
    <s v="ID. Buzz"/>
    <x v="5"/>
    <x v="1"/>
    <n v="50055.73"/>
    <n v="71.2"/>
    <n v="256"/>
    <n v="121.7"/>
    <n v="7.42"/>
    <n v="140"/>
    <n v="445"/>
    <n v="413"/>
    <s v="RWD"/>
    <n v="7"/>
    <x v="3"/>
    <n v="37.1"/>
    <n v="1500"/>
    <x v="1"/>
    <n v="0"/>
    <x v="0"/>
    <x v="1"/>
    <n v="296123"/>
    <n v="3.65"/>
    <n v="3"/>
  </r>
  <r>
    <x v="11"/>
    <s v="e-tron GT"/>
    <x v="0"/>
    <x v="3"/>
    <n v="67690.27"/>
    <n v="64.3"/>
    <n v="232"/>
    <n v="90.1"/>
    <n v="6.29"/>
    <n v="158"/>
    <n v="335"/>
    <n v="307"/>
    <s v="RWD"/>
    <n v="5"/>
    <x v="5"/>
    <n v="19.600000000000001"/>
    <n v="1806"/>
    <x v="0"/>
    <n v="1"/>
    <x v="0"/>
    <x v="2"/>
    <n v="63429"/>
    <n v="3.38"/>
    <n v="5"/>
  </r>
  <r>
    <x v="0"/>
    <s v="ID.3"/>
    <x v="2"/>
    <x v="2"/>
    <n v="37557.870000000003"/>
    <n v="86.2"/>
    <n v="299"/>
    <n v="109.8"/>
    <n v="4.74"/>
    <n v="175"/>
    <n v="291"/>
    <n v="288"/>
    <s v="FWD"/>
    <n v="7"/>
    <x v="4"/>
    <n v="33.1"/>
    <n v="1738"/>
    <x v="1"/>
    <n v="0"/>
    <x v="0"/>
    <x v="1"/>
    <n v="247190"/>
    <n v="3.68"/>
    <n v="4"/>
  </r>
  <r>
    <x v="9"/>
    <s v="E-Transit"/>
    <x v="2"/>
    <x v="4"/>
    <n v="48328.54"/>
    <n v="81.900000000000006"/>
    <n v="268"/>
    <n v="116.4"/>
    <n v="7.97"/>
    <n v="132"/>
    <n v="460"/>
    <n v="436"/>
    <s v="AWD"/>
    <n v="7"/>
    <x v="1"/>
    <n v="69.5"/>
    <n v="2108"/>
    <x v="0"/>
    <n v="0"/>
    <x v="2"/>
    <x v="1"/>
    <n v="34857"/>
    <n v="3.47"/>
    <n v="3"/>
  </r>
  <r>
    <x v="0"/>
    <s v="ID. Aero"/>
    <x v="3"/>
    <x v="2"/>
    <n v="102771.71"/>
    <n v="104.2"/>
    <n v="392"/>
    <n v="112.5"/>
    <n v="5.33"/>
    <n v="174"/>
    <n v="1000"/>
    <n v="854"/>
    <s v="FWD"/>
    <n v="5"/>
    <x v="2"/>
    <n v="77.2"/>
    <n v="2045"/>
    <x v="0"/>
    <n v="1"/>
    <x v="0"/>
    <x v="0"/>
    <n v="235887"/>
    <n v="3.78"/>
    <n v="5"/>
  </r>
  <r>
    <x v="0"/>
    <s v="ID. Aero"/>
    <x v="3"/>
    <x v="2"/>
    <n v="97037.17"/>
    <n v="79.8"/>
    <n v="284"/>
    <n v="132.30000000000001"/>
    <n v="5.42"/>
    <n v="167"/>
    <n v="1000"/>
    <n v="875"/>
    <s v="RWD"/>
    <n v="5"/>
    <x v="4"/>
    <n v="32.1"/>
    <n v="1540"/>
    <x v="0"/>
    <n v="0"/>
    <x v="0"/>
    <x v="2"/>
    <n v="292071"/>
    <n v="3.47"/>
    <n v="4"/>
  </r>
  <r>
    <x v="8"/>
    <s v="i30"/>
    <x v="3"/>
    <x v="2"/>
    <n v="81032.960000000006"/>
    <n v="109.2"/>
    <n v="372"/>
    <n v="121.6"/>
    <n v="5.8"/>
    <n v="171"/>
    <n v="1000"/>
    <n v="882"/>
    <s v="RWD"/>
    <n v="7"/>
    <x v="4"/>
    <n v="31.9"/>
    <n v="1543"/>
    <x v="1"/>
    <n v="2"/>
    <x v="3"/>
    <x v="2"/>
    <n v="132543"/>
    <n v="3.49"/>
    <n v="4"/>
  </r>
  <r>
    <x v="7"/>
    <s v="Atto 3"/>
    <x v="2"/>
    <x v="2"/>
    <n v="53347.12"/>
    <n v="78.900000000000006"/>
    <n v="277"/>
    <n v="62.8"/>
    <n v="4.71"/>
    <n v="182"/>
    <n v="623"/>
    <n v="633"/>
    <s v="AWD"/>
    <n v="7"/>
    <x v="5"/>
    <n v="22.9"/>
    <n v="1500"/>
    <x v="1"/>
    <n v="1"/>
    <x v="4"/>
    <x v="1"/>
    <n v="234710"/>
    <n v="3.53"/>
    <n v="5"/>
  </r>
  <r>
    <x v="2"/>
    <s v="Silverado EV"/>
    <x v="1"/>
    <x v="3"/>
    <n v="39747.919999999998"/>
    <n v="47.2"/>
    <n v="152"/>
    <n v="54.7"/>
    <n v="6.56"/>
    <n v="152"/>
    <n v="376"/>
    <n v="332"/>
    <s v="FWD"/>
    <n v="7"/>
    <x v="2"/>
    <n v="76.5"/>
    <n v="1622"/>
    <x v="1"/>
    <n v="0"/>
    <x v="2"/>
    <x v="1"/>
    <n v="29407"/>
    <n v="3.09"/>
    <n v="4"/>
  </r>
  <r>
    <x v="8"/>
    <s v="Ioniq"/>
    <x v="3"/>
    <x v="4"/>
    <n v="59265.27"/>
    <n v="76.5"/>
    <n v="288"/>
    <n v="123.1"/>
    <n v="5.71"/>
    <n v="166"/>
    <n v="648"/>
    <n v="577"/>
    <s v="AWD"/>
    <n v="5"/>
    <x v="2"/>
    <n v="77.900000000000006"/>
    <n v="1500"/>
    <x v="1"/>
    <n v="0"/>
    <x v="3"/>
    <x v="1"/>
    <n v="55296"/>
    <n v="3.41"/>
    <n v="4"/>
  </r>
  <r>
    <x v="7"/>
    <s v="Dolphin"/>
    <x v="3"/>
    <x v="2"/>
    <n v="24263.38"/>
    <n v="90.6"/>
    <n v="313"/>
    <n v="69.599999999999994"/>
    <n v="5.85"/>
    <n v="165"/>
    <n v="236"/>
    <n v="233"/>
    <s v="FWD"/>
    <n v="7"/>
    <x v="4"/>
    <n v="35.299999999999997"/>
    <n v="1702"/>
    <x v="0"/>
    <n v="2"/>
    <x v="4"/>
    <x v="3"/>
    <n v="185360"/>
    <n v="3.79"/>
    <n v="3"/>
  </r>
  <r>
    <x v="11"/>
    <s v="Q6 e-tron"/>
    <x v="0"/>
    <x v="3"/>
    <n v="103373.32"/>
    <n v="48"/>
    <n v="165"/>
    <n v="87.7"/>
    <n v="6.98"/>
    <n v="147"/>
    <n v="784"/>
    <n v="695"/>
    <s v="AWD"/>
    <n v="5"/>
    <x v="5"/>
    <n v="39.700000000000003"/>
    <n v="1652"/>
    <x v="0"/>
    <n v="1"/>
    <x v="0"/>
    <x v="0"/>
    <n v="46342"/>
    <n v="3.62"/>
    <n v="5"/>
  </r>
  <r>
    <x v="0"/>
    <s v="ID. Buzz"/>
    <x v="3"/>
    <x v="3"/>
    <n v="65624.38"/>
    <n v="83.8"/>
    <n v="327"/>
    <n v="93.1"/>
    <n v="5.42"/>
    <n v="166"/>
    <n v="665"/>
    <n v="569"/>
    <s v="FWD"/>
    <n v="5"/>
    <x v="5"/>
    <n v="23"/>
    <n v="1849"/>
    <x v="1"/>
    <n v="1"/>
    <x v="0"/>
    <x v="2"/>
    <n v="228265"/>
    <n v="3.75"/>
    <n v="3"/>
  </r>
  <r>
    <x v="3"/>
    <s v="EV6"/>
    <x v="3"/>
    <x v="3"/>
    <n v="34297.300000000003"/>
    <n v="40.9"/>
    <n v="150"/>
    <n v="108"/>
    <n v="6.15"/>
    <n v="156"/>
    <n v="241"/>
    <n v="200"/>
    <s v="AWD"/>
    <n v="7"/>
    <x v="4"/>
    <n v="34.299999999999997"/>
    <n v="1500"/>
    <x v="0"/>
    <n v="1"/>
    <x v="3"/>
    <x v="3"/>
    <n v="124108"/>
    <n v="3.31"/>
    <n v="4"/>
  </r>
  <r>
    <x v="11"/>
    <s v="Q6 e-tron"/>
    <x v="0"/>
    <x v="1"/>
    <n v="94046.97"/>
    <n v="47.5"/>
    <n v="160"/>
    <n v="109.3"/>
    <n v="6.08"/>
    <n v="155"/>
    <n v="683"/>
    <n v="576"/>
    <s v="AWD"/>
    <n v="5"/>
    <x v="0"/>
    <n v="56"/>
    <n v="2616"/>
    <x v="1"/>
    <n v="2"/>
    <x v="0"/>
    <x v="2"/>
    <n v="36637"/>
    <n v="3.22"/>
    <n v="7"/>
  </r>
  <r>
    <x v="10"/>
    <s v="i5"/>
    <x v="2"/>
    <x v="3"/>
    <n v="85524.800000000003"/>
    <n v="65.2"/>
    <n v="228"/>
    <n v="67.599999999999994"/>
    <n v="6.42"/>
    <n v="154"/>
    <n v="634"/>
    <n v="525"/>
    <s v="AWD"/>
    <n v="7"/>
    <x v="1"/>
    <n v="57.5"/>
    <n v="1949"/>
    <x v="1"/>
    <n v="2"/>
    <x v="0"/>
    <x v="2"/>
    <n v="61102"/>
    <n v="3.24"/>
    <n v="7"/>
  </r>
  <r>
    <x v="4"/>
    <s v="Model 3"/>
    <x v="3"/>
    <x v="2"/>
    <n v="37324.82"/>
    <n v="100.2"/>
    <n v="350"/>
    <n v="328.5"/>
    <n v="5.0999999999999996"/>
    <n v="169"/>
    <n v="239"/>
    <n v="219"/>
    <s v="RWD"/>
    <n v="5"/>
    <x v="4"/>
    <n v="37.6"/>
    <n v="1636"/>
    <x v="2"/>
    <n v="2"/>
    <x v="2"/>
    <x v="1"/>
    <n v="182729"/>
    <n v="3.94"/>
    <n v="6"/>
  </r>
  <r>
    <x v="12"/>
    <s v="EL8"/>
    <x v="0"/>
    <x v="4"/>
    <n v="65637.97"/>
    <n v="69.5"/>
    <n v="270"/>
    <n v="97.9"/>
    <n v="5.86"/>
    <n v="162"/>
    <n v="521"/>
    <n v="458"/>
    <s v="FWD"/>
    <n v="5"/>
    <x v="3"/>
    <n v="34.1"/>
    <n v="1846"/>
    <x v="1"/>
    <n v="0"/>
    <x v="4"/>
    <x v="2"/>
    <n v="24026"/>
    <n v="3.35"/>
    <n v="4"/>
  </r>
  <r>
    <x v="10"/>
    <s v="i3"/>
    <x v="0"/>
    <x v="1"/>
    <n v="86679.02"/>
    <n v="53.8"/>
    <n v="171"/>
    <n v="60.4"/>
    <n v="7.04"/>
    <n v="146"/>
    <n v="639"/>
    <n v="621"/>
    <s v="AWD"/>
    <n v="5"/>
    <x v="0"/>
    <n v="80"/>
    <n v="2454"/>
    <x v="1"/>
    <n v="2"/>
    <x v="0"/>
    <x v="2"/>
    <n v="68670"/>
    <n v="3.23"/>
    <n v="6"/>
  </r>
  <r>
    <x v="7"/>
    <s v="Seagull"/>
    <x v="2"/>
    <x v="3"/>
    <n v="18386.22"/>
    <n v="53.5"/>
    <n v="197"/>
    <n v="93.6"/>
    <n v="5.77"/>
    <n v="169"/>
    <n v="150"/>
    <n v="200"/>
    <s v="FWD"/>
    <n v="7"/>
    <x v="3"/>
    <n v="18.600000000000001"/>
    <n v="1500"/>
    <x v="0"/>
    <n v="0"/>
    <x v="4"/>
    <x v="3"/>
    <n v="194535"/>
    <n v="3.33"/>
    <n v="4"/>
  </r>
  <r>
    <x v="4"/>
    <s v="Model 3"/>
    <x v="3"/>
    <x v="3"/>
    <n v="39961.089999999997"/>
    <n v="82.4"/>
    <n v="271"/>
    <n v="326"/>
    <n v="6.94"/>
    <n v="140"/>
    <n v="291"/>
    <n v="304"/>
    <s v="RWD"/>
    <n v="5"/>
    <x v="3"/>
    <n v="35.799999999999997"/>
    <n v="1862"/>
    <x v="1"/>
    <n v="2"/>
    <x v="2"/>
    <x v="1"/>
    <n v="132702"/>
    <n v="3.97"/>
    <n v="6"/>
  </r>
  <r>
    <x v="9"/>
    <s v="F-150 Lightning"/>
    <x v="3"/>
    <x v="4"/>
    <n v="71166.509999999995"/>
    <n v="63.6"/>
    <n v="211"/>
    <n v="145.69999999999999"/>
    <n v="5.67"/>
    <n v="168"/>
    <n v="779"/>
    <n v="697"/>
    <s v="FWD"/>
    <n v="2"/>
    <x v="0"/>
    <n v="59.3"/>
    <n v="2632"/>
    <x v="0"/>
    <n v="1"/>
    <x v="2"/>
    <x v="2"/>
    <n v="29813"/>
    <n v="3.63"/>
    <n v="3"/>
  </r>
  <r>
    <x v="10"/>
    <s v="iX"/>
    <x v="4"/>
    <x v="0"/>
    <n v="122478.25"/>
    <n v="85.4"/>
    <n v="288"/>
    <n v="235.7"/>
    <n v="3.68"/>
    <n v="194"/>
    <n v="1000"/>
    <n v="890"/>
    <s v="AWD"/>
    <n v="5"/>
    <x v="3"/>
    <n v="32.700000000000003"/>
    <n v="1612"/>
    <x v="2"/>
    <n v="1"/>
    <x v="0"/>
    <x v="0"/>
    <n v="61194"/>
    <n v="3.64"/>
    <n v="6"/>
  </r>
  <r>
    <x v="8"/>
    <s v="Kona Electric"/>
    <x v="3"/>
    <x v="4"/>
    <n v="33895.78"/>
    <n v="72.7"/>
    <n v="271"/>
    <n v="66.400000000000006"/>
    <n v="6.62"/>
    <n v="148"/>
    <n v="222"/>
    <n v="200"/>
    <s v="FWD"/>
    <n v="5"/>
    <x v="5"/>
    <n v="26.3"/>
    <n v="1542"/>
    <x v="0"/>
    <n v="2"/>
    <x v="3"/>
    <x v="3"/>
    <n v="74203"/>
    <n v="3.74"/>
    <n v="4"/>
  </r>
  <r>
    <x v="11"/>
    <s v="e-tron GT"/>
    <x v="5"/>
    <x v="1"/>
    <n v="101046.9"/>
    <n v="80.3"/>
    <n v="301"/>
    <n v="125.2"/>
    <n v="5.24"/>
    <n v="174"/>
    <n v="736"/>
    <n v="669"/>
    <s v="RWD"/>
    <n v="5"/>
    <x v="1"/>
    <n v="39.5"/>
    <n v="2084"/>
    <x v="0"/>
    <n v="1"/>
    <x v="0"/>
    <x v="0"/>
    <n v="68624"/>
    <n v="3.78"/>
    <n v="7"/>
  </r>
  <r>
    <x v="9"/>
    <s v="Explorer EV"/>
    <x v="0"/>
    <x v="4"/>
    <n v="42429.66"/>
    <n v="63.3"/>
    <n v="218"/>
    <n v="93.3"/>
    <n v="7.72"/>
    <n v="140"/>
    <n v="399"/>
    <n v="416"/>
    <s v="AWD"/>
    <n v="7"/>
    <x v="5"/>
    <n v="26.7"/>
    <n v="1767"/>
    <x v="2"/>
    <n v="1"/>
    <x v="2"/>
    <x v="1"/>
    <n v="37998"/>
    <n v="3.47"/>
    <n v="3"/>
  </r>
  <r>
    <x v="4"/>
    <s v="Model X"/>
    <x v="3"/>
    <x v="4"/>
    <n v="81903.39"/>
    <n v="69.099999999999994"/>
    <n v="257"/>
    <n v="348.4"/>
    <n v="5.35"/>
    <n v="170"/>
    <n v="552"/>
    <n v="541"/>
    <s v="RWD"/>
    <n v="5"/>
    <x v="5"/>
    <n v="20.399999999999999"/>
    <n v="1640"/>
    <x v="0"/>
    <n v="2"/>
    <x v="2"/>
    <x v="2"/>
    <n v="135577"/>
    <n v="3.78"/>
    <n v="5"/>
  </r>
  <r>
    <x v="7"/>
    <s v="Max"/>
    <x v="5"/>
    <x v="2"/>
    <n v="92693.85"/>
    <n v="89.9"/>
    <n v="310"/>
    <n v="124.3"/>
    <n v="5.7"/>
    <n v="159"/>
    <n v="1000"/>
    <n v="871"/>
    <s v="RWD"/>
    <n v="7"/>
    <x v="0"/>
    <n v="56.9"/>
    <n v="2517"/>
    <x v="1"/>
    <n v="0"/>
    <x v="4"/>
    <x v="2"/>
    <n v="133159"/>
    <n v="3.42"/>
    <n v="4"/>
  </r>
  <r>
    <x v="7"/>
    <s v="Atto 3"/>
    <x v="5"/>
    <x v="0"/>
    <n v="110109.78"/>
    <n v="119.3"/>
    <n v="403"/>
    <n v="240.3"/>
    <n v="2.97"/>
    <n v="200"/>
    <n v="1000"/>
    <n v="912"/>
    <s v="AWD"/>
    <n v="7"/>
    <x v="2"/>
    <n v="68.8"/>
    <n v="1500"/>
    <x v="0"/>
    <n v="2"/>
    <x v="4"/>
    <x v="0"/>
    <n v="116675"/>
    <n v="4.1900000000000004"/>
    <n v="4"/>
  </r>
  <r>
    <x v="2"/>
    <s v="Equinox EV"/>
    <x v="5"/>
    <x v="1"/>
    <n v="81491.33"/>
    <n v="73.3"/>
    <n v="257"/>
    <n v="131.5"/>
    <n v="7.51"/>
    <n v="145"/>
    <n v="1000"/>
    <n v="849"/>
    <s v="RWD"/>
    <n v="5"/>
    <x v="1"/>
    <n v="65.3"/>
    <n v="2230"/>
    <x v="2"/>
    <n v="0"/>
    <x v="2"/>
    <x v="2"/>
    <n v="15310"/>
    <n v="3.75"/>
    <n v="4"/>
  </r>
  <r>
    <x v="4"/>
    <s v="Cybertruck"/>
    <x v="1"/>
    <x v="3"/>
    <n v="83011.59"/>
    <n v="78.2"/>
    <n v="288"/>
    <n v="207.7"/>
    <n v="6.44"/>
    <n v="147"/>
    <n v="570"/>
    <n v="470"/>
    <s v="FWD"/>
    <n v="5"/>
    <x v="0"/>
    <n v="64"/>
    <n v="2568"/>
    <x v="0"/>
    <n v="2"/>
    <x v="2"/>
    <x v="2"/>
    <n v="132378"/>
    <n v="4.12"/>
    <n v="5"/>
  </r>
  <r>
    <x v="3"/>
    <s v="Sportage EV"/>
    <x v="0"/>
    <x v="1"/>
    <n v="59926.46"/>
    <n v="66.3"/>
    <n v="219"/>
    <n v="99.8"/>
    <n v="6.36"/>
    <n v="162"/>
    <n v="687"/>
    <n v="676"/>
    <s v="RWD"/>
    <n v="7"/>
    <x v="1"/>
    <n v="44.7"/>
    <n v="1956"/>
    <x v="1"/>
    <n v="0"/>
    <x v="3"/>
    <x v="1"/>
    <n v="144832"/>
    <n v="3.14"/>
    <n v="4"/>
  </r>
  <r>
    <x v="9"/>
    <s v="F-150 Lightning"/>
    <x v="3"/>
    <x v="1"/>
    <n v="44324.9"/>
    <n v="61.8"/>
    <n v="198"/>
    <n v="133.69999999999999"/>
    <n v="7.39"/>
    <n v="139"/>
    <n v="367"/>
    <n v="300"/>
    <s v="AWD"/>
    <n v="2"/>
    <x v="0"/>
    <n v="59.1"/>
    <n v="2675"/>
    <x v="0"/>
    <n v="1"/>
    <x v="2"/>
    <x v="1"/>
    <n v="57644"/>
    <n v="3.48"/>
    <n v="4"/>
  </r>
  <r>
    <x v="11"/>
    <s v="e-tron"/>
    <x v="3"/>
    <x v="4"/>
    <n v="114471.43"/>
    <n v="76.2"/>
    <n v="231"/>
    <n v="133.1"/>
    <n v="6.47"/>
    <n v="152"/>
    <n v="888"/>
    <n v="750"/>
    <s v="AWD"/>
    <n v="7"/>
    <x v="2"/>
    <n v="74.2"/>
    <n v="1500"/>
    <x v="0"/>
    <n v="2"/>
    <x v="0"/>
    <x v="0"/>
    <n v="21563"/>
    <n v="3.5"/>
    <n v="6"/>
  </r>
  <r>
    <x v="7"/>
    <s v="Atto 3"/>
    <x v="5"/>
    <x v="2"/>
    <n v="104593.9"/>
    <n v="89.1"/>
    <n v="296"/>
    <n v="104"/>
    <n v="5.22"/>
    <n v="172"/>
    <n v="1000"/>
    <n v="908"/>
    <s v="RWD"/>
    <n v="5"/>
    <x v="2"/>
    <n v="64.3"/>
    <n v="1680"/>
    <x v="1"/>
    <n v="1"/>
    <x v="4"/>
    <x v="0"/>
    <n v="219672"/>
    <n v="3.59"/>
    <n v="3"/>
  </r>
  <r>
    <x v="9"/>
    <s v="F-150 Lightning"/>
    <x v="5"/>
    <x v="1"/>
    <n v="95704.24"/>
    <n v="84.6"/>
    <n v="300"/>
    <n v="52.9"/>
    <n v="5"/>
    <n v="176"/>
    <n v="1000"/>
    <n v="887"/>
    <s v="RWD"/>
    <n v="2"/>
    <x v="0"/>
    <n v="75.900000000000006"/>
    <n v="2262"/>
    <x v="1"/>
    <n v="0"/>
    <x v="2"/>
    <x v="2"/>
    <n v="70819"/>
    <n v="3.48"/>
    <n v="4"/>
  </r>
  <r>
    <x v="4"/>
    <s v="Cybertruck"/>
    <x v="2"/>
    <x v="2"/>
    <n v="81331.259999999995"/>
    <n v="87"/>
    <n v="324"/>
    <n v="305"/>
    <n v="5.93"/>
    <n v="160"/>
    <n v="588"/>
    <n v="584"/>
    <s v="AWD"/>
    <n v="5"/>
    <x v="0"/>
    <n v="77.7"/>
    <n v="2504"/>
    <x v="1"/>
    <n v="3"/>
    <x v="2"/>
    <x v="2"/>
    <n v="192430"/>
    <n v="3.74"/>
    <n v="6"/>
  </r>
  <r>
    <x v="5"/>
    <s v="GLE EV"/>
    <x v="3"/>
    <x v="2"/>
    <n v="83712.42"/>
    <n v="97.4"/>
    <n v="338"/>
    <n v="125.5"/>
    <n v="5.85"/>
    <n v="170"/>
    <n v="335"/>
    <n v="334"/>
    <s v="FWD"/>
    <n v="7"/>
    <x v="2"/>
    <n v="67.3"/>
    <n v="1677"/>
    <x v="2"/>
    <n v="1"/>
    <x v="0"/>
    <x v="2"/>
    <n v="37695"/>
    <n v="3.9"/>
    <n v="5"/>
  </r>
  <r>
    <x v="4"/>
    <s v="Model 3"/>
    <x v="0"/>
    <x v="4"/>
    <n v="106795.24"/>
    <n v="45.7"/>
    <n v="163"/>
    <n v="310.7"/>
    <n v="5.09"/>
    <n v="178"/>
    <n v="739"/>
    <n v="638"/>
    <s v="RWD"/>
    <n v="5"/>
    <x v="2"/>
    <n v="66.8"/>
    <n v="1724"/>
    <x v="1"/>
    <n v="3"/>
    <x v="2"/>
    <x v="0"/>
    <n v="212365"/>
    <n v="3.61"/>
    <n v="5"/>
  </r>
  <r>
    <x v="0"/>
    <s v="ID. Aero"/>
    <x v="3"/>
    <x v="2"/>
    <n v="92182.9"/>
    <n v="103.2"/>
    <n v="359"/>
    <n v="69.2"/>
    <n v="4.2"/>
    <n v="194"/>
    <n v="1000"/>
    <n v="910"/>
    <s v="FWD"/>
    <n v="5"/>
    <x v="5"/>
    <n v="20.9"/>
    <n v="1549"/>
    <x v="1"/>
    <n v="0"/>
    <x v="0"/>
    <x v="2"/>
    <n v="254291"/>
    <n v="3.6"/>
    <n v="3"/>
  </r>
  <r>
    <x v="9"/>
    <s v="Explorer EV"/>
    <x v="3"/>
    <x v="3"/>
    <n v="31805.75"/>
    <n v="48.6"/>
    <n v="157"/>
    <n v="114.5"/>
    <n v="5.16"/>
    <n v="168"/>
    <n v="188"/>
    <n v="200"/>
    <s v="RWD"/>
    <n v="5"/>
    <x v="0"/>
    <n v="74.5"/>
    <n v="2587"/>
    <x v="0"/>
    <n v="0"/>
    <x v="2"/>
    <x v="3"/>
    <n v="49546"/>
    <n v="3.24"/>
    <n v="3"/>
  </r>
  <r>
    <x v="4"/>
    <s v="Model S"/>
    <x v="0"/>
    <x v="1"/>
    <n v="64307.39"/>
    <n v="44.8"/>
    <n v="171"/>
    <n v="301.60000000000002"/>
    <n v="6.85"/>
    <n v="147"/>
    <n v="475"/>
    <n v="444"/>
    <s v="RWD"/>
    <n v="7"/>
    <x v="3"/>
    <n v="22.8"/>
    <n v="1754"/>
    <x v="0"/>
    <n v="2"/>
    <x v="2"/>
    <x v="1"/>
    <n v="138801"/>
    <n v="3.7"/>
    <n v="5"/>
  </r>
  <r>
    <x v="7"/>
    <s v="Max"/>
    <x v="0"/>
    <x v="2"/>
    <n v="99850.08"/>
    <n v="105.9"/>
    <n v="400"/>
    <n v="137"/>
    <n v="5.55"/>
    <n v="171"/>
    <n v="1000"/>
    <n v="900"/>
    <s v="FWD"/>
    <n v="7"/>
    <x v="0"/>
    <n v="70.3"/>
    <n v="2608"/>
    <x v="1"/>
    <n v="0"/>
    <x v="4"/>
    <x v="2"/>
    <n v="207644"/>
    <n v="3.65"/>
    <n v="3"/>
  </r>
  <r>
    <x v="2"/>
    <s v="Blazer EV"/>
    <x v="2"/>
    <x v="1"/>
    <n v="70082.06"/>
    <n v="42.6"/>
    <n v="156"/>
    <n v="68.7"/>
    <n v="5.71"/>
    <n v="161"/>
    <n v="940"/>
    <n v="844"/>
    <s v="AWD"/>
    <n v="7"/>
    <x v="3"/>
    <n v="27.2"/>
    <n v="1500"/>
    <x v="1"/>
    <n v="1"/>
    <x v="2"/>
    <x v="2"/>
    <n v="20253"/>
    <n v="3.14"/>
    <n v="3"/>
  </r>
  <r>
    <x v="2"/>
    <s v="Silverado EV"/>
    <x v="2"/>
    <x v="4"/>
    <n v="61767.69"/>
    <n v="48"/>
    <n v="161"/>
    <n v="76.8"/>
    <n v="6.23"/>
    <n v="155"/>
    <n v="875"/>
    <n v="799"/>
    <s v="FWD"/>
    <n v="7"/>
    <x v="1"/>
    <n v="55.2"/>
    <n v="1989"/>
    <x v="0"/>
    <n v="0"/>
    <x v="2"/>
    <x v="1"/>
    <n v="27695"/>
    <n v="3.08"/>
    <n v="4"/>
  </r>
  <r>
    <x v="10"/>
    <s v="i4"/>
    <x v="1"/>
    <x v="3"/>
    <n v="87727.18"/>
    <n v="75.099999999999994"/>
    <n v="238"/>
    <n v="96.5"/>
    <n v="6.69"/>
    <n v="150"/>
    <n v="650"/>
    <n v="644"/>
    <s v="FWD"/>
    <n v="7"/>
    <x v="2"/>
    <n v="79.900000000000006"/>
    <n v="1500"/>
    <x v="1"/>
    <n v="1"/>
    <x v="0"/>
    <x v="2"/>
    <n v="35030"/>
    <n v="3.42"/>
    <n v="6"/>
  </r>
  <r>
    <x v="2"/>
    <s v="Bolt EUV"/>
    <x v="3"/>
    <x v="4"/>
    <n v="29502.2"/>
    <n v="67.8"/>
    <n v="248"/>
    <n v="100"/>
    <n v="7.13"/>
    <n v="142"/>
    <n v="218"/>
    <n v="200"/>
    <s v="RWD"/>
    <n v="7"/>
    <x v="3"/>
    <n v="37.700000000000003"/>
    <n v="1722"/>
    <x v="0"/>
    <n v="1"/>
    <x v="2"/>
    <x v="3"/>
    <n v="19509"/>
    <n v="3.46"/>
    <n v="3"/>
  </r>
  <r>
    <x v="3"/>
    <s v="EV6"/>
    <x v="5"/>
    <x v="1"/>
    <n v="81787.56"/>
    <n v="61.8"/>
    <n v="200"/>
    <n v="101.7"/>
    <n v="5.15"/>
    <n v="173"/>
    <n v="967"/>
    <n v="895"/>
    <s v="RWD"/>
    <n v="7"/>
    <x v="4"/>
    <n v="19.8"/>
    <n v="1500"/>
    <x v="2"/>
    <n v="0"/>
    <x v="3"/>
    <x v="2"/>
    <n v="103637"/>
    <n v="3.28"/>
    <n v="4"/>
  </r>
  <r>
    <x v="7"/>
    <s v="Atto 3"/>
    <x v="3"/>
    <x v="0"/>
    <n v="94900.11"/>
    <n v="105.2"/>
    <n v="381"/>
    <n v="214.4"/>
    <n v="3.93"/>
    <n v="190"/>
    <n v="1000"/>
    <n v="907"/>
    <s v="AWD"/>
    <n v="5"/>
    <x v="3"/>
    <n v="25.2"/>
    <n v="1500"/>
    <x v="1"/>
    <n v="0"/>
    <x v="4"/>
    <x v="2"/>
    <n v="172031"/>
    <n v="3.92"/>
    <n v="3"/>
  </r>
  <r>
    <x v="7"/>
    <s v="Max"/>
    <x v="5"/>
    <x v="4"/>
    <n v="76922.710000000006"/>
    <n v="71.2"/>
    <n v="254"/>
    <n v="114.7"/>
    <n v="7.54"/>
    <n v="139"/>
    <n v="885"/>
    <n v="732"/>
    <s v="RWD"/>
    <n v="5"/>
    <x v="0"/>
    <n v="72.8"/>
    <n v="2840"/>
    <x v="1"/>
    <n v="0"/>
    <x v="4"/>
    <x v="2"/>
    <n v="121433"/>
    <n v="3.41"/>
    <n v="4"/>
  </r>
  <r>
    <x v="4"/>
    <s v="Model 3"/>
    <x v="2"/>
    <x v="1"/>
    <n v="173467.44"/>
    <n v="42.9"/>
    <n v="150"/>
    <n v="236.8"/>
    <n v="5.49"/>
    <n v="180"/>
    <n v="1000"/>
    <n v="906"/>
    <s v="AWD"/>
    <n v="5"/>
    <x v="3"/>
    <n v="15.4"/>
    <n v="2086"/>
    <x v="0"/>
    <n v="2"/>
    <x v="2"/>
    <x v="0"/>
    <n v="241741"/>
    <n v="3.75"/>
    <n v="5"/>
  </r>
  <r>
    <x v="11"/>
    <s v="Q6 e-tron"/>
    <x v="2"/>
    <x v="1"/>
    <n v="105361.9"/>
    <n v="71.8"/>
    <n v="263"/>
    <n v="52.5"/>
    <n v="7.12"/>
    <n v="144"/>
    <n v="753"/>
    <n v="661"/>
    <s v="FWD"/>
    <n v="5"/>
    <x v="4"/>
    <n v="39.5"/>
    <n v="1500"/>
    <x v="1"/>
    <n v="2"/>
    <x v="0"/>
    <x v="0"/>
    <n v="22361"/>
    <n v="3.64"/>
    <n v="7"/>
  </r>
  <r>
    <x v="3"/>
    <s v="Picanto EV"/>
    <x v="1"/>
    <x v="4"/>
    <n v="39229.86"/>
    <n v="42.7"/>
    <n v="154"/>
    <n v="100.5"/>
    <n v="5.09"/>
    <n v="170"/>
    <n v="325"/>
    <n v="298"/>
    <s v="FWD"/>
    <n v="5"/>
    <x v="3"/>
    <n v="18"/>
    <n v="1570"/>
    <x v="0"/>
    <n v="0"/>
    <x v="3"/>
    <x v="1"/>
    <n v="92917"/>
    <n v="3.02"/>
    <n v="4"/>
  </r>
  <r>
    <x v="0"/>
    <s v="ID.5"/>
    <x v="1"/>
    <x v="1"/>
    <n v="90567.3"/>
    <n v="69.5"/>
    <n v="208"/>
    <n v="142"/>
    <n v="6.59"/>
    <n v="147"/>
    <n v="1000"/>
    <n v="914"/>
    <s v="AWD"/>
    <n v="5"/>
    <x v="0"/>
    <n v="74"/>
    <n v="2426"/>
    <x v="1"/>
    <n v="0"/>
    <x v="0"/>
    <x v="2"/>
    <n v="266134"/>
    <n v="3.28"/>
    <n v="4"/>
  </r>
  <r>
    <x v="8"/>
    <s v="Ioniq"/>
    <x v="3"/>
    <x v="0"/>
    <n v="95402.2"/>
    <n v="91.6"/>
    <n v="321"/>
    <n v="184.8"/>
    <n v="4.4400000000000004"/>
    <n v="187"/>
    <n v="1000"/>
    <n v="888"/>
    <s v="AWD"/>
    <n v="7"/>
    <x v="4"/>
    <n v="25.2"/>
    <n v="1627"/>
    <x v="0"/>
    <n v="1"/>
    <x v="3"/>
    <x v="2"/>
    <n v="124589"/>
    <n v="3.85"/>
    <n v="4"/>
  </r>
  <r>
    <x v="1"/>
    <s v="bZ Compact SUV"/>
    <x v="3"/>
    <x v="2"/>
    <n v="84185.72"/>
    <n v="103.8"/>
    <n v="377"/>
    <n v="121.9"/>
    <n v="5.79"/>
    <n v="165"/>
    <n v="1000"/>
    <n v="868"/>
    <s v="FWD"/>
    <n v="5"/>
    <x v="1"/>
    <n v="60.4"/>
    <n v="1969"/>
    <x v="1"/>
    <n v="1"/>
    <x v="1"/>
    <x v="2"/>
    <n v="15914"/>
    <n v="3.93"/>
    <n v="4"/>
  </r>
  <r>
    <x v="4"/>
    <s v="Model Y"/>
    <x v="5"/>
    <x v="4"/>
    <n v="131838.32999999999"/>
    <n v="68.900000000000006"/>
    <n v="241"/>
    <n v="340.8"/>
    <n v="6.65"/>
    <n v="152"/>
    <n v="1000"/>
    <n v="923"/>
    <s v="FWD"/>
    <n v="7"/>
    <x v="5"/>
    <n v="31.8"/>
    <n v="1541"/>
    <x v="1"/>
    <n v="2"/>
    <x v="2"/>
    <x v="0"/>
    <n v="410211"/>
    <n v="3.81"/>
    <n v="5"/>
  </r>
  <r>
    <x v="3"/>
    <s v="EV9"/>
    <x v="2"/>
    <x v="3"/>
    <n v="36206.519999999997"/>
    <n v="53.7"/>
    <n v="182"/>
    <n v="132.1"/>
    <n v="6.92"/>
    <n v="143"/>
    <n v="296"/>
    <n v="296"/>
    <s v="AWD"/>
    <n v="7"/>
    <x v="1"/>
    <n v="60.1"/>
    <n v="2343"/>
    <x v="0"/>
    <n v="0"/>
    <x v="3"/>
    <x v="1"/>
    <n v="96649"/>
    <n v="3.22"/>
    <n v="5"/>
  </r>
  <r>
    <x v="8"/>
    <s v="Ioniq 5"/>
    <x v="5"/>
    <x v="4"/>
    <n v="60217.03"/>
    <n v="73.900000000000006"/>
    <n v="251"/>
    <n v="102.4"/>
    <n v="6.68"/>
    <n v="159"/>
    <n v="721"/>
    <n v="665"/>
    <s v="FWD"/>
    <n v="5"/>
    <x v="1"/>
    <n v="41.2"/>
    <n v="2085"/>
    <x v="0"/>
    <n v="0"/>
    <x v="3"/>
    <x v="1"/>
    <n v="83698"/>
    <n v="3.17"/>
    <n v="5"/>
  </r>
  <r>
    <x v="3"/>
    <s v="Sportage EV"/>
    <x v="3"/>
    <x v="1"/>
    <n v="76146.100000000006"/>
    <n v="42.4"/>
    <n v="175"/>
    <n v="62.2"/>
    <n v="7.08"/>
    <n v="146"/>
    <n v="931"/>
    <n v="831"/>
    <s v="FWD"/>
    <n v="5"/>
    <x v="1"/>
    <n v="46.6"/>
    <n v="1980"/>
    <x v="0"/>
    <n v="0"/>
    <x v="3"/>
    <x v="2"/>
    <n v="86432"/>
    <n v="3.41"/>
    <n v="5"/>
  </r>
  <r>
    <x v="4"/>
    <s v="Model 3"/>
    <x v="2"/>
    <x v="1"/>
    <n v="92300.78"/>
    <n v="48.8"/>
    <n v="173"/>
    <n v="313.2"/>
    <n v="7.14"/>
    <n v="146"/>
    <n v="654"/>
    <n v="617"/>
    <s v="RWD"/>
    <n v="7"/>
    <x v="3"/>
    <n v="32.1"/>
    <n v="1604"/>
    <x v="1"/>
    <n v="3"/>
    <x v="2"/>
    <x v="2"/>
    <n v="249410"/>
    <n v="3.51"/>
    <n v="6"/>
  </r>
  <r>
    <x v="5"/>
    <s v="GLE EV"/>
    <x v="3"/>
    <x v="1"/>
    <n v="158316.82999999999"/>
    <n v="76"/>
    <n v="241"/>
    <n v="96.3"/>
    <n v="5.44"/>
    <n v="164"/>
    <n v="1000"/>
    <n v="889"/>
    <s v="AWD"/>
    <n v="5"/>
    <x v="2"/>
    <n v="73.7"/>
    <n v="1882"/>
    <x v="1"/>
    <n v="2"/>
    <x v="0"/>
    <x v="0"/>
    <n v="22636"/>
    <n v="3.82"/>
    <n v="6"/>
  </r>
  <r>
    <x v="13"/>
    <s v="R3"/>
    <x v="3"/>
    <x v="0"/>
    <n v="109164.41"/>
    <n v="79.599999999999994"/>
    <n v="288"/>
    <n v="191.9"/>
    <n v="3.34"/>
    <n v="197"/>
    <n v="1000"/>
    <n v="857"/>
    <s v="AWD"/>
    <n v="5"/>
    <x v="3"/>
    <n v="39.1"/>
    <n v="1853"/>
    <x v="1"/>
    <n v="1"/>
    <x v="2"/>
    <x v="0"/>
    <n v="19234"/>
    <n v="3.75"/>
    <n v="4"/>
  </r>
  <r>
    <x v="3"/>
    <s v="Niro EV"/>
    <x v="3"/>
    <x v="1"/>
    <n v="108567.95"/>
    <n v="56.3"/>
    <n v="197"/>
    <n v="122.5"/>
    <n v="5.25"/>
    <n v="165"/>
    <n v="1000"/>
    <n v="911"/>
    <s v="AWD"/>
    <n v="7"/>
    <x v="2"/>
    <n v="74.400000000000006"/>
    <n v="1655"/>
    <x v="0"/>
    <n v="0"/>
    <x v="3"/>
    <x v="0"/>
    <n v="139588"/>
    <n v="3.58"/>
    <n v="4"/>
  </r>
  <r>
    <x v="2"/>
    <s v="Silverado EV"/>
    <x v="2"/>
    <x v="3"/>
    <n v="33469.379999999997"/>
    <n v="55.2"/>
    <n v="198"/>
    <n v="50.6"/>
    <n v="7.96"/>
    <n v="130"/>
    <n v="287"/>
    <n v="257"/>
    <s v="FWD"/>
    <n v="5"/>
    <x v="1"/>
    <n v="57.3"/>
    <n v="2124"/>
    <x v="0"/>
    <n v="0"/>
    <x v="2"/>
    <x v="3"/>
    <n v="2373"/>
    <n v="3.27"/>
    <n v="3"/>
  </r>
  <r>
    <x v="13"/>
    <s v="R3"/>
    <x v="3"/>
    <x v="3"/>
    <n v="79068.679999999993"/>
    <n v="62.9"/>
    <n v="236"/>
    <n v="98.4"/>
    <n v="7.54"/>
    <n v="146"/>
    <n v="668"/>
    <n v="618"/>
    <s v="RWD"/>
    <n v="5"/>
    <x v="1"/>
    <n v="53.7"/>
    <n v="1833"/>
    <x v="1"/>
    <n v="2"/>
    <x v="2"/>
    <x v="2"/>
    <n v="25139"/>
    <n v="3.32"/>
    <n v="4"/>
  </r>
  <r>
    <x v="2"/>
    <s v="Bolt EV"/>
    <x v="0"/>
    <x v="3"/>
    <n v="59074.75"/>
    <n v="54.5"/>
    <n v="198"/>
    <n v="119.9"/>
    <n v="6.02"/>
    <n v="163"/>
    <n v="760"/>
    <n v="681"/>
    <s v="AWD"/>
    <n v="7"/>
    <x v="4"/>
    <n v="20.5"/>
    <n v="1586"/>
    <x v="0"/>
    <n v="0"/>
    <x v="2"/>
    <x v="1"/>
    <n v="15584"/>
    <n v="3.31"/>
    <n v="4"/>
  </r>
  <r>
    <x v="4"/>
    <s v="Model 3"/>
    <x v="3"/>
    <x v="3"/>
    <n v="38136.97"/>
    <n v="76"/>
    <n v="284"/>
    <n v="200.7"/>
    <n v="7.25"/>
    <n v="142"/>
    <n v="219"/>
    <n v="232"/>
    <s v="FWD"/>
    <n v="7"/>
    <x v="5"/>
    <n v="37.299999999999997"/>
    <n v="1674"/>
    <x v="1"/>
    <n v="2"/>
    <x v="2"/>
    <x v="1"/>
    <n v="113015"/>
    <n v="3.93"/>
    <n v="5"/>
  </r>
  <r>
    <x v="3"/>
    <s v="Sportage EV"/>
    <x v="2"/>
    <x v="1"/>
    <n v="72898.84"/>
    <n v="65.7"/>
    <n v="244"/>
    <n v="77.2"/>
    <n v="5.44"/>
    <n v="172"/>
    <n v="843"/>
    <n v="702"/>
    <s v="AWD"/>
    <n v="5"/>
    <x v="1"/>
    <n v="36.9"/>
    <n v="1586"/>
    <x v="1"/>
    <n v="0"/>
    <x v="3"/>
    <x v="2"/>
    <n v="78422"/>
    <n v="3.48"/>
    <n v="5"/>
  </r>
  <r>
    <x v="3"/>
    <s v="Sportage EV"/>
    <x v="5"/>
    <x v="3"/>
    <n v="72429.61"/>
    <n v="64.2"/>
    <n v="178"/>
    <n v="50.8"/>
    <n v="6.33"/>
    <n v="153"/>
    <n v="877"/>
    <n v="756"/>
    <s v="RWD"/>
    <n v="5"/>
    <x v="1"/>
    <n v="46.5"/>
    <n v="1686"/>
    <x v="1"/>
    <n v="0"/>
    <x v="3"/>
    <x v="2"/>
    <n v="52716"/>
    <n v="3"/>
    <n v="4"/>
  </r>
  <r>
    <x v="0"/>
    <s v="ID. Aero"/>
    <x v="2"/>
    <x v="0"/>
    <n v="90339.09"/>
    <n v="78.099999999999994"/>
    <n v="263"/>
    <n v="193.1"/>
    <n v="4.3600000000000003"/>
    <n v="181"/>
    <n v="986"/>
    <n v="890"/>
    <s v="AWD"/>
    <n v="5"/>
    <x v="1"/>
    <n v="50.4"/>
    <n v="2218"/>
    <x v="0"/>
    <n v="0"/>
    <x v="0"/>
    <x v="2"/>
    <n v="202441"/>
    <n v="3.2"/>
    <n v="3"/>
  </r>
  <r>
    <x v="2"/>
    <s v="Bolt EUV"/>
    <x v="2"/>
    <x v="4"/>
    <n v="57794.12"/>
    <n v="67.8"/>
    <n v="255"/>
    <n v="120.9"/>
    <n v="7.67"/>
    <n v="135"/>
    <n v="696"/>
    <n v="587"/>
    <s v="FWD"/>
    <n v="7"/>
    <x v="0"/>
    <n v="51"/>
    <n v="2854"/>
    <x v="1"/>
    <n v="1"/>
    <x v="2"/>
    <x v="1"/>
    <n v="28957"/>
    <n v="3.15"/>
    <n v="4"/>
  </r>
  <r>
    <x v="12"/>
    <s v="EL6"/>
    <x v="2"/>
    <x v="2"/>
    <n v="99775.41"/>
    <n v="109.9"/>
    <n v="380"/>
    <n v="65.599999999999994"/>
    <n v="5.18"/>
    <n v="171"/>
    <n v="958"/>
    <n v="836"/>
    <s v="RWD"/>
    <n v="5"/>
    <x v="1"/>
    <n v="63.5"/>
    <n v="1845"/>
    <x v="0"/>
    <n v="2"/>
    <x v="4"/>
    <x v="2"/>
    <n v="27479"/>
    <n v="3.57"/>
    <n v="4"/>
  </r>
  <r>
    <x v="13"/>
    <s v="R2"/>
    <x v="5"/>
    <x v="2"/>
    <n v="98562.96"/>
    <n v="97.1"/>
    <n v="316"/>
    <n v="50.1"/>
    <n v="5.61"/>
    <n v="160"/>
    <n v="1000"/>
    <n v="952"/>
    <s v="AWD"/>
    <n v="7"/>
    <x v="1"/>
    <n v="58.8"/>
    <n v="2158"/>
    <x v="2"/>
    <n v="0"/>
    <x v="2"/>
    <x v="2"/>
    <n v="20133"/>
    <n v="3.71"/>
    <n v="6"/>
  </r>
  <r>
    <x v="0"/>
    <s v="ID. Buzz"/>
    <x v="3"/>
    <x v="1"/>
    <n v="45327.13"/>
    <n v="67.8"/>
    <n v="261"/>
    <n v="127.3"/>
    <n v="7.88"/>
    <n v="132"/>
    <n v="357"/>
    <n v="330"/>
    <s v="AWD"/>
    <n v="5"/>
    <x v="4"/>
    <n v="20.5"/>
    <n v="1619"/>
    <x v="0"/>
    <n v="0"/>
    <x v="0"/>
    <x v="1"/>
    <n v="299882"/>
    <n v="3.61"/>
    <n v="3"/>
  </r>
  <r>
    <x v="4"/>
    <s v="Model Y"/>
    <x v="0"/>
    <x v="4"/>
    <n v="100758.31"/>
    <n v="46"/>
    <n v="171"/>
    <n v="297.7"/>
    <n v="5.13"/>
    <n v="175"/>
    <n v="786"/>
    <n v="685"/>
    <s v="RWD"/>
    <n v="7"/>
    <x v="1"/>
    <n v="47.3"/>
    <n v="1900"/>
    <x v="1"/>
    <n v="2"/>
    <x v="2"/>
    <x v="0"/>
    <n v="472436"/>
    <n v="3.4"/>
    <n v="4"/>
  </r>
  <r>
    <x v="14"/>
    <s v="Macan Electric"/>
    <x v="3"/>
    <x v="4"/>
    <n v="185796.61"/>
    <n v="78.099999999999994"/>
    <n v="296"/>
    <n v="229"/>
    <n v="6.69"/>
    <n v="148"/>
    <n v="990"/>
    <n v="873"/>
    <s v="AWD"/>
    <n v="7"/>
    <x v="4"/>
    <n v="17.2"/>
    <n v="1665"/>
    <x v="0"/>
    <n v="0"/>
    <x v="0"/>
    <x v="0"/>
    <n v="21608"/>
    <n v="3.85"/>
    <n v="6"/>
  </r>
  <r>
    <x v="5"/>
    <s v="EQG"/>
    <x v="3"/>
    <x v="2"/>
    <n v="94596.53"/>
    <n v="77.5"/>
    <n v="267"/>
    <n v="149.80000000000001"/>
    <n v="4.8600000000000003"/>
    <n v="167"/>
    <n v="486"/>
    <n v="470"/>
    <s v="AWD"/>
    <n v="5"/>
    <x v="4"/>
    <n v="31.6"/>
    <n v="1500"/>
    <x v="1"/>
    <n v="2"/>
    <x v="0"/>
    <x v="2"/>
    <n v="48573"/>
    <n v="3.82"/>
    <n v="5"/>
  </r>
  <r>
    <x v="4"/>
    <s v="Model S"/>
    <x v="4"/>
    <x v="1"/>
    <n v="108109.05"/>
    <n v="82.6"/>
    <n v="273"/>
    <n v="272.2"/>
    <n v="7.76"/>
    <n v="128"/>
    <n v="740"/>
    <n v="654"/>
    <s v="AWD"/>
    <n v="5"/>
    <x v="2"/>
    <n v="65.7"/>
    <n v="1524"/>
    <x v="0"/>
    <n v="2"/>
    <x v="2"/>
    <x v="0"/>
    <n v="201131"/>
    <n v="3.9"/>
    <n v="5"/>
  </r>
  <r>
    <x v="13"/>
    <s v="R2"/>
    <x v="3"/>
    <x v="3"/>
    <n v="79447.62"/>
    <n v="60.5"/>
    <n v="184"/>
    <n v="86.2"/>
    <n v="5.83"/>
    <n v="158"/>
    <n v="619"/>
    <n v="525"/>
    <s v="AWD"/>
    <n v="7"/>
    <x v="0"/>
    <n v="67.2"/>
    <n v="2460"/>
    <x v="1"/>
    <n v="0"/>
    <x v="2"/>
    <x v="2"/>
    <n v="21177"/>
    <n v="3.42"/>
    <n v="5"/>
  </r>
  <r>
    <x v="5"/>
    <s v="EQC"/>
    <x v="5"/>
    <x v="1"/>
    <n v="151394.73000000001"/>
    <n v="70.8"/>
    <n v="264"/>
    <n v="136.9"/>
    <n v="6.41"/>
    <n v="153"/>
    <n v="1000"/>
    <n v="939"/>
    <s v="AWD"/>
    <n v="5"/>
    <x v="2"/>
    <n v="60.1"/>
    <n v="1500"/>
    <x v="1"/>
    <n v="1"/>
    <x v="0"/>
    <x v="0"/>
    <n v="37405"/>
    <n v="3.71"/>
    <n v="6"/>
  </r>
  <r>
    <x v="8"/>
    <s v="i30"/>
    <x v="3"/>
    <x v="4"/>
    <n v="30172.57"/>
    <n v="82.9"/>
    <n v="283"/>
    <n v="111.6"/>
    <n v="7.77"/>
    <n v="137"/>
    <n v="187"/>
    <n v="200"/>
    <s v="FWD"/>
    <n v="5"/>
    <x v="0"/>
    <n v="79.5"/>
    <n v="2516"/>
    <x v="2"/>
    <n v="1"/>
    <x v="3"/>
    <x v="3"/>
    <n v="76614"/>
    <n v="3.55"/>
    <n v="3"/>
  </r>
  <r>
    <x v="3"/>
    <s v="Niro EV"/>
    <x v="2"/>
    <x v="0"/>
    <n v="81763.199999999997"/>
    <n v="89.6"/>
    <n v="319"/>
    <n v="232.9"/>
    <n v="3.7"/>
    <n v="188"/>
    <n v="985"/>
    <n v="960"/>
    <s v="AWD"/>
    <n v="5"/>
    <x v="4"/>
    <n v="25"/>
    <n v="1629"/>
    <x v="0"/>
    <n v="0"/>
    <x v="3"/>
    <x v="2"/>
    <n v="93663"/>
    <n v="3.44"/>
    <n v="3"/>
  </r>
  <r>
    <x v="0"/>
    <s v="ID. Buzz"/>
    <x v="5"/>
    <x v="2"/>
    <n v="42399.68"/>
    <n v="101.9"/>
    <n v="356"/>
    <n v="96.8"/>
    <n v="4.99"/>
    <n v="186"/>
    <n v="269"/>
    <n v="207"/>
    <s v="FWD"/>
    <n v="5"/>
    <x v="3"/>
    <n v="29.9"/>
    <n v="1500"/>
    <x v="0"/>
    <n v="0"/>
    <x v="0"/>
    <x v="1"/>
    <n v="252676"/>
    <n v="3.68"/>
    <n v="5"/>
  </r>
  <r>
    <x v="4"/>
    <s v="Model X"/>
    <x v="1"/>
    <x v="4"/>
    <n v="98265.87"/>
    <n v="83.7"/>
    <n v="298"/>
    <n v="223.7"/>
    <n v="5.16"/>
    <n v="173"/>
    <n v="717"/>
    <n v="646"/>
    <s v="FWD"/>
    <n v="5"/>
    <x v="3"/>
    <n v="24.2"/>
    <n v="1500"/>
    <x v="0"/>
    <n v="2"/>
    <x v="2"/>
    <x v="2"/>
    <n v="144367"/>
    <n v="3.63"/>
    <n v="5"/>
  </r>
  <r>
    <x v="7"/>
    <s v="Max"/>
    <x v="2"/>
    <x v="4"/>
    <n v="70846.850000000006"/>
    <n v="56.4"/>
    <n v="200"/>
    <n v="89"/>
    <n v="6.56"/>
    <n v="161"/>
    <n v="813"/>
    <n v="686"/>
    <s v="AWD"/>
    <n v="7"/>
    <x v="2"/>
    <n v="60.4"/>
    <n v="1921"/>
    <x v="0"/>
    <n v="0"/>
    <x v="4"/>
    <x v="2"/>
    <n v="234001"/>
    <n v="3.55"/>
    <n v="4"/>
  </r>
  <r>
    <x v="9"/>
    <s v="Explorer EV"/>
    <x v="0"/>
    <x v="0"/>
    <n v="78508.55"/>
    <n v="73"/>
    <n v="274"/>
    <n v="224.9"/>
    <n v="2.91"/>
    <n v="200"/>
    <n v="915"/>
    <n v="850"/>
    <s v="RWD"/>
    <n v="5"/>
    <x v="2"/>
    <n v="70.099999999999994"/>
    <n v="1650"/>
    <x v="0"/>
    <n v="1"/>
    <x v="2"/>
    <x v="2"/>
    <n v="51688"/>
    <n v="3.3"/>
    <n v="3"/>
  </r>
  <r>
    <x v="4"/>
    <s v="Cybertruck"/>
    <x v="1"/>
    <x v="1"/>
    <n v="154962.64000000001"/>
    <n v="53.2"/>
    <n v="157"/>
    <n v="316.3"/>
    <n v="7.79"/>
    <n v="135"/>
    <n v="1000"/>
    <n v="884"/>
    <s v="AWD"/>
    <n v="5"/>
    <x v="0"/>
    <n v="78.2"/>
    <n v="1876"/>
    <x v="1"/>
    <n v="2"/>
    <x v="2"/>
    <x v="0"/>
    <n v="148718"/>
    <n v="3.67"/>
    <n v="6"/>
  </r>
  <r>
    <x v="7"/>
    <s v="Yuan Plus"/>
    <x v="0"/>
    <x v="2"/>
    <n v="44084.51"/>
    <n v="94"/>
    <n v="330"/>
    <n v="88.8"/>
    <n v="4.32"/>
    <n v="179"/>
    <n v="505"/>
    <n v="466"/>
    <s v="RWD"/>
    <n v="7"/>
    <x v="4"/>
    <n v="29.7"/>
    <n v="1693"/>
    <x v="0"/>
    <n v="1"/>
    <x v="4"/>
    <x v="1"/>
    <n v="187463"/>
    <n v="3.67"/>
    <n v="3"/>
  </r>
  <r>
    <x v="0"/>
    <s v="ID.3"/>
    <x v="2"/>
    <x v="2"/>
    <n v="47038.76"/>
    <n v="86.5"/>
    <n v="330"/>
    <n v="108.8"/>
    <n v="4.24"/>
    <n v="194"/>
    <n v="352"/>
    <n v="368"/>
    <s v="RWD"/>
    <n v="7"/>
    <x v="0"/>
    <n v="71.8"/>
    <n v="2639"/>
    <x v="1"/>
    <n v="1"/>
    <x v="0"/>
    <x v="1"/>
    <n v="270498"/>
    <n v="3.37"/>
    <n v="3"/>
  </r>
  <r>
    <x v="8"/>
    <s v="Ioniq 5"/>
    <x v="3"/>
    <x v="2"/>
    <n v="50915.71"/>
    <n v="81"/>
    <n v="278"/>
    <n v="99.3"/>
    <n v="4.13"/>
    <n v="183"/>
    <n v="517"/>
    <n v="482"/>
    <s v="FWD"/>
    <n v="5"/>
    <x v="5"/>
    <n v="22.8"/>
    <n v="1672"/>
    <x v="2"/>
    <n v="1"/>
    <x v="3"/>
    <x v="1"/>
    <n v="54316"/>
    <n v="3.5"/>
    <n v="5"/>
  </r>
  <r>
    <x v="13"/>
    <s v="R1S"/>
    <x v="1"/>
    <x v="3"/>
    <n v="64347.55"/>
    <n v="45.6"/>
    <n v="150"/>
    <n v="110.6"/>
    <n v="6.54"/>
    <n v="152"/>
    <n v="150"/>
    <n v="200"/>
    <s v="RWD"/>
    <n v="7"/>
    <x v="1"/>
    <n v="46.2"/>
    <n v="2128"/>
    <x v="1"/>
    <n v="1"/>
    <x v="2"/>
    <x v="1"/>
    <n v="3522"/>
    <n v="3.26"/>
    <n v="5"/>
  </r>
  <r>
    <x v="7"/>
    <s v="Atto 3"/>
    <x v="1"/>
    <x v="3"/>
    <n v="21384.75"/>
    <n v="62.9"/>
    <n v="201"/>
    <n v="67.5"/>
    <n v="6.88"/>
    <n v="146"/>
    <n v="173"/>
    <n v="200"/>
    <s v="RWD"/>
    <n v="5"/>
    <x v="3"/>
    <n v="37.1"/>
    <n v="1781"/>
    <x v="1"/>
    <n v="0"/>
    <x v="4"/>
    <x v="3"/>
    <n v="233873"/>
    <n v="3.28"/>
    <n v="3"/>
  </r>
  <r>
    <x v="7"/>
    <s v="Atto 3"/>
    <x v="3"/>
    <x v="2"/>
    <n v="99107.520000000004"/>
    <n v="98.9"/>
    <n v="347"/>
    <n v="107.3"/>
    <n v="4.5599999999999996"/>
    <n v="177"/>
    <n v="1000"/>
    <n v="894"/>
    <s v="FWD"/>
    <n v="7"/>
    <x v="3"/>
    <n v="27.1"/>
    <n v="1842"/>
    <x v="1"/>
    <n v="1"/>
    <x v="4"/>
    <x v="2"/>
    <n v="190865"/>
    <n v="3.32"/>
    <n v="3"/>
  </r>
  <r>
    <x v="2"/>
    <s v="Bolt EV"/>
    <x v="3"/>
    <x v="3"/>
    <n v="60512.959999999999"/>
    <n v="58.6"/>
    <n v="258"/>
    <n v="69.400000000000006"/>
    <n v="7.07"/>
    <n v="146"/>
    <n v="780"/>
    <n v="691"/>
    <s v="AWD"/>
    <n v="7"/>
    <x v="3"/>
    <n v="24.1"/>
    <n v="1720"/>
    <x v="1"/>
    <n v="0"/>
    <x v="2"/>
    <x v="1"/>
    <n v="12934"/>
    <n v="3.42"/>
    <n v="5"/>
  </r>
  <r>
    <x v="0"/>
    <s v="ID.5"/>
    <x v="0"/>
    <x v="0"/>
    <n v="64071.199999999997"/>
    <n v="77.7"/>
    <n v="297"/>
    <n v="179.6"/>
    <n v="4.0199999999999996"/>
    <n v="191"/>
    <n v="682"/>
    <n v="641"/>
    <s v="RWD"/>
    <n v="5"/>
    <x v="4"/>
    <n v="38.700000000000003"/>
    <n v="1826"/>
    <x v="2"/>
    <n v="0"/>
    <x v="0"/>
    <x v="1"/>
    <n v="290103"/>
    <n v="3.66"/>
    <n v="5"/>
  </r>
  <r>
    <x v="7"/>
    <s v="Atto 3"/>
    <x v="5"/>
    <x v="0"/>
    <n v="31933.47"/>
    <n v="119.9"/>
    <n v="430"/>
    <n v="171.3"/>
    <n v="2.71"/>
    <n v="200"/>
    <n v="363"/>
    <n v="329"/>
    <s v="RWD"/>
    <n v="7"/>
    <x v="4"/>
    <n v="20.7"/>
    <n v="1500"/>
    <x v="2"/>
    <n v="0"/>
    <x v="4"/>
    <x v="3"/>
    <n v="219100"/>
    <n v="4.1900000000000004"/>
    <n v="5"/>
  </r>
  <r>
    <x v="0"/>
    <s v="ID.3"/>
    <x v="5"/>
    <x v="4"/>
    <n v="33483.919999999998"/>
    <n v="82.6"/>
    <n v="293"/>
    <n v="136.4"/>
    <n v="6.02"/>
    <n v="160"/>
    <n v="201"/>
    <n v="200"/>
    <s v="AWD"/>
    <n v="5"/>
    <x v="0"/>
    <n v="53.2"/>
    <n v="2437"/>
    <x v="1"/>
    <n v="0"/>
    <x v="0"/>
    <x v="3"/>
    <n v="207337"/>
    <n v="3.62"/>
    <n v="5"/>
  </r>
  <r>
    <x v="4"/>
    <s v="Model S"/>
    <x v="3"/>
    <x v="0"/>
    <n v="68593.72"/>
    <n v="107.6"/>
    <n v="361"/>
    <n v="209.3"/>
    <n v="4.22"/>
    <n v="192"/>
    <n v="452"/>
    <n v="389"/>
    <s v="FWD"/>
    <n v="7"/>
    <x v="4"/>
    <n v="33.5"/>
    <n v="1685"/>
    <x v="1"/>
    <n v="3"/>
    <x v="2"/>
    <x v="2"/>
    <n v="245974"/>
    <n v="4.2300000000000004"/>
    <n v="5"/>
  </r>
  <r>
    <x v="4"/>
    <s v="Cybertruck"/>
    <x v="3"/>
    <x v="4"/>
    <n v="61013.48"/>
    <n v="45.2"/>
    <n v="156"/>
    <n v="307"/>
    <n v="6.71"/>
    <n v="151"/>
    <n v="429"/>
    <n v="358"/>
    <s v="FWD"/>
    <n v="7"/>
    <x v="0"/>
    <n v="52.1"/>
    <n v="2708"/>
    <x v="2"/>
    <n v="2"/>
    <x v="2"/>
    <x v="1"/>
    <n v="132800"/>
    <n v="3.35"/>
    <n v="5"/>
  </r>
  <r>
    <x v="8"/>
    <s v="Ioniq 5"/>
    <x v="3"/>
    <x v="3"/>
    <n v="68602.240000000005"/>
    <n v="75.7"/>
    <n v="260"/>
    <n v="70.099999999999994"/>
    <n v="5.05"/>
    <n v="164"/>
    <n v="815"/>
    <n v="690"/>
    <s v="FWD"/>
    <n v="7"/>
    <x v="1"/>
    <n v="60.5"/>
    <n v="2317"/>
    <x v="1"/>
    <n v="0"/>
    <x v="3"/>
    <x v="2"/>
    <n v="109721"/>
    <n v="3.31"/>
    <n v="5"/>
  </r>
  <r>
    <x v="0"/>
    <s v="ID. Aero"/>
    <x v="4"/>
    <x v="2"/>
    <n v="76214.899999999994"/>
    <n v="92.3"/>
    <n v="348"/>
    <n v="138.4"/>
    <n v="5.53"/>
    <n v="172"/>
    <n v="859"/>
    <n v="782"/>
    <s v="RWD"/>
    <n v="5"/>
    <x v="0"/>
    <n v="71.900000000000006"/>
    <n v="2363"/>
    <x v="1"/>
    <n v="2"/>
    <x v="0"/>
    <x v="2"/>
    <n v="249899"/>
    <n v="3.71"/>
    <n v="4"/>
  </r>
  <r>
    <x v="13"/>
    <s v="R1S"/>
    <x v="5"/>
    <x v="1"/>
    <n v="110739.07"/>
    <n v="48.4"/>
    <n v="163"/>
    <n v="78.5"/>
    <n v="7.01"/>
    <n v="146"/>
    <n v="1000"/>
    <n v="896"/>
    <s v="RWD"/>
    <n v="5"/>
    <x v="5"/>
    <n v="37.6"/>
    <n v="1664"/>
    <x v="1"/>
    <n v="1"/>
    <x v="2"/>
    <x v="0"/>
    <n v="26386"/>
    <n v="3.24"/>
    <n v="6"/>
  </r>
  <r>
    <x v="0"/>
    <s v="ID.4"/>
    <x v="2"/>
    <x v="0"/>
    <n v="111511.26"/>
    <n v="74.099999999999994"/>
    <n v="241"/>
    <n v="161.6"/>
    <n v="4.29"/>
    <n v="189"/>
    <n v="1000"/>
    <n v="921"/>
    <s v="AWD"/>
    <n v="7"/>
    <x v="0"/>
    <n v="57.8"/>
    <n v="2464"/>
    <x v="1"/>
    <n v="0"/>
    <x v="0"/>
    <x v="0"/>
    <n v="230069"/>
    <n v="3.24"/>
    <n v="4"/>
  </r>
  <r>
    <x v="3"/>
    <s v="Niro EV"/>
    <x v="3"/>
    <x v="1"/>
    <n v="64726.92"/>
    <n v="52.3"/>
    <n v="203"/>
    <n v="95.6"/>
    <n v="7.54"/>
    <n v="136"/>
    <n v="686"/>
    <n v="608"/>
    <s v="RWD"/>
    <n v="5"/>
    <x v="0"/>
    <n v="66.3"/>
    <n v="2102"/>
    <x v="1"/>
    <n v="0"/>
    <x v="3"/>
    <x v="1"/>
    <n v="135916"/>
    <n v="3.12"/>
    <n v="4"/>
  </r>
  <r>
    <x v="10"/>
    <s v="i7"/>
    <x v="0"/>
    <x v="3"/>
    <n v="89651.14"/>
    <n v="73.099999999999994"/>
    <n v="249"/>
    <n v="98.1"/>
    <n v="5.68"/>
    <n v="165"/>
    <n v="711"/>
    <n v="632"/>
    <s v="RWD"/>
    <n v="5"/>
    <x v="0"/>
    <n v="78.599999999999994"/>
    <n v="2470"/>
    <x v="0"/>
    <n v="1"/>
    <x v="0"/>
    <x v="2"/>
    <n v="72062"/>
    <n v="3.37"/>
    <n v="6"/>
  </r>
  <r>
    <x v="4"/>
    <s v="Model 3"/>
    <x v="0"/>
    <x v="0"/>
    <n v="125634.38"/>
    <n v="79.599999999999994"/>
    <n v="268"/>
    <n v="325"/>
    <n v="3.23"/>
    <n v="195"/>
    <n v="906"/>
    <n v="862"/>
    <s v="RWD"/>
    <n v="7"/>
    <x v="3"/>
    <n v="15.1"/>
    <n v="1567"/>
    <x v="1"/>
    <n v="2"/>
    <x v="2"/>
    <x v="0"/>
    <n v="223587"/>
    <n v="3.94"/>
    <n v="4"/>
  </r>
  <r>
    <x v="10"/>
    <s v="i3"/>
    <x v="3"/>
    <x v="3"/>
    <n v="93156.19"/>
    <n v="74.599999999999994"/>
    <n v="254"/>
    <n v="78.5"/>
    <n v="7.38"/>
    <n v="143"/>
    <n v="683"/>
    <n v="632"/>
    <s v="FWD"/>
    <n v="5"/>
    <x v="2"/>
    <n v="60.1"/>
    <n v="1564"/>
    <x v="0"/>
    <n v="2"/>
    <x v="0"/>
    <x v="2"/>
    <n v="71204"/>
    <n v="3.55"/>
    <n v="7"/>
  </r>
  <r>
    <x v="4"/>
    <s v="Cybertruck"/>
    <x v="1"/>
    <x v="2"/>
    <n v="93999.45"/>
    <n v="88.3"/>
    <n v="333"/>
    <n v="289.10000000000002"/>
    <n v="5.84"/>
    <n v="167"/>
    <n v="703"/>
    <n v="641"/>
    <s v="FWD"/>
    <n v="5"/>
    <x v="0"/>
    <n v="66"/>
    <n v="2476"/>
    <x v="1"/>
    <n v="2"/>
    <x v="2"/>
    <x v="2"/>
    <n v="124977"/>
    <n v="3.96"/>
    <n v="5"/>
  </r>
  <r>
    <x v="1"/>
    <s v="bZ Compact SUV"/>
    <x v="0"/>
    <x v="1"/>
    <n v="52160.99"/>
    <n v="69.400000000000006"/>
    <n v="234"/>
    <n v="77.8"/>
    <n v="6.21"/>
    <n v="169"/>
    <n v="511"/>
    <n v="481"/>
    <s v="RWD"/>
    <n v="7"/>
    <x v="1"/>
    <n v="40"/>
    <n v="2088"/>
    <x v="1"/>
    <n v="0"/>
    <x v="1"/>
    <x v="1"/>
    <n v="7110"/>
    <n v="3.56"/>
    <n v="4"/>
  </r>
  <r>
    <x v="4"/>
    <s v="Model S"/>
    <x v="2"/>
    <x v="0"/>
    <n v="77897.86"/>
    <n v="71.2"/>
    <n v="254"/>
    <n v="322.3"/>
    <n v="4.29"/>
    <n v="186"/>
    <n v="542"/>
    <n v="558"/>
    <s v="RWD"/>
    <n v="5"/>
    <x v="5"/>
    <n v="35.799999999999997"/>
    <n v="1500"/>
    <x v="0"/>
    <n v="3"/>
    <x v="2"/>
    <x v="2"/>
    <n v="153891"/>
    <n v="3.65"/>
    <n v="4"/>
  </r>
  <r>
    <x v="0"/>
    <s v="ID.4"/>
    <x v="3"/>
    <x v="3"/>
    <n v="78698.7"/>
    <n v="67.400000000000006"/>
    <n v="200"/>
    <n v="139.9"/>
    <n v="5.73"/>
    <n v="164"/>
    <n v="839"/>
    <n v="744"/>
    <s v="RWD"/>
    <n v="5"/>
    <x v="4"/>
    <n v="26"/>
    <n v="1649"/>
    <x v="1"/>
    <n v="0"/>
    <x v="0"/>
    <x v="2"/>
    <n v="200182"/>
    <n v="3.41"/>
    <n v="4"/>
  </r>
  <r>
    <x v="4"/>
    <s v="Model S"/>
    <x v="4"/>
    <x v="3"/>
    <n v="109935.85"/>
    <n v="84.2"/>
    <n v="288"/>
    <n v="209.4"/>
    <n v="7.62"/>
    <n v="127"/>
    <n v="738"/>
    <n v="699"/>
    <s v="AWD"/>
    <n v="7"/>
    <x v="0"/>
    <n v="78.2"/>
    <n v="2219"/>
    <x v="0"/>
    <n v="3"/>
    <x v="2"/>
    <x v="0"/>
    <n v="117148"/>
    <n v="3.95"/>
    <n v="5"/>
  </r>
  <r>
    <x v="18"/>
    <s v="SU7"/>
    <x v="2"/>
    <x v="0"/>
    <n v="115672.77"/>
    <n v="85.2"/>
    <n v="304"/>
    <n v="243.6"/>
    <n v="3.52"/>
    <n v="194"/>
    <n v="1000"/>
    <n v="872"/>
    <s v="RWD"/>
    <n v="5"/>
    <x v="1"/>
    <n v="50.9"/>
    <n v="2328"/>
    <x v="2"/>
    <n v="0"/>
    <x v="4"/>
    <x v="0"/>
    <n v="8357"/>
    <n v="3.71"/>
    <n v="5"/>
  </r>
  <r>
    <x v="8"/>
    <s v="Kona Electric"/>
    <x v="2"/>
    <x v="0"/>
    <n v="43667.25"/>
    <n v="83.3"/>
    <n v="299"/>
    <n v="234.7"/>
    <n v="3.13"/>
    <n v="198"/>
    <n v="465"/>
    <n v="435"/>
    <s v="AWD"/>
    <n v="5"/>
    <x v="2"/>
    <n v="77.7"/>
    <n v="1707"/>
    <x v="0"/>
    <n v="1"/>
    <x v="3"/>
    <x v="1"/>
    <n v="71109"/>
    <n v="3.49"/>
    <n v="5"/>
  </r>
  <r>
    <x v="3"/>
    <s v="EV6"/>
    <x v="3"/>
    <x v="3"/>
    <n v="60524.160000000003"/>
    <n v="58.8"/>
    <n v="217"/>
    <n v="110.8"/>
    <n v="6.5"/>
    <n v="148"/>
    <n v="613"/>
    <n v="568"/>
    <s v="RWD"/>
    <n v="7"/>
    <x v="4"/>
    <n v="25.8"/>
    <n v="1638"/>
    <x v="0"/>
    <n v="1"/>
    <x v="3"/>
    <x v="1"/>
    <n v="105178"/>
    <n v="3.37"/>
    <n v="4"/>
  </r>
  <r>
    <x v="4"/>
    <s v="Model 3"/>
    <x v="4"/>
    <x v="4"/>
    <n v="24979.98"/>
    <n v="81.099999999999994"/>
    <n v="271"/>
    <n v="326.8"/>
    <n v="6.83"/>
    <n v="135"/>
    <n v="150"/>
    <n v="200"/>
    <s v="RWD"/>
    <n v="5"/>
    <x v="3"/>
    <n v="27.6"/>
    <n v="1500"/>
    <x v="1"/>
    <n v="3"/>
    <x v="2"/>
    <x v="3"/>
    <n v="132068"/>
    <n v="3.73"/>
    <n v="4"/>
  </r>
  <r>
    <x v="2"/>
    <s v="Blazer EV"/>
    <x v="2"/>
    <x v="3"/>
    <n v="58716.57"/>
    <n v="83.6"/>
    <n v="313"/>
    <n v="112.5"/>
    <n v="6.87"/>
    <n v="153"/>
    <n v="744"/>
    <n v="635"/>
    <s v="FWD"/>
    <n v="5"/>
    <x v="5"/>
    <n v="22.4"/>
    <n v="1754"/>
    <x v="1"/>
    <n v="1"/>
    <x v="2"/>
    <x v="1"/>
    <n v="22110"/>
    <n v="3.62"/>
    <n v="3"/>
  </r>
  <r>
    <x v="7"/>
    <s v="Qin"/>
    <x v="2"/>
    <x v="3"/>
    <n v="17777.32"/>
    <n v="78"/>
    <n v="280"/>
    <n v="108.1"/>
    <n v="7.53"/>
    <n v="142"/>
    <n v="175"/>
    <n v="200"/>
    <s v="FWD"/>
    <n v="7"/>
    <x v="3"/>
    <n v="36.4"/>
    <n v="1788"/>
    <x v="0"/>
    <n v="0"/>
    <x v="4"/>
    <x v="3"/>
    <n v="212740"/>
    <n v="3.54"/>
    <n v="4"/>
  </r>
  <r>
    <x v="11"/>
    <s v="Q4 e-tron"/>
    <x v="5"/>
    <x v="0"/>
    <n v="163470.92000000001"/>
    <n v="73.400000000000006"/>
    <n v="267"/>
    <n v="163.1"/>
    <n v="3.82"/>
    <n v="196"/>
    <n v="1000"/>
    <n v="897"/>
    <s v="RWD"/>
    <n v="7"/>
    <x v="5"/>
    <n v="16.600000000000001"/>
    <n v="1500"/>
    <x v="1"/>
    <n v="2"/>
    <x v="0"/>
    <x v="0"/>
    <n v="31112"/>
    <n v="3.43"/>
    <n v="6"/>
  </r>
  <r>
    <x v="7"/>
    <s v="Seagull"/>
    <x v="4"/>
    <x v="3"/>
    <n v="53782.86"/>
    <n v="84.7"/>
    <n v="314"/>
    <n v="91"/>
    <n v="5.94"/>
    <n v="169"/>
    <n v="521"/>
    <n v="468"/>
    <s v="RWD"/>
    <n v="5"/>
    <x v="2"/>
    <n v="62.5"/>
    <n v="1599"/>
    <x v="0"/>
    <n v="1"/>
    <x v="4"/>
    <x v="1"/>
    <n v="162990"/>
    <n v="3.75"/>
    <n v="3"/>
  </r>
  <r>
    <x v="4"/>
    <s v="Model Y"/>
    <x v="1"/>
    <x v="2"/>
    <n v="38805.29"/>
    <n v="86.7"/>
    <n v="295"/>
    <n v="344.7"/>
    <n v="4.05"/>
    <n v="190"/>
    <n v="297"/>
    <n v="281"/>
    <s v="RWD"/>
    <n v="5"/>
    <x v="0"/>
    <n v="71.8"/>
    <n v="2329"/>
    <x v="1"/>
    <n v="3"/>
    <x v="2"/>
    <x v="1"/>
    <n v="424786"/>
    <n v="4.1399999999999997"/>
    <n v="4"/>
  </r>
  <r>
    <x v="4"/>
    <s v="Model X"/>
    <x v="2"/>
    <x v="0"/>
    <n v="90519.74"/>
    <n v="119.4"/>
    <n v="405"/>
    <n v="222.4"/>
    <n v="3.68"/>
    <n v="200"/>
    <n v="666"/>
    <n v="591"/>
    <s v="AWD"/>
    <n v="5"/>
    <x v="4"/>
    <n v="24"/>
    <n v="1771"/>
    <x v="0"/>
    <n v="2"/>
    <x v="2"/>
    <x v="2"/>
    <n v="189429"/>
    <n v="4.03"/>
    <n v="6"/>
  </r>
  <r>
    <x v="8"/>
    <s v="Ioniq 5"/>
    <x v="3"/>
    <x v="3"/>
    <n v="46385.14"/>
    <n v="84.1"/>
    <n v="301"/>
    <n v="90.2"/>
    <n v="6.54"/>
    <n v="148"/>
    <n v="445"/>
    <n v="414"/>
    <s v="RWD"/>
    <n v="5"/>
    <x v="0"/>
    <n v="65.5"/>
    <n v="2726"/>
    <x v="0"/>
    <n v="1"/>
    <x v="3"/>
    <x v="1"/>
    <n v="58564"/>
    <n v="3.62"/>
    <n v="3"/>
  </r>
  <r>
    <x v="3"/>
    <s v="Niro EV"/>
    <x v="5"/>
    <x v="0"/>
    <n v="110515.91"/>
    <n v="78.099999999999994"/>
    <n v="283"/>
    <n v="217.4"/>
    <n v="2.89"/>
    <n v="200"/>
    <n v="1000"/>
    <n v="881"/>
    <s v="AWD"/>
    <n v="5"/>
    <x v="4"/>
    <n v="24.1"/>
    <n v="1738"/>
    <x v="1"/>
    <n v="0"/>
    <x v="3"/>
    <x v="0"/>
    <n v="62032"/>
    <n v="3.56"/>
    <n v="3"/>
  </r>
  <r>
    <x v="4"/>
    <s v="Cybertruck"/>
    <x v="0"/>
    <x v="4"/>
    <n v="35071.56"/>
    <n v="52.4"/>
    <n v="192"/>
    <n v="340"/>
    <n v="5.24"/>
    <n v="168"/>
    <n v="249"/>
    <n v="217"/>
    <s v="FWD"/>
    <n v="7"/>
    <x v="0"/>
    <n v="53"/>
    <n v="2535"/>
    <x v="1"/>
    <n v="2"/>
    <x v="2"/>
    <x v="1"/>
    <n v="139628"/>
    <n v="3.17"/>
    <n v="5"/>
  </r>
  <r>
    <x v="9"/>
    <s v="Explorer EV"/>
    <x v="3"/>
    <x v="0"/>
    <n v="106247.4"/>
    <n v="72.900000000000006"/>
    <n v="277"/>
    <n v="158.19999999999999"/>
    <n v="2.58"/>
    <n v="200"/>
    <n v="1000"/>
    <n v="873"/>
    <s v="FWD"/>
    <n v="5"/>
    <x v="4"/>
    <n v="24.4"/>
    <n v="1701"/>
    <x v="1"/>
    <n v="0"/>
    <x v="2"/>
    <x v="0"/>
    <n v="49209"/>
    <n v="3.4"/>
    <n v="3"/>
  </r>
  <r>
    <x v="0"/>
    <s v="ID.3"/>
    <x v="5"/>
    <x v="3"/>
    <n v="56734.76"/>
    <n v="49.7"/>
    <n v="207"/>
    <n v="87.7"/>
    <n v="5.23"/>
    <n v="168"/>
    <n v="586"/>
    <n v="478"/>
    <s v="AWD"/>
    <n v="7"/>
    <x v="3"/>
    <n v="16.600000000000001"/>
    <n v="1500"/>
    <x v="0"/>
    <n v="0"/>
    <x v="0"/>
    <x v="1"/>
    <n v="257294"/>
    <n v="3.13"/>
    <n v="4"/>
  </r>
  <r>
    <x v="8"/>
    <s v="Ioniq"/>
    <x v="3"/>
    <x v="2"/>
    <n v="74693.36"/>
    <n v="95.4"/>
    <n v="340"/>
    <n v="66.599999999999994"/>
    <n v="4.63"/>
    <n v="186"/>
    <n v="972"/>
    <n v="902"/>
    <s v="RWD"/>
    <n v="7"/>
    <x v="3"/>
    <n v="24.5"/>
    <n v="1739"/>
    <x v="1"/>
    <n v="1"/>
    <x v="3"/>
    <x v="2"/>
    <n v="138161"/>
    <n v="3.52"/>
    <n v="4"/>
  </r>
  <r>
    <x v="0"/>
    <s v="ID.5"/>
    <x v="1"/>
    <x v="1"/>
    <n v="70140.570000000007"/>
    <n v="83.5"/>
    <n v="319"/>
    <n v="79.8"/>
    <n v="6.63"/>
    <n v="142"/>
    <n v="731"/>
    <n v="665"/>
    <s v="AWD"/>
    <n v="5"/>
    <x v="3"/>
    <n v="26.7"/>
    <n v="1533"/>
    <x v="1"/>
    <n v="0"/>
    <x v="0"/>
    <x v="2"/>
    <n v="203826"/>
    <n v="3.8"/>
    <n v="5"/>
  </r>
  <r>
    <x v="0"/>
    <s v="ID.5"/>
    <x v="3"/>
    <x v="4"/>
    <n v="60218.55"/>
    <n v="82.8"/>
    <n v="240"/>
    <n v="94.9"/>
    <n v="6"/>
    <n v="163"/>
    <n v="518"/>
    <n v="517"/>
    <s v="AWD"/>
    <n v="5"/>
    <x v="2"/>
    <n v="60.3"/>
    <n v="1739"/>
    <x v="1"/>
    <n v="2"/>
    <x v="0"/>
    <x v="1"/>
    <n v="290126"/>
    <n v="3.59"/>
    <n v="4"/>
  </r>
  <r>
    <x v="3"/>
    <s v="Picanto EV"/>
    <x v="6"/>
    <x v="3"/>
    <n v="44609.33"/>
    <n v="80.3"/>
    <n v="255"/>
    <n v="124.3"/>
    <n v="6.52"/>
    <n v="155"/>
    <n v="414"/>
    <n v="337"/>
    <s v="RWD"/>
    <n v="7"/>
    <x v="5"/>
    <n v="22.4"/>
    <n v="1545"/>
    <x v="0"/>
    <n v="0"/>
    <x v="3"/>
    <x v="1"/>
    <n v="62067"/>
    <n v="3.61"/>
    <n v="5"/>
  </r>
  <r>
    <x v="4"/>
    <s v="Model 3"/>
    <x v="3"/>
    <x v="0"/>
    <n v="58452.94"/>
    <n v="77.2"/>
    <n v="274"/>
    <n v="217.3"/>
    <n v="4.1900000000000004"/>
    <n v="183"/>
    <n v="458"/>
    <n v="401"/>
    <s v="RWD"/>
    <n v="7"/>
    <x v="2"/>
    <n v="64.2"/>
    <n v="1813"/>
    <x v="2"/>
    <n v="2"/>
    <x v="2"/>
    <x v="1"/>
    <n v="216013"/>
    <n v="3.86"/>
    <n v="4"/>
  </r>
  <r>
    <x v="4"/>
    <s v="Cybertruck"/>
    <x v="0"/>
    <x v="1"/>
    <n v="118800.8"/>
    <n v="54.2"/>
    <n v="203"/>
    <n v="340.1"/>
    <n v="6.1"/>
    <n v="162"/>
    <n v="891"/>
    <n v="851"/>
    <s v="FWD"/>
    <n v="7"/>
    <x v="0"/>
    <n v="50.1"/>
    <n v="2562"/>
    <x v="0"/>
    <n v="3"/>
    <x v="2"/>
    <x v="0"/>
    <n v="197139"/>
    <n v="3.38"/>
    <n v="5"/>
  </r>
  <r>
    <x v="5"/>
    <s v="EQC"/>
    <x v="2"/>
    <x v="0"/>
    <n v="87690.32"/>
    <n v="88.6"/>
    <n v="321"/>
    <n v="224.6"/>
    <n v="2.67"/>
    <n v="200"/>
    <n v="422"/>
    <n v="414"/>
    <s v="AWD"/>
    <n v="5"/>
    <x v="3"/>
    <n v="36.6"/>
    <n v="1957"/>
    <x v="0"/>
    <n v="2"/>
    <x v="0"/>
    <x v="2"/>
    <n v="36911"/>
    <n v="3.99"/>
    <n v="7"/>
  </r>
  <r>
    <x v="1"/>
    <s v="bZ4X"/>
    <x v="1"/>
    <x v="4"/>
    <n v="55775.75"/>
    <n v="84.6"/>
    <n v="281"/>
    <n v="90.6"/>
    <n v="6"/>
    <n v="163"/>
    <n v="602"/>
    <n v="520"/>
    <s v="FWD"/>
    <n v="5"/>
    <x v="4"/>
    <n v="22.4"/>
    <n v="1626"/>
    <x v="0"/>
    <n v="0"/>
    <x v="1"/>
    <x v="1"/>
    <n v="18523"/>
    <n v="3.32"/>
    <n v="3"/>
  </r>
  <r>
    <x v="0"/>
    <s v="ID. Aero"/>
    <x v="0"/>
    <x v="4"/>
    <n v="51298.81"/>
    <n v="63.2"/>
    <n v="237"/>
    <n v="118.9"/>
    <n v="5.83"/>
    <n v="162"/>
    <n v="397"/>
    <n v="310"/>
    <s v="RWD"/>
    <n v="5"/>
    <x v="4"/>
    <n v="26.9"/>
    <n v="1555"/>
    <x v="1"/>
    <n v="1"/>
    <x v="0"/>
    <x v="1"/>
    <n v="222298"/>
    <n v="3.5"/>
    <n v="3"/>
  </r>
  <r>
    <x v="7"/>
    <s v="Dolphin"/>
    <x v="3"/>
    <x v="4"/>
    <n v="82759.69"/>
    <n v="73.3"/>
    <n v="235"/>
    <n v="119"/>
    <n v="6.27"/>
    <n v="151"/>
    <n v="912"/>
    <n v="776"/>
    <s v="RWD"/>
    <n v="5"/>
    <x v="1"/>
    <n v="68.7"/>
    <n v="1789"/>
    <x v="2"/>
    <n v="0"/>
    <x v="4"/>
    <x v="2"/>
    <n v="125776"/>
    <n v="3.36"/>
    <n v="3"/>
  </r>
  <r>
    <x v="10"/>
    <s v="i4"/>
    <x v="0"/>
    <x v="0"/>
    <n v="130983.67"/>
    <n v="110.9"/>
    <n v="390"/>
    <n v="244.7"/>
    <n v="2.5099999999999998"/>
    <n v="200"/>
    <n v="1000"/>
    <n v="878"/>
    <s v="RWD"/>
    <n v="7"/>
    <x v="2"/>
    <n v="73.099999999999994"/>
    <n v="1500"/>
    <x v="1"/>
    <n v="2"/>
    <x v="0"/>
    <x v="0"/>
    <n v="64205"/>
    <n v="3.82"/>
    <n v="5"/>
  </r>
  <r>
    <x v="0"/>
    <s v="ID.4"/>
    <x v="3"/>
    <x v="3"/>
    <n v="65061.9"/>
    <n v="65.099999999999994"/>
    <n v="212"/>
    <n v="82.2"/>
    <n v="7.77"/>
    <n v="137"/>
    <n v="653"/>
    <n v="616"/>
    <s v="AWD"/>
    <n v="5"/>
    <x v="4"/>
    <n v="37.799999999999997"/>
    <n v="1613"/>
    <x v="1"/>
    <n v="1"/>
    <x v="0"/>
    <x v="2"/>
    <n v="282957"/>
    <n v="3.68"/>
    <n v="3"/>
  </r>
  <r>
    <x v="4"/>
    <s v="Model S"/>
    <x v="1"/>
    <x v="1"/>
    <n v="163492.79999999999"/>
    <n v="65.400000000000006"/>
    <n v="193"/>
    <n v="288.89999999999998"/>
    <n v="6.55"/>
    <n v="154"/>
    <n v="1000"/>
    <n v="907"/>
    <s v="RWD"/>
    <n v="7"/>
    <x v="3"/>
    <n v="34.9"/>
    <n v="1653"/>
    <x v="1"/>
    <n v="2"/>
    <x v="2"/>
    <x v="0"/>
    <n v="241709"/>
    <n v="3.96"/>
    <n v="5"/>
  </r>
  <r>
    <x v="4"/>
    <s v="Model X"/>
    <x v="0"/>
    <x v="1"/>
    <n v="53973.57"/>
    <n v="82.6"/>
    <n v="301"/>
    <n v="250.5"/>
    <n v="7.15"/>
    <n v="143"/>
    <n v="440"/>
    <n v="387"/>
    <s v="FWD"/>
    <n v="7"/>
    <x v="5"/>
    <n v="15.8"/>
    <n v="1500"/>
    <x v="1"/>
    <n v="2"/>
    <x v="2"/>
    <x v="1"/>
    <n v="206669"/>
    <n v="3.87"/>
    <n v="5"/>
  </r>
  <r>
    <x v="2"/>
    <s v="Bolt EV"/>
    <x v="3"/>
    <x v="0"/>
    <n v="60210.65"/>
    <n v="70.400000000000006"/>
    <n v="258"/>
    <n v="173.9"/>
    <n v="3.71"/>
    <n v="200"/>
    <n v="778"/>
    <n v="765"/>
    <s v="FWD"/>
    <n v="5"/>
    <x v="4"/>
    <n v="18.8"/>
    <n v="1519"/>
    <x v="0"/>
    <n v="0"/>
    <x v="2"/>
    <x v="1"/>
    <n v="23288"/>
    <n v="3.63"/>
    <n v="4"/>
  </r>
  <r>
    <x v="10"/>
    <s v="i3"/>
    <x v="0"/>
    <x v="1"/>
    <n v="81481.72"/>
    <n v="64.8"/>
    <n v="209"/>
    <n v="132.6"/>
    <n v="5.22"/>
    <n v="180"/>
    <n v="551"/>
    <n v="468"/>
    <s v="RWD"/>
    <n v="7"/>
    <x v="5"/>
    <n v="32.9"/>
    <n v="1755"/>
    <x v="0"/>
    <n v="1"/>
    <x v="0"/>
    <x v="2"/>
    <n v="60859"/>
    <n v="3.29"/>
    <n v="8"/>
  </r>
  <r>
    <x v="4"/>
    <s v="Model S"/>
    <x v="3"/>
    <x v="0"/>
    <n v="140244.92000000001"/>
    <n v="75.7"/>
    <n v="265"/>
    <n v="295.8"/>
    <n v="4.25"/>
    <n v="187"/>
    <n v="986"/>
    <n v="851"/>
    <s v="AWD"/>
    <n v="7"/>
    <x v="5"/>
    <n v="15.6"/>
    <n v="1500"/>
    <x v="1"/>
    <n v="2"/>
    <x v="2"/>
    <x v="0"/>
    <n v="186365"/>
    <n v="3.84"/>
    <n v="5"/>
  </r>
  <r>
    <x v="7"/>
    <s v="Dolphin"/>
    <x v="2"/>
    <x v="0"/>
    <n v="108909.03"/>
    <n v="86"/>
    <n v="283"/>
    <n v="177.9"/>
    <n v="3.26"/>
    <n v="188"/>
    <n v="1000"/>
    <n v="954"/>
    <s v="RWD"/>
    <n v="5"/>
    <x v="0"/>
    <n v="68.3"/>
    <n v="2422"/>
    <x v="2"/>
    <n v="0"/>
    <x v="4"/>
    <x v="0"/>
    <n v="136507"/>
    <n v="3.47"/>
    <n v="3"/>
  </r>
  <r>
    <x v="7"/>
    <s v="Seagull"/>
    <x v="3"/>
    <x v="3"/>
    <n v="31665.46"/>
    <n v="68.3"/>
    <n v="217"/>
    <n v="133.69999999999999"/>
    <n v="5.49"/>
    <n v="171"/>
    <n v="291"/>
    <n v="266"/>
    <s v="FWD"/>
    <n v="5"/>
    <x v="2"/>
    <n v="69.400000000000006"/>
    <n v="1935"/>
    <x v="1"/>
    <n v="0"/>
    <x v="4"/>
    <x v="3"/>
    <n v="162790"/>
    <n v="3.33"/>
    <n v="4"/>
  </r>
  <r>
    <x v="10"/>
    <s v="i7"/>
    <x v="5"/>
    <x v="1"/>
    <n v="125746.52"/>
    <n v="63.5"/>
    <n v="224"/>
    <n v="141.30000000000001"/>
    <n v="5.05"/>
    <n v="168"/>
    <n v="1000"/>
    <n v="906"/>
    <s v="AWD"/>
    <n v="5"/>
    <x v="3"/>
    <n v="22.1"/>
    <n v="1500"/>
    <x v="2"/>
    <n v="2"/>
    <x v="0"/>
    <x v="0"/>
    <n v="62950"/>
    <n v="3.45"/>
    <n v="6"/>
  </r>
  <r>
    <x v="4"/>
    <s v="Model S"/>
    <x v="2"/>
    <x v="2"/>
    <n v="75201.320000000007"/>
    <n v="102.8"/>
    <n v="370"/>
    <n v="342.3"/>
    <n v="4.03"/>
    <n v="185"/>
    <n v="592"/>
    <n v="509"/>
    <s v="RWD"/>
    <n v="5"/>
    <x v="0"/>
    <n v="62.1"/>
    <n v="2460"/>
    <x v="1"/>
    <n v="2"/>
    <x v="2"/>
    <x v="2"/>
    <n v="105880"/>
    <n v="4.1100000000000003"/>
    <n v="4"/>
  </r>
  <r>
    <x v="4"/>
    <s v="Model 3"/>
    <x v="3"/>
    <x v="2"/>
    <n v="91388.05"/>
    <n v="100.1"/>
    <n v="350"/>
    <n v="249.9"/>
    <n v="5.26"/>
    <n v="168"/>
    <n v="695"/>
    <n v="616"/>
    <s v="FWD"/>
    <n v="5"/>
    <x v="5"/>
    <n v="39.9"/>
    <n v="1624"/>
    <x v="0"/>
    <n v="2"/>
    <x v="2"/>
    <x v="2"/>
    <n v="148700"/>
    <n v="3.99"/>
    <n v="5"/>
  </r>
  <r>
    <x v="9"/>
    <s v="F-150 Lightning"/>
    <x v="2"/>
    <x v="4"/>
    <n v="60849.51"/>
    <n v="82.5"/>
    <n v="274"/>
    <n v="67.099999999999994"/>
    <n v="7.97"/>
    <n v="131"/>
    <n v="622"/>
    <n v="610"/>
    <s v="FWD"/>
    <n v="2"/>
    <x v="0"/>
    <n v="71.3"/>
    <n v="2747"/>
    <x v="0"/>
    <n v="2"/>
    <x v="2"/>
    <x v="1"/>
    <n v="58206"/>
    <n v="3.54"/>
    <n v="4"/>
  </r>
  <r>
    <x v="4"/>
    <s v="Cybertruck"/>
    <x v="2"/>
    <x v="2"/>
    <n v="131729.26"/>
    <n v="84.6"/>
    <n v="307"/>
    <n v="224.3"/>
    <n v="4.28"/>
    <n v="187"/>
    <n v="943"/>
    <n v="852"/>
    <s v="FWD"/>
    <n v="5"/>
    <x v="0"/>
    <n v="53.6"/>
    <n v="2319"/>
    <x v="0"/>
    <n v="2"/>
    <x v="2"/>
    <x v="0"/>
    <n v="162108"/>
    <n v="3.56"/>
    <n v="5"/>
  </r>
  <r>
    <x v="10"/>
    <s v="iX"/>
    <x v="4"/>
    <x v="4"/>
    <n v="82329.27"/>
    <n v="71.8"/>
    <n v="258"/>
    <n v="61.1"/>
    <n v="7.05"/>
    <n v="150"/>
    <n v="569"/>
    <n v="534"/>
    <s v="RWD"/>
    <n v="7"/>
    <x v="3"/>
    <n v="15.7"/>
    <n v="1723"/>
    <x v="0"/>
    <n v="1"/>
    <x v="0"/>
    <x v="2"/>
    <n v="59553"/>
    <n v="3.74"/>
    <n v="6"/>
  </r>
  <r>
    <x v="7"/>
    <s v="Atto 3"/>
    <x v="4"/>
    <x v="0"/>
    <n v="91712.12"/>
    <n v="80.099999999999994"/>
    <n v="268"/>
    <n v="233.5"/>
    <n v="3.28"/>
    <n v="193"/>
    <n v="1000"/>
    <n v="900"/>
    <s v="RWD"/>
    <n v="5"/>
    <x v="3"/>
    <n v="19.5"/>
    <n v="1550"/>
    <x v="1"/>
    <n v="1"/>
    <x v="4"/>
    <x v="2"/>
    <n v="177248"/>
    <n v="3.63"/>
    <n v="3"/>
  </r>
  <r>
    <x v="4"/>
    <s v="Model 3"/>
    <x v="2"/>
    <x v="4"/>
    <n v="106609.89"/>
    <n v="75.599999999999994"/>
    <n v="299"/>
    <n v="296.3"/>
    <n v="6.51"/>
    <n v="151"/>
    <n v="784"/>
    <n v="688"/>
    <s v="FWD"/>
    <n v="5"/>
    <x v="3"/>
    <n v="27.5"/>
    <n v="1673"/>
    <x v="1"/>
    <n v="2"/>
    <x v="2"/>
    <x v="0"/>
    <n v="103912"/>
    <n v="3.73"/>
    <n v="5"/>
  </r>
  <r>
    <x v="7"/>
    <s v="Qin"/>
    <x v="6"/>
    <x v="2"/>
    <n v="36752.050000000003"/>
    <n v="84.7"/>
    <n v="308"/>
    <n v="134.6"/>
    <n v="4.59"/>
    <n v="189"/>
    <n v="380"/>
    <n v="353"/>
    <s v="FWD"/>
    <n v="5"/>
    <x v="5"/>
    <n v="22.8"/>
    <n v="1500"/>
    <x v="0"/>
    <n v="1"/>
    <x v="4"/>
    <x v="1"/>
    <n v="178041"/>
    <n v="3.55"/>
    <n v="4"/>
  </r>
  <r>
    <x v="2"/>
    <s v="Equinox EV"/>
    <x v="2"/>
    <x v="2"/>
    <n v="55502.07"/>
    <n v="92.6"/>
    <n v="331"/>
    <n v="129.80000000000001"/>
    <n v="4.2"/>
    <n v="189"/>
    <n v="672"/>
    <n v="611"/>
    <s v="AWD"/>
    <n v="7"/>
    <x v="1"/>
    <n v="63.7"/>
    <n v="2188"/>
    <x v="1"/>
    <n v="1"/>
    <x v="2"/>
    <x v="1"/>
    <n v="18580"/>
    <n v="3.71"/>
    <n v="4"/>
  </r>
  <r>
    <x v="5"/>
    <s v="EQS"/>
    <x v="3"/>
    <x v="3"/>
    <n v="136918.85"/>
    <n v="55.5"/>
    <n v="195"/>
    <n v="96.2"/>
    <n v="6.97"/>
    <n v="148"/>
    <n v="822"/>
    <n v="776"/>
    <s v="AWD"/>
    <n v="7"/>
    <x v="4"/>
    <n v="25.1"/>
    <n v="1500"/>
    <x v="1"/>
    <n v="1"/>
    <x v="0"/>
    <x v="0"/>
    <n v="59537"/>
    <n v="3.51"/>
    <n v="7"/>
  </r>
  <r>
    <x v="5"/>
    <s v="EQE"/>
    <x v="0"/>
    <x v="2"/>
    <n v="142535.28"/>
    <n v="94.3"/>
    <n v="305"/>
    <n v="114"/>
    <n v="5.66"/>
    <n v="169"/>
    <n v="843"/>
    <n v="766"/>
    <s v="FWD"/>
    <n v="7"/>
    <x v="5"/>
    <n v="30.1"/>
    <n v="1500"/>
    <x v="0"/>
    <n v="1"/>
    <x v="0"/>
    <x v="0"/>
    <n v="32410"/>
    <n v="3.94"/>
    <n v="8"/>
  </r>
  <r>
    <x v="0"/>
    <s v="ID. Aero"/>
    <x v="3"/>
    <x v="0"/>
    <n v="68256.27"/>
    <n v="92.8"/>
    <n v="334"/>
    <n v="227.4"/>
    <n v="3.85"/>
    <n v="182"/>
    <n v="714"/>
    <n v="587"/>
    <s v="RWD"/>
    <n v="5"/>
    <x v="5"/>
    <n v="22.1"/>
    <n v="1589"/>
    <x v="1"/>
    <n v="0"/>
    <x v="0"/>
    <x v="2"/>
    <n v="215601"/>
    <n v="3.82"/>
    <n v="5"/>
  </r>
  <r>
    <x v="10"/>
    <s v="i3"/>
    <x v="3"/>
    <x v="1"/>
    <n v="127970.02"/>
    <n v="52.7"/>
    <n v="181"/>
    <n v="97.5"/>
    <n v="5.26"/>
    <n v="171"/>
    <n v="1000"/>
    <n v="895"/>
    <s v="RWD"/>
    <n v="5"/>
    <x v="4"/>
    <n v="18.8"/>
    <n v="1671"/>
    <x v="1"/>
    <n v="2"/>
    <x v="0"/>
    <x v="0"/>
    <n v="25659"/>
    <n v="3.39"/>
    <n v="7"/>
  </r>
  <r>
    <x v="7"/>
    <s v="Yuan Plus"/>
    <x v="5"/>
    <x v="3"/>
    <n v="71806.41"/>
    <n v="73"/>
    <n v="253"/>
    <n v="140.1"/>
    <n v="5.98"/>
    <n v="163"/>
    <n v="820"/>
    <n v="765"/>
    <s v="AWD"/>
    <n v="5"/>
    <x v="5"/>
    <n v="18.5"/>
    <n v="1702"/>
    <x v="0"/>
    <n v="0"/>
    <x v="4"/>
    <x v="2"/>
    <n v="163682"/>
    <n v="3.35"/>
    <n v="3"/>
  </r>
  <r>
    <x v="7"/>
    <s v="Qin"/>
    <x v="0"/>
    <x v="0"/>
    <n v="54457.48"/>
    <n v="80.599999999999994"/>
    <n v="251"/>
    <n v="242"/>
    <n v="4.26"/>
    <n v="193"/>
    <n v="518"/>
    <n v="459"/>
    <s v="AWD"/>
    <n v="5"/>
    <x v="0"/>
    <n v="74.099999999999994"/>
    <n v="2307"/>
    <x v="0"/>
    <n v="0"/>
    <x v="4"/>
    <x v="1"/>
    <n v="205191"/>
    <n v="3.38"/>
    <n v="4"/>
  </r>
  <r>
    <x v="11"/>
    <s v="Q4 e-tron"/>
    <x v="5"/>
    <x v="2"/>
    <n v="145965.35999999999"/>
    <n v="78.2"/>
    <n v="269"/>
    <n v="138.1"/>
    <n v="5.46"/>
    <n v="173"/>
    <n v="1000"/>
    <n v="872"/>
    <s v="FWD"/>
    <n v="7"/>
    <x v="4"/>
    <n v="31.5"/>
    <n v="1663"/>
    <x v="0"/>
    <n v="2"/>
    <x v="0"/>
    <x v="0"/>
    <n v="21092"/>
    <n v="3.74"/>
    <n v="6"/>
  </r>
  <r>
    <x v="4"/>
    <s v="Model X"/>
    <x v="3"/>
    <x v="0"/>
    <n v="40997.300000000003"/>
    <n v="73.3"/>
    <n v="261"/>
    <n v="282.8"/>
    <n v="3.51"/>
    <n v="198"/>
    <n v="238"/>
    <n v="200"/>
    <s v="AWD"/>
    <n v="5"/>
    <x v="5"/>
    <n v="19.899999999999999"/>
    <n v="1637"/>
    <x v="1"/>
    <n v="3"/>
    <x v="2"/>
    <x v="1"/>
    <n v="192699"/>
    <n v="3.73"/>
    <n v="4"/>
  </r>
  <r>
    <x v="4"/>
    <s v="Model 3"/>
    <x v="5"/>
    <x v="0"/>
    <n v="147080.28"/>
    <n v="107.7"/>
    <n v="395"/>
    <n v="234.9"/>
    <n v="3.36"/>
    <n v="195"/>
    <n v="1000"/>
    <n v="883"/>
    <s v="AWD"/>
    <n v="7"/>
    <x v="5"/>
    <n v="15.1"/>
    <n v="1521"/>
    <x v="1"/>
    <n v="2"/>
    <x v="2"/>
    <x v="0"/>
    <n v="199927"/>
    <n v="4.26"/>
    <n v="5"/>
  </r>
  <r>
    <x v="7"/>
    <s v="Max"/>
    <x v="0"/>
    <x v="2"/>
    <n v="35900.230000000003"/>
    <n v="88"/>
    <n v="302"/>
    <n v="69.900000000000006"/>
    <n v="4.28"/>
    <n v="198"/>
    <n v="358"/>
    <n v="318"/>
    <s v="FWD"/>
    <n v="5"/>
    <x v="1"/>
    <n v="42.3"/>
    <n v="2227"/>
    <x v="1"/>
    <n v="2"/>
    <x v="4"/>
    <x v="1"/>
    <n v="176515"/>
    <n v="3.84"/>
    <n v="4"/>
  </r>
  <r>
    <x v="4"/>
    <s v="Model X"/>
    <x v="3"/>
    <x v="3"/>
    <n v="76806.22"/>
    <n v="41.8"/>
    <n v="166"/>
    <n v="308.89999999999998"/>
    <n v="6.47"/>
    <n v="152"/>
    <n v="571"/>
    <n v="531"/>
    <s v="FWD"/>
    <n v="7"/>
    <x v="5"/>
    <n v="24.3"/>
    <n v="1675"/>
    <x v="1"/>
    <n v="3"/>
    <x v="2"/>
    <x v="2"/>
    <n v="136111"/>
    <n v="3.64"/>
    <n v="6"/>
  </r>
  <r>
    <x v="4"/>
    <s v="Cybertruck"/>
    <x v="3"/>
    <x v="3"/>
    <n v="96810.26"/>
    <n v="47.9"/>
    <n v="153"/>
    <n v="220.8"/>
    <n v="6.85"/>
    <n v="146"/>
    <n v="658"/>
    <n v="607"/>
    <s v="FWD"/>
    <n v="7"/>
    <x v="0"/>
    <n v="55.2"/>
    <n v="2373"/>
    <x v="0"/>
    <n v="2"/>
    <x v="2"/>
    <x v="2"/>
    <n v="113593"/>
    <n v="3.86"/>
    <n v="6"/>
  </r>
  <r>
    <x v="3"/>
    <s v="EV9"/>
    <x v="5"/>
    <x v="0"/>
    <n v="78041.17"/>
    <n v="113.5"/>
    <n v="407"/>
    <n v="168.5"/>
    <n v="4.13"/>
    <n v="185"/>
    <n v="895"/>
    <n v="813"/>
    <s v="RWD"/>
    <n v="5"/>
    <x v="1"/>
    <n v="58"/>
    <n v="2121"/>
    <x v="1"/>
    <n v="0"/>
    <x v="3"/>
    <x v="2"/>
    <n v="103428"/>
    <n v="3.83"/>
    <n v="4"/>
  </r>
  <r>
    <x v="0"/>
    <s v="ID.3"/>
    <x v="3"/>
    <x v="3"/>
    <n v="47861.91"/>
    <n v="65.3"/>
    <n v="231"/>
    <n v="89"/>
    <n v="6.01"/>
    <n v="161"/>
    <n v="443"/>
    <n v="400"/>
    <s v="AWD"/>
    <n v="7"/>
    <x v="5"/>
    <n v="34.799999999999997"/>
    <n v="1500"/>
    <x v="2"/>
    <n v="0"/>
    <x v="0"/>
    <x v="1"/>
    <n v="247700"/>
    <n v="3.21"/>
    <n v="3"/>
  </r>
  <r>
    <x v="11"/>
    <s v="Q4 e-tron"/>
    <x v="3"/>
    <x v="3"/>
    <n v="84123.81"/>
    <n v="68.5"/>
    <n v="247"/>
    <n v="136.80000000000001"/>
    <n v="6.57"/>
    <n v="149"/>
    <n v="568"/>
    <n v="538"/>
    <s v="AWD"/>
    <n v="5"/>
    <x v="3"/>
    <n v="39.200000000000003"/>
    <n v="1666"/>
    <x v="0"/>
    <n v="1"/>
    <x v="0"/>
    <x v="2"/>
    <n v="60155"/>
    <n v="3.29"/>
    <n v="8"/>
  </r>
  <r>
    <x v="9"/>
    <s v="Mustang Mach-E"/>
    <x v="2"/>
    <x v="1"/>
    <n v="62057.63"/>
    <n v="57.6"/>
    <n v="207"/>
    <n v="109.6"/>
    <n v="6.33"/>
    <n v="150"/>
    <n v="732"/>
    <n v="646"/>
    <s v="FWD"/>
    <n v="5"/>
    <x v="2"/>
    <n v="69.8"/>
    <n v="1502"/>
    <x v="0"/>
    <n v="0"/>
    <x v="2"/>
    <x v="1"/>
    <n v="65997"/>
    <n v="3.42"/>
    <n v="3"/>
  </r>
  <r>
    <x v="7"/>
    <s v="Seagull"/>
    <x v="5"/>
    <x v="0"/>
    <n v="95761.12"/>
    <n v="80.599999999999994"/>
    <n v="277"/>
    <n v="210.5"/>
    <n v="3.84"/>
    <n v="181"/>
    <n v="1000"/>
    <n v="922"/>
    <s v="RWD"/>
    <n v="5"/>
    <x v="4"/>
    <n v="21.7"/>
    <n v="1789"/>
    <x v="0"/>
    <n v="1"/>
    <x v="4"/>
    <x v="2"/>
    <n v="171938"/>
    <n v="3.56"/>
    <n v="3"/>
  </r>
  <r>
    <x v="7"/>
    <s v="Qin"/>
    <x v="2"/>
    <x v="3"/>
    <n v="75732.88"/>
    <n v="69.3"/>
    <n v="249"/>
    <n v="124.1"/>
    <n v="5.85"/>
    <n v="161"/>
    <n v="803"/>
    <n v="708"/>
    <s v="RWD"/>
    <n v="5"/>
    <x v="0"/>
    <n v="72.7"/>
    <n v="2335"/>
    <x v="1"/>
    <n v="0"/>
    <x v="4"/>
    <x v="2"/>
    <n v="228964"/>
    <n v="3.42"/>
    <n v="4"/>
  </r>
  <r>
    <x v="0"/>
    <s v="ID. Buzz"/>
    <x v="2"/>
    <x v="1"/>
    <n v="74047.12"/>
    <n v="72.599999999999994"/>
    <n v="248"/>
    <n v="77.400000000000006"/>
    <n v="6.4"/>
    <n v="154"/>
    <n v="808"/>
    <n v="703"/>
    <s v="RWD"/>
    <n v="5"/>
    <x v="4"/>
    <n v="19.399999999999999"/>
    <n v="1522"/>
    <x v="1"/>
    <n v="1"/>
    <x v="0"/>
    <x v="2"/>
    <n v="290963"/>
    <n v="3.67"/>
    <n v="4"/>
  </r>
  <r>
    <x v="3"/>
    <s v="Niro EV"/>
    <x v="5"/>
    <x v="0"/>
    <n v="91033.29"/>
    <n v="72.5"/>
    <n v="267"/>
    <n v="207"/>
    <n v="3.44"/>
    <n v="194"/>
    <n v="1000"/>
    <n v="949"/>
    <s v="AWD"/>
    <n v="5"/>
    <x v="2"/>
    <n v="71"/>
    <n v="1525"/>
    <x v="0"/>
    <n v="0"/>
    <x v="3"/>
    <x v="2"/>
    <n v="54833"/>
    <n v="3.25"/>
    <n v="4"/>
  </r>
  <r>
    <x v="7"/>
    <s v="Atto 3"/>
    <x v="2"/>
    <x v="4"/>
    <n v="30843.09"/>
    <n v="49"/>
    <n v="171"/>
    <n v="81.099999999999994"/>
    <n v="6.63"/>
    <n v="151"/>
    <n v="309"/>
    <n v="285"/>
    <s v="AWD"/>
    <n v="7"/>
    <x v="3"/>
    <n v="39.5"/>
    <n v="1578"/>
    <x v="0"/>
    <n v="2"/>
    <x v="4"/>
    <x v="3"/>
    <n v="206164"/>
    <n v="3"/>
    <n v="4"/>
  </r>
  <r>
    <x v="10"/>
    <s v="i5"/>
    <x v="4"/>
    <x v="1"/>
    <n v="139020.51"/>
    <n v="63.5"/>
    <n v="232"/>
    <n v="149.69999999999999"/>
    <n v="7.84"/>
    <n v="131"/>
    <n v="1000"/>
    <n v="950"/>
    <s v="FWD"/>
    <n v="5"/>
    <x v="0"/>
    <n v="58.7"/>
    <n v="2464"/>
    <x v="1"/>
    <n v="1"/>
    <x v="0"/>
    <x v="0"/>
    <n v="48199"/>
    <n v="3.44"/>
    <n v="5"/>
  </r>
  <r>
    <x v="0"/>
    <s v="ID. Aero"/>
    <x v="4"/>
    <x v="4"/>
    <n v="60392.45"/>
    <n v="68"/>
    <n v="225"/>
    <n v="133"/>
    <n v="7.28"/>
    <n v="137"/>
    <n v="628"/>
    <n v="523"/>
    <s v="RWD"/>
    <n v="7"/>
    <x v="0"/>
    <n v="54.4"/>
    <n v="2360"/>
    <x v="2"/>
    <n v="1"/>
    <x v="0"/>
    <x v="1"/>
    <n v="256880"/>
    <n v="3.23"/>
    <n v="3"/>
  </r>
  <r>
    <x v="3"/>
    <s v="Sportage EV"/>
    <x v="6"/>
    <x v="4"/>
    <n v="26731.95"/>
    <n v="75.8"/>
    <n v="257"/>
    <n v="79.599999999999994"/>
    <n v="5.97"/>
    <n v="160"/>
    <n v="193"/>
    <n v="200"/>
    <s v="RWD"/>
    <n v="5"/>
    <x v="1"/>
    <n v="46.3"/>
    <n v="1818"/>
    <x v="1"/>
    <n v="1"/>
    <x v="3"/>
    <x v="3"/>
    <n v="147499"/>
    <n v="3.27"/>
    <n v="4"/>
  </r>
  <r>
    <x v="0"/>
    <s v="ID. Buzz"/>
    <x v="2"/>
    <x v="2"/>
    <n v="70634.98"/>
    <n v="89.6"/>
    <n v="312"/>
    <n v="79.599999999999994"/>
    <n v="5.55"/>
    <n v="173"/>
    <n v="734"/>
    <n v="693"/>
    <s v="FWD"/>
    <n v="5"/>
    <x v="3"/>
    <n v="16.100000000000001"/>
    <n v="1613"/>
    <x v="0"/>
    <n v="1"/>
    <x v="0"/>
    <x v="2"/>
    <n v="289608"/>
    <n v="3.58"/>
    <n v="3"/>
  </r>
  <r>
    <x v="7"/>
    <s v="Dolphin"/>
    <x v="0"/>
    <x v="1"/>
    <n v="25794.27"/>
    <n v="50.1"/>
    <n v="188"/>
    <n v="63.3"/>
    <n v="7.75"/>
    <n v="135"/>
    <n v="216"/>
    <n v="200"/>
    <s v="AWD"/>
    <n v="5"/>
    <x v="0"/>
    <n v="67.900000000000006"/>
    <n v="2438"/>
    <x v="2"/>
    <n v="0"/>
    <x v="4"/>
    <x v="3"/>
    <n v="112218"/>
    <n v="3.59"/>
    <n v="4"/>
  </r>
  <r>
    <x v="1"/>
    <s v="bZ4X"/>
    <x v="2"/>
    <x v="0"/>
    <n v="94209.78"/>
    <n v="108.8"/>
    <n v="381"/>
    <n v="202.8"/>
    <n v="2.58"/>
    <n v="200"/>
    <n v="1000"/>
    <n v="897"/>
    <s v="AWD"/>
    <n v="5"/>
    <x v="4"/>
    <n v="38.799999999999997"/>
    <n v="1660"/>
    <x v="1"/>
    <n v="0"/>
    <x v="1"/>
    <x v="2"/>
    <n v="1723"/>
    <n v="3.95"/>
    <n v="3"/>
  </r>
  <r>
    <x v="9"/>
    <s v="Mustang Mach-E"/>
    <x v="3"/>
    <x v="0"/>
    <n v="60546.720000000001"/>
    <n v="113"/>
    <n v="423"/>
    <n v="215.3"/>
    <n v="3.14"/>
    <n v="200"/>
    <n v="616"/>
    <n v="518"/>
    <s v="RWD"/>
    <n v="5"/>
    <x v="4"/>
    <n v="21.1"/>
    <n v="1500"/>
    <x v="2"/>
    <n v="1"/>
    <x v="2"/>
    <x v="1"/>
    <n v="27560"/>
    <n v="3.76"/>
    <n v="5"/>
  </r>
  <r>
    <x v="4"/>
    <s v="Cybertruck"/>
    <x v="3"/>
    <x v="1"/>
    <n v="170547.81"/>
    <n v="44.5"/>
    <n v="153"/>
    <n v="226.9"/>
    <n v="7.93"/>
    <n v="132"/>
    <n v="1000"/>
    <n v="886"/>
    <s v="AWD"/>
    <n v="7"/>
    <x v="0"/>
    <n v="64.3"/>
    <n v="2453"/>
    <x v="0"/>
    <n v="2"/>
    <x v="2"/>
    <x v="0"/>
    <n v="192321"/>
    <n v="3.6"/>
    <n v="5"/>
  </r>
  <r>
    <x v="5"/>
    <s v="EQG"/>
    <x v="0"/>
    <x v="3"/>
    <n v="82191.199999999997"/>
    <n v="71.099999999999994"/>
    <n v="281"/>
    <n v="116.5"/>
    <n v="6.68"/>
    <n v="154"/>
    <n v="357"/>
    <n v="352"/>
    <s v="RWD"/>
    <n v="5"/>
    <x v="5"/>
    <n v="32.200000000000003"/>
    <n v="1500"/>
    <x v="0"/>
    <n v="1"/>
    <x v="0"/>
    <x v="2"/>
    <n v="59566"/>
    <n v="3.91"/>
    <n v="8"/>
  </r>
  <r>
    <x v="8"/>
    <s v="Ioniq 6"/>
    <x v="3"/>
    <x v="1"/>
    <n v="100947.83"/>
    <n v="60.5"/>
    <n v="195"/>
    <n v="110.8"/>
    <n v="7.91"/>
    <n v="135"/>
    <n v="1000"/>
    <n v="907"/>
    <s v="AWD"/>
    <n v="7"/>
    <x v="3"/>
    <n v="36.1"/>
    <n v="1597"/>
    <x v="1"/>
    <n v="0"/>
    <x v="3"/>
    <x v="0"/>
    <n v="101360"/>
    <n v="3.44"/>
    <n v="4"/>
  </r>
  <r>
    <x v="11"/>
    <s v="e-tron GT"/>
    <x v="2"/>
    <x v="3"/>
    <n v="106732.12"/>
    <n v="80"/>
    <n v="268"/>
    <n v="74.2"/>
    <n v="7.52"/>
    <n v="142"/>
    <n v="810"/>
    <n v="693"/>
    <s v="FWD"/>
    <n v="5"/>
    <x v="0"/>
    <n v="72.900000000000006"/>
    <n v="2498"/>
    <x v="1"/>
    <n v="2"/>
    <x v="0"/>
    <x v="0"/>
    <n v="48443"/>
    <n v="3.48"/>
    <n v="7"/>
  </r>
  <r>
    <x v="9"/>
    <s v="Explorer EV"/>
    <x v="5"/>
    <x v="1"/>
    <n v="97985.03"/>
    <n v="84.1"/>
    <n v="304"/>
    <n v="53.7"/>
    <n v="6.12"/>
    <n v="167"/>
    <n v="1000"/>
    <n v="909"/>
    <s v="AWD"/>
    <n v="7"/>
    <x v="5"/>
    <n v="39"/>
    <n v="1744"/>
    <x v="1"/>
    <n v="1"/>
    <x v="2"/>
    <x v="2"/>
    <n v="45069"/>
    <n v="3.49"/>
    <n v="3"/>
  </r>
  <r>
    <x v="0"/>
    <s v="ID.3"/>
    <x v="2"/>
    <x v="3"/>
    <n v="38794.79"/>
    <n v="77.8"/>
    <n v="290"/>
    <n v="97.4"/>
    <n v="6.67"/>
    <n v="150"/>
    <n v="297"/>
    <n v="256"/>
    <s v="FWD"/>
    <n v="5"/>
    <x v="4"/>
    <n v="30.9"/>
    <n v="1516"/>
    <x v="1"/>
    <n v="0"/>
    <x v="0"/>
    <x v="1"/>
    <n v="216258"/>
    <n v="3.83"/>
    <n v="3"/>
  </r>
  <r>
    <x v="4"/>
    <s v="Model Y"/>
    <x v="2"/>
    <x v="4"/>
    <n v="111996.5"/>
    <n v="50.5"/>
    <n v="190"/>
    <n v="287.89999999999998"/>
    <n v="5.63"/>
    <n v="165"/>
    <n v="825"/>
    <n v="736"/>
    <s v="FWD"/>
    <n v="5"/>
    <x v="2"/>
    <n v="69.3"/>
    <n v="1500"/>
    <x v="0"/>
    <n v="3"/>
    <x v="2"/>
    <x v="0"/>
    <n v="445661"/>
    <n v="3.56"/>
    <n v="5"/>
  </r>
  <r>
    <x v="7"/>
    <s v="Dolphin"/>
    <x v="5"/>
    <x v="2"/>
    <n v="49411.4"/>
    <n v="105.1"/>
    <n v="362"/>
    <n v="91.4"/>
    <n v="4.8899999999999997"/>
    <n v="181"/>
    <n v="512"/>
    <n v="489"/>
    <s v="RWD"/>
    <n v="7"/>
    <x v="1"/>
    <n v="38.700000000000003"/>
    <n v="1819"/>
    <x v="0"/>
    <n v="1"/>
    <x v="4"/>
    <x v="1"/>
    <n v="124104"/>
    <n v="3.7"/>
    <n v="4"/>
  </r>
  <r>
    <x v="3"/>
    <s v="EV6"/>
    <x v="0"/>
    <x v="3"/>
    <n v="37474.58"/>
    <n v="58.6"/>
    <n v="209"/>
    <n v="135.69999999999999"/>
    <n v="7.4"/>
    <n v="141"/>
    <n v="306"/>
    <n v="230"/>
    <s v="FWD"/>
    <n v="5"/>
    <x v="0"/>
    <n v="52.5"/>
    <n v="2381"/>
    <x v="1"/>
    <n v="1"/>
    <x v="3"/>
    <x v="1"/>
    <n v="67143"/>
    <n v="3.33"/>
    <n v="4"/>
  </r>
  <r>
    <x v="10"/>
    <s v="i3"/>
    <x v="5"/>
    <x v="0"/>
    <n v="148406.75"/>
    <n v="116.4"/>
    <n v="409"/>
    <n v="231.2"/>
    <n v="4.17"/>
    <n v="187"/>
    <n v="1000"/>
    <n v="922"/>
    <s v="AWD"/>
    <n v="5"/>
    <x v="3"/>
    <n v="25.9"/>
    <n v="1500"/>
    <x v="0"/>
    <n v="2"/>
    <x v="0"/>
    <x v="0"/>
    <n v="27898"/>
    <n v="3.83"/>
    <n v="6"/>
  </r>
  <r>
    <x v="7"/>
    <s v="Qin"/>
    <x v="2"/>
    <x v="4"/>
    <n v="46656.51"/>
    <n v="45.6"/>
    <n v="150"/>
    <n v="62.6"/>
    <n v="6.11"/>
    <n v="167"/>
    <n v="542"/>
    <n v="509"/>
    <s v="AWD"/>
    <n v="5"/>
    <x v="1"/>
    <n v="50.9"/>
    <n v="2255"/>
    <x v="1"/>
    <n v="0"/>
    <x v="4"/>
    <x v="1"/>
    <n v="249607"/>
    <n v="3.33"/>
    <n v="4"/>
  </r>
  <r>
    <x v="4"/>
    <s v="Model X"/>
    <x v="4"/>
    <x v="1"/>
    <n v="97027.76"/>
    <n v="71.400000000000006"/>
    <n v="235"/>
    <n v="273.3"/>
    <n v="6.57"/>
    <n v="150"/>
    <n v="685"/>
    <n v="574"/>
    <s v="AWD"/>
    <n v="5"/>
    <x v="2"/>
    <n v="69.8"/>
    <n v="1693"/>
    <x v="0"/>
    <n v="2"/>
    <x v="2"/>
    <x v="2"/>
    <n v="229836"/>
    <n v="3.91"/>
    <n v="4"/>
  </r>
  <r>
    <x v="5"/>
    <s v="EQG"/>
    <x v="5"/>
    <x v="3"/>
    <n v="129546.31"/>
    <n v="72"/>
    <n v="248"/>
    <n v="143.1"/>
    <n v="5.2"/>
    <n v="174"/>
    <n v="759"/>
    <n v="725"/>
    <s v="AWD"/>
    <n v="5"/>
    <x v="0"/>
    <n v="57.9"/>
    <n v="2639"/>
    <x v="0"/>
    <n v="1"/>
    <x v="0"/>
    <x v="0"/>
    <n v="57503"/>
    <n v="3.59"/>
    <n v="6"/>
  </r>
  <r>
    <x v="19"/>
    <n v="2"/>
    <x v="3"/>
    <x v="0"/>
    <n v="93833.94"/>
    <n v="111.8"/>
    <n v="383"/>
    <n v="189.1"/>
    <n v="3.06"/>
    <n v="200"/>
    <n v="651"/>
    <n v="663"/>
    <s v="AWD"/>
    <n v="5"/>
    <x v="4"/>
    <n v="23.1"/>
    <n v="1500"/>
    <x v="1"/>
    <n v="0"/>
    <x v="5"/>
    <x v="2"/>
    <n v="6307"/>
    <n v="3.42"/>
    <n v="4"/>
  </r>
  <r>
    <x v="8"/>
    <s v="i30"/>
    <x v="0"/>
    <x v="3"/>
    <n v="37474.79"/>
    <n v="56.5"/>
    <n v="218"/>
    <n v="51.4"/>
    <n v="7.69"/>
    <n v="134"/>
    <n v="268"/>
    <n v="228"/>
    <s v="FWD"/>
    <n v="7"/>
    <x v="2"/>
    <n v="74.3"/>
    <n v="1504"/>
    <x v="0"/>
    <n v="0"/>
    <x v="3"/>
    <x v="1"/>
    <n v="129662"/>
    <n v="3.46"/>
    <n v="3"/>
  </r>
  <r>
    <x v="4"/>
    <s v="Cybertruck"/>
    <x v="3"/>
    <x v="4"/>
    <n v="127335.12"/>
    <n v="71.900000000000006"/>
    <n v="270"/>
    <n v="329.2"/>
    <n v="5.09"/>
    <n v="175"/>
    <n v="976"/>
    <n v="906"/>
    <s v="AWD"/>
    <n v="5"/>
    <x v="0"/>
    <n v="73.5"/>
    <n v="2328"/>
    <x v="1"/>
    <n v="3"/>
    <x v="2"/>
    <x v="0"/>
    <n v="188107"/>
    <n v="3.78"/>
    <n v="4"/>
  </r>
  <r>
    <x v="7"/>
    <s v="Atto 3"/>
    <x v="2"/>
    <x v="3"/>
    <n v="50360.89"/>
    <n v="69.3"/>
    <n v="238"/>
    <n v="62.5"/>
    <n v="7.82"/>
    <n v="139"/>
    <n v="602"/>
    <n v="568"/>
    <s v="RWD"/>
    <n v="7"/>
    <x v="5"/>
    <n v="22.9"/>
    <n v="1615"/>
    <x v="1"/>
    <n v="1"/>
    <x v="4"/>
    <x v="1"/>
    <n v="209468"/>
    <n v="3.18"/>
    <n v="4"/>
  </r>
  <r>
    <x v="4"/>
    <s v="Model 3"/>
    <x v="2"/>
    <x v="1"/>
    <n v="152844.99"/>
    <n v="77.099999999999994"/>
    <n v="281"/>
    <n v="258.10000000000002"/>
    <n v="5.34"/>
    <n v="172"/>
    <n v="1000"/>
    <n v="937"/>
    <s v="AWD"/>
    <n v="5"/>
    <x v="0"/>
    <n v="59.8"/>
    <n v="2696"/>
    <x v="0"/>
    <n v="3"/>
    <x v="2"/>
    <x v="0"/>
    <n v="153103"/>
    <n v="4.05"/>
    <n v="5"/>
  </r>
  <r>
    <x v="13"/>
    <s v="R2"/>
    <x v="3"/>
    <x v="0"/>
    <n v="117871.06"/>
    <n v="81.900000000000006"/>
    <n v="280"/>
    <n v="195.9"/>
    <n v="3.79"/>
    <n v="199"/>
    <n v="1000"/>
    <n v="922"/>
    <s v="RWD"/>
    <n v="7"/>
    <x v="0"/>
    <n v="57.1"/>
    <n v="2401"/>
    <x v="1"/>
    <n v="0"/>
    <x v="2"/>
    <x v="0"/>
    <n v="14378"/>
    <n v="3.8"/>
    <n v="6"/>
  </r>
  <r>
    <x v="4"/>
    <s v="Model X"/>
    <x v="3"/>
    <x v="0"/>
    <n v="126875.08"/>
    <n v="98.3"/>
    <n v="345"/>
    <n v="202.5"/>
    <n v="4.3"/>
    <n v="198"/>
    <n v="914"/>
    <n v="835"/>
    <s v="AWD"/>
    <n v="7"/>
    <x v="2"/>
    <n v="65.400000000000006"/>
    <n v="1500"/>
    <x v="1"/>
    <n v="2"/>
    <x v="2"/>
    <x v="0"/>
    <n v="158417"/>
    <n v="3.71"/>
    <n v="5"/>
  </r>
  <r>
    <x v="3"/>
    <s v="Picanto EV"/>
    <x v="2"/>
    <x v="2"/>
    <n v="57850.5"/>
    <n v="101.6"/>
    <n v="350"/>
    <n v="134.1"/>
    <n v="5.74"/>
    <n v="162"/>
    <n v="632"/>
    <n v="525"/>
    <s v="AWD"/>
    <n v="5"/>
    <x v="4"/>
    <n v="39.700000000000003"/>
    <n v="1735"/>
    <x v="1"/>
    <n v="2"/>
    <x v="3"/>
    <x v="1"/>
    <n v="125554"/>
    <n v="3.47"/>
    <n v="4"/>
  </r>
  <r>
    <x v="7"/>
    <s v="Max"/>
    <x v="2"/>
    <x v="3"/>
    <n v="70890.539999999994"/>
    <n v="64.5"/>
    <n v="242"/>
    <n v="135.69999999999999"/>
    <n v="7.45"/>
    <n v="138"/>
    <n v="713"/>
    <n v="594"/>
    <s v="AWD"/>
    <n v="7"/>
    <x v="0"/>
    <n v="77.400000000000006"/>
    <n v="2252"/>
    <x v="1"/>
    <n v="1"/>
    <x v="4"/>
    <x v="2"/>
    <n v="119629"/>
    <n v="3.38"/>
    <n v="4"/>
  </r>
  <r>
    <x v="3"/>
    <s v="Picanto EV"/>
    <x v="2"/>
    <x v="0"/>
    <n v="105759.07"/>
    <n v="79.7"/>
    <n v="278"/>
    <n v="170.3"/>
    <n v="3.07"/>
    <n v="200"/>
    <n v="1000"/>
    <n v="892"/>
    <s v="AWD"/>
    <n v="7"/>
    <x v="3"/>
    <n v="16.899999999999999"/>
    <n v="1819"/>
    <x v="2"/>
    <n v="2"/>
    <x v="3"/>
    <x v="0"/>
    <n v="107830"/>
    <n v="3.56"/>
    <n v="5"/>
  </r>
  <r>
    <x v="10"/>
    <s v="i5"/>
    <x v="3"/>
    <x v="0"/>
    <n v="83830.66"/>
    <n v="91.7"/>
    <n v="316"/>
    <n v="249.1"/>
    <n v="3.65"/>
    <n v="188"/>
    <n v="634"/>
    <n v="606"/>
    <s v="RWD"/>
    <n v="7"/>
    <x v="0"/>
    <n v="64.3"/>
    <n v="2285"/>
    <x v="0"/>
    <n v="1"/>
    <x v="0"/>
    <x v="2"/>
    <n v="61677"/>
    <n v="3.43"/>
    <n v="7"/>
  </r>
  <r>
    <x v="5"/>
    <s v="EQE"/>
    <x v="5"/>
    <x v="0"/>
    <n v="148924.89000000001"/>
    <n v="98.3"/>
    <n v="357"/>
    <n v="181.1"/>
    <n v="4.0999999999999996"/>
    <n v="196"/>
    <n v="945"/>
    <n v="822"/>
    <s v="AWD"/>
    <n v="7"/>
    <x v="1"/>
    <n v="61.2"/>
    <n v="1889"/>
    <x v="0"/>
    <n v="2"/>
    <x v="0"/>
    <x v="0"/>
    <n v="66282"/>
    <n v="3.8"/>
    <n v="7"/>
  </r>
  <r>
    <x v="7"/>
    <s v="Atto 3"/>
    <x v="1"/>
    <x v="3"/>
    <n v="49226.29"/>
    <n v="46.7"/>
    <n v="177"/>
    <n v="51.6"/>
    <n v="5.54"/>
    <n v="160"/>
    <n v="529"/>
    <n v="492"/>
    <s v="FWD"/>
    <n v="5"/>
    <x v="4"/>
    <n v="20.6"/>
    <n v="1609"/>
    <x v="1"/>
    <n v="1"/>
    <x v="4"/>
    <x v="1"/>
    <n v="172454"/>
    <n v="3.29"/>
    <n v="4"/>
  </r>
  <r>
    <x v="4"/>
    <s v="Model S"/>
    <x v="3"/>
    <x v="3"/>
    <n v="29411.54"/>
    <n v="61.2"/>
    <n v="220"/>
    <n v="302.10000000000002"/>
    <n v="7.98"/>
    <n v="127"/>
    <n v="220"/>
    <n v="213"/>
    <s v="AWD"/>
    <n v="5"/>
    <x v="3"/>
    <n v="31.9"/>
    <n v="1705"/>
    <x v="1"/>
    <n v="2"/>
    <x v="2"/>
    <x v="3"/>
    <n v="206579"/>
    <n v="3.63"/>
    <n v="6"/>
  </r>
  <r>
    <x v="4"/>
    <s v="Cybertruck"/>
    <x v="2"/>
    <x v="4"/>
    <n v="107897.62"/>
    <n v="47.5"/>
    <n v="178"/>
    <n v="311.3"/>
    <n v="5.76"/>
    <n v="160"/>
    <n v="752"/>
    <n v="668"/>
    <s v="FWD"/>
    <n v="5"/>
    <x v="0"/>
    <n v="68.7"/>
    <n v="2227"/>
    <x v="1"/>
    <n v="2"/>
    <x v="2"/>
    <x v="0"/>
    <n v="188033"/>
    <n v="3.43"/>
    <n v="4"/>
  </r>
  <r>
    <x v="11"/>
    <s v="e-tron GT"/>
    <x v="1"/>
    <x v="1"/>
    <n v="137631.97"/>
    <n v="43.1"/>
    <n v="150"/>
    <n v="69.099999999999994"/>
    <n v="5.31"/>
    <n v="168"/>
    <n v="1000"/>
    <n v="941"/>
    <s v="RWD"/>
    <n v="5"/>
    <x v="0"/>
    <n v="68.3"/>
    <n v="2791"/>
    <x v="0"/>
    <n v="2"/>
    <x v="0"/>
    <x v="0"/>
    <n v="74974"/>
    <n v="3.3"/>
    <n v="5"/>
  </r>
  <r>
    <x v="11"/>
    <s v="e-tron GT"/>
    <x v="2"/>
    <x v="3"/>
    <n v="65798.710000000006"/>
    <n v="76.8"/>
    <n v="250"/>
    <n v="129.69999999999999"/>
    <n v="6.28"/>
    <n v="160"/>
    <n v="369"/>
    <n v="263"/>
    <s v="RWD"/>
    <n v="7"/>
    <x v="0"/>
    <n v="50.6"/>
    <n v="2305"/>
    <x v="0"/>
    <n v="2"/>
    <x v="0"/>
    <x v="2"/>
    <n v="52856"/>
    <n v="3.77"/>
    <n v="8"/>
  </r>
  <r>
    <x v="3"/>
    <s v="Niro EV"/>
    <x v="1"/>
    <x v="1"/>
    <n v="93773.43"/>
    <n v="61.9"/>
    <n v="194"/>
    <n v="129.30000000000001"/>
    <n v="6.81"/>
    <n v="152"/>
    <n v="1000"/>
    <n v="944"/>
    <s v="AWD"/>
    <n v="5"/>
    <x v="0"/>
    <n v="60.1"/>
    <n v="2450"/>
    <x v="1"/>
    <n v="1"/>
    <x v="3"/>
    <x v="2"/>
    <n v="126881"/>
    <n v="3.6"/>
    <n v="3"/>
  </r>
  <r>
    <x v="3"/>
    <s v="Picanto EV"/>
    <x v="2"/>
    <x v="3"/>
    <n v="57643.94"/>
    <n v="54.7"/>
    <n v="170"/>
    <n v="147.9"/>
    <n v="6.49"/>
    <n v="150"/>
    <n v="606"/>
    <n v="551"/>
    <s v="AWD"/>
    <n v="5"/>
    <x v="5"/>
    <n v="37.6"/>
    <n v="1686"/>
    <x v="1"/>
    <n v="1"/>
    <x v="3"/>
    <x v="1"/>
    <n v="149672"/>
    <n v="3.38"/>
    <n v="3"/>
  </r>
  <r>
    <x v="10"/>
    <s v="i5"/>
    <x v="1"/>
    <x v="0"/>
    <n v="102440.51"/>
    <n v="94.7"/>
    <n v="337"/>
    <n v="226.8"/>
    <n v="3.87"/>
    <n v="184"/>
    <n v="790"/>
    <n v="750"/>
    <s v="RWD"/>
    <n v="5"/>
    <x v="3"/>
    <n v="32.299999999999997"/>
    <n v="1545"/>
    <x v="2"/>
    <n v="2"/>
    <x v="0"/>
    <x v="0"/>
    <n v="23392"/>
    <n v="3.69"/>
    <n v="7"/>
  </r>
  <r>
    <x v="4"/>
    <s v="Cybertruck"/>
    <x v="2"/>
    <x v="3"/>
    <n v="49296.66"/>
    <n v="41.7"/>
    <n v="153"/>
    <n v="274.8"/>
    <n v="7.39"/>
    <n v="134"/>
    <n v="302"/>
    <n v="303"/>
    <s v="FWD"/>
    <n v="5"/>
    <x v="0"/>
    <n v="60.8"/>
    <n v="2643"/>
    <x v="1"/>
    <n v="3"/>
    <x v="2"/>
    <x v="1"/>
    <n v="241001"/>
    <n v="3.74"/>
    <n v="6"/>
  </r>
  <r>
    <x v="13"/>
    <s v="R1S"/>
    <x v="2"/>
    <x v="0"/>
    <n v="118076.47"/>
    <n v="74"/>
    <n v="249"/>
    <n v="161.6"/>
    <n v="3.41"/>
    <n v="194"/>
    <n v="1000"/>
    <n v="911"/>
    <s v="RWD"/>
    <n v="7"/>
    <x v="3"/>
    <n v="35.5"/>
    <n v="1514"/>
    <x v="1"/>
    <n v="1"/>
    <x v="2"/>
    <x v="0"/>
    <n v="656"/>
    <n v="3.53"/>
    <n v="5"/>
  </r>
  <r>
    <x v="0"/>
    <s v="ID.4"/>
    <x v="0"/>
    <x v="1"/>
    <n v="69215.27"/>
    <n v="62"/>
    <n v="197"/>
    <n v="117.5"/>
    <n v="7.34"/>
    <n v="136"/>
    <n v="704"/>
    <n v="655"/>
    <s v="AWD"/>
    <n v="7"/>
    <x v="0"/>
    <n v="74.3"/>
    <n v="2586"/>
    <x v="1"/>
    <n v="1"/>
    <x v="0"/>
    <x v="2"/>
    <n v="211559"/>
    <n v="3.61"/>
    <n v="4"/>
  </r>
  <r>
    <x v="0"/>
    <s v="ID. Aero"/>
    <x v="5"/>
    <x v="4"/>
    <n v="86339.6"/>
    <n v="57.8"/>
    <n v="217"/>
    <n v="149.69999999999999"/>
    <n v="7.31"/>
    <n v="145"/>
    <n v="1000"/>
    <n v="837"/>
    <s v="FWD"/>
    <n v="5"/>
    <x v="5"/>
    <n v="35"/>
    <n v="1882"/>
    <x v="1"/>
    <n v="0"/>
    <x v="0"/>
    <x v="2"/>
    <n v="279621"/>
    <n v="3.38"/>
    <n v="3"/>
  </r>
  <r>
    <x v="8"/>
    <s v="Ioniq 6"/>
    <x v="0"/>
    <x v="3"/>
    <n v="41678.26"/>
    <n v="66.400000000000006"/>
    <n v="252"/>
    <n v="83.9"/>
    <n v="7.12"/>
    <n v="155"/>
    <n v="368"/>
    <n v="362"/>
    <s v="AWD"/>
    <n v="5"/>
    <x v="2"/>
    <n v="69.3"/>
    <n v="1580"/>
    <x v="0"/>
    <n v="1"/>
    <x v="3"/>
    <x v="1"/>
    <n v="52756"/>
    <n v="3.29"/>
    <n v="4"/>
  </r>
  <r>
    <x v="4"/>
    <s v="Cybertruck"/>
    <x v="3"/>
    <x v="1"/>
    <n v="131326.82"/>
    <n v="44.5"/>
    <n v="172"/>
    <n v="271"/>
    <n v="6.26"/>
    <n v="164"/>
    <n v="951"/>
    <n v="870"/>
    <s v="AWD"/>
    <n v="5"/>
    <x v="0"/>
    <n v="73.099999999999994"/>
    <n v="2711"/>
    <x v="1"/>
    <n v="2"/>
    <x v="2"/>
    <x v="0"/>
    <n v="195107"/>
    <n v="3.68"/>
    <n v="5"/>
  </r>
  <r>
    <x v="4"/>
    <s v="Model X"/>
    <x v="3"/>
    <x v="3"/>
    <n v="106034.49"/>
    <n v="82.6"/>
    <n v="286"/>
    <n v="201.7"/>
    <n v="6.63"/>
    <n v="151"/>
    <n v="719"/>
    <n v="582"/>
    <s v="FWD"/>
    <n v="7"/>
    <x v="2"/>
    <n v="75.5"/>
    <n v="1771"/>
    <x v="1"/>
    <n v="2"/>
    <x v="2"/>
    <x v="0"/>
    <n v="136623"/>
    <n v="3.7"/>
    <n v="6"/>
  </r>
  <r>
    <x v="2"/>
    <s v="Blazer EV"/>
    <x v="0"/>
    <x v="0"/>
    <n v="60380.4"/>
    <n v="91.2"/>
    <n v="308"/>
    <n v="182.4"/>
    <n v="3.99"/>
    <n v="199"/>
    <n v="753"/>
    <n v="660"/>
    <s v="RWD"/>
    <n v="7"/>
    <x v="2"/>
    <n v="76.900000000000006"/>
    <n v="1584"/>
    <x v="2"/>
    <n v="1"/>
    <x v="2"/>
    <x v="1"/>
    <n v="8909"/>
    <n v="3.76"/>
    <n v="3"/>
  </r>
  <r>
    <x v="4"/>
    <s v="Model Y"/>
    <x v="2"/>
    <x v="0"/>
    <n v="141348.91"/>
    <n v="115.7"/>
    <n v="409"/>
    <n v="243.6"/>
    <n v="3.11"/>
    <n v="200"/>
    <n v="1000"/>
    <n v="942"/>
    <s v="AWD"/>
    <n v="5"/>
    <x v="4"/>
    <n v="26.6"/>
    <n v="1540"/>
    <x v="0"/>
    <n v="2"/>
    <x v="2"/>
    <x v="0"/>
    <n v="490678"/>
    <n v="4.51"/>
    <n v="4"/>
  </r>
  <r>
    <x v="3"/>
    <s v="Picanto EV"/>
    <x v="3"/>
    <x v="3"/>
    <n v="33502.19"/>
    <n v="82.4"/>
    <n v="304"/>
    <n v="74.7"/>
    <n v="7.22"/>
    <n v="144"/>
    <n v="220"/>
    <n v="238"/>
    <s v="FWD"/>
    <n v="7"/>
    <x v="2"/>
    <n v="76.5"/>
    <n v="1588"/>
    <x v="0"/>
    <n v="0"/>
    <x v="3"/>
    <x v="3"/>
    <n v="70571"/>
    <n v="3.47"/>
    <n v="4"/>
  </r>
  <r>
    <x v="7"/>
    <s v="Seagull"/>
    <x v="3"/>
    <x v="1"/>
    <n v="98579.06"/>
    <n v="64.3"/>
    <n v="224"/>
    <n v="56.8"/>
    <n v="6.74"/>
    <n v="143"/>
    <n v="1000"/>
    <n v="891"/>
    <s v="AWD"/>
    <n v="5"/>
    <x v="4"/>
    <n v="19.3"/>
    <n v="1606"/>
    <x v="1"/>
    <n v="0"/>
    <x v="4"/>
    <x v="2"/>
    <n v="142672"/>
    <n v="3.25"/>
    <n v="3"/>
  </r>
  <r>
    <x v="0"/>
    <s v="ID. Aero"/>
    <x v="2"/>
    <x v="3"/>
    <n v="29413.61"/>
    <n v="69.3"/>
    <n v="264"/>
    <n v="107.2"/>
    <n v="7.54"/>
    <n v="131"/>
    <n v="186"/>
    <n v="208"/>
    <s v="AWD"/>
    <n v="5"/>
    <x v="1"/>
    <n v="38.299999999999997"/>
    <n v="2196"/>
    <x v="1"/>
    <n v="1"/>
    <x v="0"/>
    <x v="3"/>
    <n v="268683"/>
    <n v="3.64"/>
    <n v="4"/>
  </r>
  <r>
    <x v="7"/>
    <s v="Atto 3"/>
    <x v="3"/>
    <x v="2"/>
    <n v="32535.18"/>
    <n v="92"/>
    <n v="307"/>
    <n v="138.69999999999999"/>
    <n v="5.28"/>
    <n v="175"/>
    <n v="341"/>
    <n v="309"/>
    <s v="RWD"/>
    <n v="5"/>
    <x v="5"/>
    <n v="39.200000000000003"/>
    <n v="1704"/>
    <x v="0"/>
    <n v="2"/>
    <x v="4"/>
    <x v="3"/>
    <n v="218123"/>
    <n v="3.53"/>
    <n v="3"/>
  </r>
  <r>
    <x v="0"/>
    <s v="ID.5"/>
    <x v="2"/>
    <x v="0"/>
    <n v="106703.67"/>
    <n v="90.5"/>
    <n v="330"/>
    <n v="247.6"/>
    <n v="4.38"/>
    <n v="192"/>
    <n v="1000"/>
    <n v="884"/>
    <s v="RWD"/>
    <n v="7"/>
    <x v="2"/>
    <n v="61.7"/>
    <n v="1614"/>
    <x v="1"/>
    <n v="0"/>
    <x v="0"/>
    <x v="0"/>
    <n v="282713"/>
    <n v="3.53"/>
    <n v="3"/>
  </r>
  <r>
    <x v="2"/>
    <s v="Bolt EUV"/>
    <x v="3"/>
    <x v="1"/>
    <n v="61871.83"/>
    <n v="57.9"/>
    <n v="176"/>
    <n v="120.9"/>
    <n v="5.75"/>
    <n v="168"/>
    <n v="782"/>
    <n v="728"/>
    <s v="RWD"/>
    <n v="5"/>
    <x v="3"/>
    <n v="24.9"/>
    <n v="1500"/>
    <x v="1"/>
    <n v="0"/>
    <x v="2"/>
    <x v="1"/>
    <n v="10487"/>
    <n v="3.16"/>
    <n v="3"/>
  </r>
  <r>
    <x v="7"/>
    <s v="Yuan Plus"/>
    <x v="2"/>
    <x v="3"/>
    <n v="31743.27"/>
    <n v="82.5"/>
    <n v="285"/>
    <n v="136.5"/>
    <n v="5.75"/>
    <n v="166"/>
    <n v="292"/>
    <n v="292"/>
    <s v="AWD"/>
    <n v="5"/>
    <x v="1"/>
    <n v="63.5"/>
    <n v="1787"/>
    <x v="0"/>
    <n v="1"/>
    <x v="4"/>
    <x v="3"/>
    <n v="226541"/>
    <n v="3.63"/>
    <n v="3"/>
  </r>
  <r>
    <x v="3"/>
    <s v="Sportage EV"/>
    <x v="3"/>
    <x v="0"/>
    <n v="72347.59"/>
    <n v="112"/>
    <n v="369"/>
    <n v="204.8"/>
    <n v="4.18"/>
    <n v="185"/>
    <n v="800"/>
    <n v="714"/>
    <s v="AWD"/>
    <n v="7"/>
    <x v="1"/>
    <n v="37.5"/>
    <n v="2315"/>
    <x v="2"/>
    <n v="0"/>
    <x v="3"/>
    <x v="2"/>
    <n v="144057"/>
    <n v="3.62"/>
    <n v="3"/>
  </r>
  <r>
    <x v="8"/>
    <s v="Ioniq 6"/>
    <x v="3"/>
    <x v="0"/>
    <n v="47415.02"/>
    <n v="112.3"/>
    <n v="399"/>
    <n v="174.2"/>
    <n v="3.55"/>
    <n v="200"/>
    <n v="463"/>
    <n v="391"/>
    <s v="FWD"/>
    <n v="7"/>
    <x v="3"/>
    <n v="22.4"/>
    <n v="1581"/>
    <x v="1"/>
    <n v="2"/>
    <x v="3"/>
    <x v="1"/>
    <n v="102665"/>
    <n v="3.98"/>
    <n v="3"/>
  </r>
  <r>
    <x v="10"/>
    <s v="i4"/>
    <x v="0"/>
    <x v="4"/>
    <n v="101992.19"/>
    <n v="49.3"/>
    <n v="168"/>
    <n v="109.7"/>
    <n v="5.58"/>
    <n v="165"/>
    <n v="804"/>
    <n v="703"/>
    <s v="FWD"/>
    <n v="7"/>
    <x v="5"/>
    <n v="32.1"/>
    <n v="1856"/>
    <x v="1"/>
    <n v="2"/>
    <x v="0"/>
    <x v="0"/>
    <n v="24913"/>
    <n v="3.34"/>
    <n v="6"/>
  </r>
  <r>
    <x v="12"/>
    <s v="EC6"/>
    <x v="3"/>
    <x v="1"/>
    <n v="83405.89"/>
    <n v="75.400000000000006"/>
    <n v="277"/>
    <n v="62"/>
    <n v="5.21"/>
    <n v="164"/>
    <n v="723"/>
    <n v="689"/>
    <s v="RWD"/>
    <n v="7"/>
    <x v="2"/>
    <n v="74.900000000000006"/>
    <n v="1673"/>
    <x v="1"/>
    <n v="0"/>
    <x v="4"/>
    <x v="2"/>
    <n v="11073"/>
    <n v="3.32"/>
    <n v="5"/>
  </r>
  <r>
    <x v="2"/>
    <s v="Blazer EV"/>
    <x v="0"/>
    <x v="0"/>
    <n v="77802.210000000006"/>
    <n v="81.5"/>
    <n v="300"/>
    <n v="152.9"/>
    <n v="3.57"/>
    <n v="195"/>
    <n v="1000"/>
    <n v="925"/>
    <s v="AWD"/>
    <n v="5"/>
    <x v="0"/>
    <n v="65"/>
    <n v="2508"/>
    <x v="1"/>
    <n v="1"/>
    <x v="2"/>
    <x v="2"/>
    <n v="18415"/>
    <n v="3.87"/>
    <n v="4"/>
  </r>
  <r>
    <x v="7"/>
    <s v="Atto 3"/>
    <x v="2"/>
    <x v="0"/>
    <n v="53801.14"/>
    <n v="101.6"/>
    <n v="365"/>
    <n v="242.3"/>
    <n v="2.5099999999999998"/>
    <n v="200"/>
    <n v="595"/>
    <n v="572"/>
    <s v="AWD"/>
    <n v="7"/>
    <x v="2"/>
    <n v="64.5"/>
    <n v="1590"/>
    <x v="1"/>
    <n v="0"/>
    <x v="4"/>
    <x v="1"/>
    <n v="168996"/>
    <n v="3.7"/>
    <n v="4"/>
  </r>
  <r>
    <x v="4"/>
    <s v="Model 3"/>
    <x v="3"/>
    <x v="2"/>
    <n v="84190.57"/>
    <n v="98"/>
    <n v="350"/>
    <n v="308.3"/>
    <n v="4.72"/>
    <n v="182"/>
    <n v="592"/>
    <n v="522"/>
    <s v="RWD"/>
    <n v="7"/>
    <x v="4"/>
    <n v="32"/>
    <n v="1694"/>
    <x v="0"/>
    <n v="2"/>
    <x v="2"/>
    <x v="2"/>
    <n v="181874"/>
    <n v="3.94"/>
    <n v="4"/>
  </r>
  <r>
    <x v="7"/>
    <s v="Qin"/>
    <x v="0"/>
    <x v="3"/>
    <n v="40160.18"/>
    <n v="61.8"/>
    <n v="214"/>
    <n v="142.4"/>
    <n v="5.79"/>
    <n v="164"/>
    <n v="401"/>
    <n v="356"/>
    <s v="FWD"/>
    <n v="7"/>
    <x v="3"/>
    <n v="39.299999999999997"/>
    <n v="1500"/>
    <x v="1"/>
    <n v="0"/>
    <x v="4"/>
    <x v="1"/>
    <n v="234883"/>
    <n v="3.4"/>
    <n v="3"/>
  </r>
  <r>
    <x v="3"/>
    <s v="EV6"/>
    <x v="1"/>
    <x v="0"/>
    <n v="48028.480000000003"/>
    <n v="102.7"/>
    <n v="351"/>
    <n v="182"/>
    <n v="3.29"/>
    <n v="200"/>
    <n v="489"/>
    <n v="421"/>
    <s v="AWD"/>
    <n v="5"/>
    <x v="3"/>
    <n v="27.7"/>
    <n v="1500"/>
    <x v="0"/>
    <n v="2"/>
    <x v="3"/>
    <x v="1"/>
    <n v="81607"/>
    <n v="3.7"/>
    <n v="5"/>
  </r>
  <r>
    <x v="4"/>
    <s v="Model S"/>
    <x v="5"/>
    <x v="0"/>
    <n v="120990.97"/>
    <n v="76.900000000000006"/>
    <n v="272"/>
    <n v="208.1"/>
    <n v="2.81"/>
    <n v="200"/>
    <n v="841"/>
    <n v="743"/>
    <s v="AWD"/>
    <n v="7"/>
    <x v="0"/>
    <n v="77.7"/>
    <n v="2847"/>
    <x v="0"/>
    <n v="2"/>
    <x v="2"/>
    <x v="0"/>
    <n v="177875"/>
    <n v="3.74"/>
    <n v="5"/>
  </r>
  <r>
    <x v="8"/>
    <s v="i30"/>
    <x v="1"/>
    <x v="3"/>
    <n v="52457.02"/>
    <n v="61.6"/>
    <n v="184"/>
    <n v="60.7"/>
    <n v="7.28"/>
    <n v="139"/>
    <n v="503"/>
    <n v="465"/>
    <s v="AWD"/>
    <n v="5"/>
    <x v="5"/>
    <n v="26.9"/>
    <n v="1576"/>
    <x v="1"/>
    <n v="1"/>
    <x v="3"/>
    <x v="1"/>
    <n v="72150"/>
    <n v="3.34"/>
    <n v="5"/>
  </r>
  <r>
    <x v="3"/>
    <s v="Picanto EV"/>
    <x v="0"/>
    <x v="4"/>
    <n v="66396.28"/>
    <n v="40.4"/>
    <n v="150"/>
    <n v="72.8"/>
    <n v="5.36"/>
    <n v="172"/>
    <n v="763"/>
    <n v="668"/>
    <s v="AWD"/>
    <n v="7"/>
    <x v="5"/>
    <n v="23.5"/>
    <n v="1580"/>
    <x v="0"/>
    <n v="2"/>
    <x v="3"/>
    <x v="2"/>
    <n v="93251"/>
    <n v="3.17"/>
    <n v="3"/>
  </r>
  <r>
    <x v="7"/>
    <s v="Dolphin"/>
    <x v="3"/>
    <x v="3"/>
    <n v="53719.72"/>
    <n v="48.4"/>
    <n v="150"/>
    <n v="130.4"/>
    <n v="5.96"/>
    <n v="160"/>
    <n v="629"/>
    <n v="556"/>
    <s v="FWD"/>
    <n v="7"/>
    <x v="3"/>
    <n v="38.700000000000003"/>
    <n v="1728"/>
    <x v="2"/>
    <n v="0"/>
    <x v="4"/>
    <x v="1"/>
    <n v="246801"/>
    <n v="3.15"/>
    <n v="5"/>
  </r>
  <r>
    <x v="9"/>
    <s v="Mustang Mach-E"/>
    <x v="5"/>
    <x v="1"/>
    <n v="56792.12"/>
    <n v="67.2"/>
    <n v="207"/>
    <n v="138.4"/>
    <n v="7.7"/>
    <n v="135"/>
    <n v="555"/>
    <n v="485"/>
    <s v="AWD"/>
    <n v="5"/>
    <x v="1"/>
    <n v="51.2"/>
    <n v="2102"/>
    <x v="0"/>
    <n v="0"/>
    <x v="2"/>
    <x v="1"/>
    <n v="31784"/>
    <n v="3.24"/>
    <n v="4"/>
  </r>
  <r>
    <x v="4"/>
    <s v="Model S"/>
    <x v="2"/>
    <x v="4"/>
    <n v="122807.61"/>
    <n v="51"/>
    <n v="203"/>
    <n v="348.4"/>
    <n v="5.61"/>
    <n v="177"/>
    <n v="905"/>
    <n v="784"/>
    <s v="AWD"/>
    <n v="7"/>
    <x v="2"/>
    <n v="78"/>
    <n v="1500"/>
    <x v="0"/>
    <n v="3"/>
    <x v="2"/>
    <x v="0"/>
    <n v="162784"/>
    <n v="3.67"/>
    <n v="6"/>
  </r>
  <r>
    <x v="4"/>
    <s v="Model X"/>
    <x v="3"/>
    <x v="2"/>
    <n v="153915.44"/>
    <n v="92"/>
    <n v="309"/>
    <n v="214"/>
    <n v="4.5599999999999996"/>
    <n v="177"/>
    <n v="1000"/>
    <n v="955"/>
    <s v="RWD"/>
    <n v="5"/>
    <x v="2"/>
    <n v="73.2"/>
    <n v="1572"/>
    <x v="1"/>
    <n v="2"/>
    <x v="2"/>
    <x v="0"/>
    <n v="210826"/>
    <n v="3.64"/>
    <n v="5"/>
  </r>
  <r>
    <x v="2"/>
    <s v="Equinox EV"/>
    <x v="3"/>
    <x v="4"/>
    <n v="28857.9"/>
    <n v="80"/>
    <n v="326"/>
    <n v="78"/>
    <n v="6.63"/>
    <n v="147"/>
    <n v="200"/>
    <n v="200"/>
    <s v="RWD"/>
    <n v="7"/>
    <x v="1"/>
    <n v="38.700000000000003"/>
    <n v="2241"/>
    <x v="0"/>
    <n v="0"/>
    <x v="2"/>
    <x v="3"/>
    <n v="24599"/>
    <n v="3.71"/>
    <n v="4"/>
  </r>
  <r>
    <x v="8"/>
    <s v="Kona Electric"/>
    <x v="2"/>
    <x v="4"/>
    <n v="53616.49"/>
    <n v="57.8"/>
    <n v="161"/>
    <n v="106.9"/>
    <n v="7.18"/>
    <n v="147"/>
    <n v="606"/>
    <n v="581"/>
    <s v="AWD"/>
    <n v="5"/>
    <x v="4"/>
    <n v="22.9"/>
    <n v="1500"/>
    <x v="1"/>
    <n v="0"/>
    <x v="3"/>
    <x v="1"/>
    <n v="78661"/>
    <n v="3.39"/>
    <n v="3"/>
  </r>
  <r>
    <x v="10"/>
    <s v="i5"/>
    <x v="6"/>
    <x v="3"/>
    <n v="93337.36"/>
    <n v="72.7"/>
    <n v="232"/>
    <n v="51.4"/>
    <n v="5.0599999999999996"/>
    <n v="176"/>
    <n v="720"/>
    <n v="650"/>
    <s v="RWD"/>
    <n v="5"/>
    <x v="0"/>
    <n v="54.7"/>
    <n v="2335"/>
    <x v="1"/>
    <n v="1"/>
    <x v="0"/>
    <x v="2"/>
    <n v="25170"/>
    <n v="3.43"/>
    <n v="8"/>
  </r>
  <r>
    <x v="0"/>
    <s v="ID. Aero"/>
    <x v="5"/>
    <x v="4"/>
    <n v="69769.06"/>
    <n v="45"/>
    <n v="150"/>
    <n v="144.80000000000001"/>
    <n v="7.91"/>
    <n v="140"/>
    <n v="724"/>
    <n v="672"/>
    <s v="RWD"/>
    <n v="7"/>
    <x v="3"/>
    <n v="25"/>
    <n v="1560"/>
    <x v="0"/>
    <n v="0"/>
    <x v="0"/>
    <x v="2"/>
    <n v="251078"/>
    <n v="3"/>
    <n v="4"/>
  </r>
  <r>
    <x v="7"/>
    <s v="Yuan Plus"/>
    <x v="5"/>
    <x v="4"/>
    <n v="35604.120000000003"/>
    <n v="69.8"/>
    <n v="235"/>
    <n v="114.5"/>
    <n v="5.44"/>
    <n v="174"/>
    <n v="380"/>
    <n v="335"/>
    <s v="RWD"/>
    <n v="5"/>
    <x v="0"/>
    <n v="60"/>
    <n v="2708"/>
    <x v="1"/>
    <n v="0"/>
    <x v="4"/>
    <x v="1"/>
    <n v="210674"/>
    <n v="3.59"/>
    <n v="3"/>
  </r>
  <r>
    <x v="9"/>
    <s v="F-150 Lightning"/>
    <x v="3"/>
    <x v="2"/>
    <n v="91074.2"/>
    <n v="83.3"/>
    <n v="309"/>
    <n v="123.8"/>
    <n v="5.32"/>
    <n v="165"/>
    <n v="1000"/>
    <n v="875"/>
    <s v="FWD"/>
    <n v="4"/>
    <x v="0"/>
    <n v="59.8"/>
    <n v="2537"/>
    <x v="1"/>
    <n v="1"/>
    <x v="2"/>
    <x v="2"/>
    <n v="78477"/>
    <n v="3.54"/>
    <n v="5"/>
  </r>
  <r>
    <x v="9"/>
    <s v="E-Transit"/>
    <x v="1"/>
    <x v="1"/>
    <n v="72686.399999999994"/>
    <n v="58.3"/>
    <n v="197"/>
    <n v="55.6"/>
    <n v="7.84"/>
    <n v="135"/>
    <n v="806"/>
    <n v="761"/>
    <s v="RWD"/>
    <n v="7"/>
    <x v="4"/>
    <n v="34.299999999999997"/>
    <n v="1507"/>
    <x v="2"/>
    <n v="0"/>
    <x v="2"/>
    <x v="2"/>
    <n v="32038"/>
    <n v="3.44"/>
    <n v="3"/>
  </r>
  <r>
    <x v="2"/>
    <s v="Bolt EV"/>
    <x v="2"/>
    <x v="0"/>
    <n v="43772.41"/>
    <n v="113.5"/>
    <n v="369"/>
    <n v="244.5"/>
    <n v="3.14"/>
    <n v="192"/>
    <n v="465"/>
    <n v="370"/>
    <s v="FWD"/>
    <n v="7"/>
    <x v="1"/>
    <n v="55.5"/>
    <n v="2127"/>
    <x v="0"/>
    <n v="0"/>
    <x v="2"/>
    <x v="1"/>
    <n v="13494"/>
    <n v="3.81"/>
    <n v="4"/>
  </r>
  <r>
    <x v="7"/>
    <s v="Max"/>
    <x v="3"/>
    <x v="1"/>
    <n v="100296.35"/>
    <n v="81.5"/>
    <n v="290"/>
    <n v="71.599999999999994"/>
    <n v="7.14"/>
    <n v="143"/>
    <n v="1000"/>
    <n v="904"/>
    <s v="AWD"/>
    <n v="7"/>
    <x v="3"/>
    <n v="33.299999999999997"/>
    <n v="1686"/>
    <x v="0"/>
    <n v="0"/>
    <x v="4"/>
    <x v="0"/>
    <n v="155370"/>
    <n v="3.84"/>
    <n v="4"/>
  </r>
  <r>
    <x v="3"/>
    <s v="Picanto EV"/>
    <x v="5"/>
    <x v="2"/>
    <n v="70115.710000000006"/>
    <n v="95.5"/>
    <n v="342"/>
    <n v="140"/>
    <n v="4.95"/>
    <n v="168"/>
    <n v="873"/>
    <n v="766"/>
    <s v="FWD"/>
    <n v="5"/>
    <x v="5"/>
    <n v="38.200000000000003"/>
    <n v="1535"/>
    <x v="1"/>
    <n v="0"/>
    <x v="3"/>
    <x v="2"/>
    <n v="82992"/>
    <n v="3.83"/>
    <n v="4"/>
  </r>
  <r>
    <x v="0"/>
    <s v="ID. Buzz"/>
    <x v="5"/>
    <x v="3"/>
    <n v="70180.350000000006"/>
    <n v="48.8"/>
    <n v="170"/>
    <n v="145"/>
    <n v="6.15"/>
    <n v="159"/>
    <n v="702"/>
    <n v="698"/>
    <s v="FWD"/>
    <n v="5"/>
    <x v="0"/>
    <n v="63.5"/>
    <n v="2406"/>
    <x v="0"/>
    <n v="0"/>
    <x v="0"/>
    <x v="2"/>
    <n v="220918"/>
    <n v="3.38"/>
    <n v="4"/>
  </r>
  <r>
    <x v="4"/>
    <s v="Model 3"/>
    <x v="0"/>
    <x v="3"/>
    <n v="50661.72"/>
    <n v="45"/>
    <n v="150"/>
    <n v="321.10000000000002"/>
    <n v="7.4"/>
    <n v="132"/>
    <n v="355"/>
    <n v="361"/>
    <s v="FWD"/>
    <n v="5"/>
    <x v="0"/>
    <n v="58.9"/>
    <n v="2602"/>
    <x v="1"/>
    <n v="2"/>
    <x v="2"/>
    <x v="1"/>
    <n v="240645"/>
    <n v="3.26"/>
    <n v="6"/>
  </r>
  <r>
    <x v="13"/>
    <s v="R1S"/>
    <x v="0"/>
    <x v="3"/>
    <n v="71764.23"/>
    <n v="63.3"/>
    <n v="216"/>
    <n v="111.8"/>
    <n v="5.26"/>
    <n v="179"/>
    <n v="267"/>
    <n v="240"/>
    <s v="RWD"/>
    <n v="5"/>
    <x v="4"/>
    <n v="25.4"/>
    <n v="1532"/>
    <x v="0"/>
    <n v="1"/>
    <x v="2"/>
    <x v="2"/>
    <n v="16601"/>
    <n v="3.25"/>
    <n v="4"/>
  </r>
  <r>
    <x v="4"/>
    <s v="Model Y"/>
    <x v="2"/>
    <x v="4"/>
    <n v="118291.58"/>
    <n v="82.5"/>
    <n v="290"/>
    <n v="268"/>
    <n v="6.17"/>
    <n v="157"/>
    <n v="828"/>
    <n v="772"/>
    <s v="AWD"/>
    <n v="5"/>
    <x v="0"/>
    <n v="51"/>
    <n v="2443"/>
    <x v="1"/>
    <n v="2"/>
    <x v="2"/>
    <x v="0"/>
    <n v="419454"/>
    <n v="3.57"/>
    <n v="4"/>
  </r>
  <r>
    <x v="1"/>
    <s v="bZ Compact SUV"/>
    <x v="3"/>
    <x v="3"/>
    <n v="65608.600000000006"/>
    <n v="60.1"/>
    <n v="208"/>
    <n v="67.8"/>
    <n v="6.65"/>
    <n v="154"/>
    <n v="816"/>
    <n v="769"/>
    <s v="FWD"/>
    <n v="5"/>
    <x v="1"/>
    <n v="56.9"/>
    <n v="1949"/>
    <x v="0"/>
    <n v="1"/>
    <x v="1"/>
    <x v="2"/>
    <n v="24977"/>
    <n v="3.36"/>
    <n v="5"/>
  </r>
  <r>
    <x v="0"/>
    <s v="ID. Buzz"/>
    <x v="0"/>
    <x v="1"/>
    <n v="99863.63"/>
    <n v="66.5"/>
    <n v="227"/>
    <n v="113.9"/>
    <n v="7.86"/>
    <n v="134"/>
    <n v="1000"/>
    <n v="879"/>
    <s v="AWD"/>
    <n v="7"/>
    <x v="0"/>
    <n v="63.8"/>
    <n v="2583"/>
    <x v="1"/>
    <n v="0"/>
    <x v="0"/>
    <x v="2"/>
    <n v="237739"/>
    <n v="3.79"/>
    <n v="4"/>
  </r>
  <r>
    <x v="4"/>
    <s v="Model 3"/>
    <x v="1"/>
    <x v="2"/>
    <n v="84609.91"/>
    <n v="107.2"/>
    <n v="365"/>
    <n v="286.89999999999998"/>
    <n v="5.82"/>
    <n v="165"/>
    <n v="593"/>
    <n v="574"/>
    <s v="RWD"/>
    <n v="5"/>
    <x v="1"/>
    <n v="59.3"/>
    <n v="2001"/>
    <x v="0"/>
    <n v="2"/>
    <x v="2"/>
    <x v="2"/>
    <n v="171529"/>
    <n v="4.12"/>
    <n v="6"/>
  </r>
  <r>
    <x v="3"/>
    <s v="Sportage EV"/>
    <x v="3"/>
    <x v="1"/>
    <n v="81244.23"/>
    <n v="54.9"/>
    <n v="181"/>
    <n v="55"/>
    <n v="6.43"/>
    <n v="149"/>
    <n v="972"/>
    <n v="869"/>
    <s v="AWD"/>
    <n v="5"/>
    <x v="1"/>
    <n v="54.1"/>
    <n v="2277"/>
    <x v="1"/>
    <n v="2"/>
    <x v="3"/>
    <x v="2"/>
    <n v="70466"/>
    <n v="3.28"/>
    <n v="5"/>
  </r>
  <r>
    <x v="5"/>
    <s v="EQC"/>
    <x v="2"/>
    <x v="1"/>
    <n v="167460.91"/>
    <n v="69.900000000000006"/>
    <n v="243"/>
    <n v="76.8"/>
    <n v="5.18"/>
    <n v="175"/>
    <n v="1000"/>
    <n v="943"/>
    <s v="RWD"/>
    <n v="7"/>
    <x v="3"/>
    <n v="39.799999999999997"/>
    <n v="1500"/>
    <x v="0"/>
    <n v="1"/>
    <x v="0"/>
    <x v="0"/>
    <n v="50533"/>
    <n v="3.71"/>
    <n v="5"/>
  </r>
  <r>
    <x v="2"/>
    <s v="Equinox EV"/>
    <x v="0"/>
    <x v="2"/>
    <n v="33127.160000000003"/>
    <n v="87.4"/>
    <n v="303"/>
    <n v="69.7"/>
    <n v="5.64"/>
    <n v="160"/>
    <n v="228"/>
    <n v="275"/>
    <s v="FWD"/>
    <n v="5"/>
    <x v="1"/>
    <n v="39.5"/>
    <n v="2025"/>
    <x v="0"/>
    <n v="0"/>
    <x v="2"/>
    <x v="3"/>
    <n v="19880"/>
    <n v="3.66"/>
    <n v="5"/>
  </r>
  <r>
    <x v="9"/>
    <s v="Explorer EV"/>
    <x v="0"/>
    <x v="0"/>
    <n v="66131.67"/>
    <n v="96.5"/>
    <n v="322"/>
    <n v="171.9"/>
    <n v="2.66"/>
    <n v="200"/>
    <n v="729"/>
    <n v="712"/>
    <s v="FWD"/>
    <n v="5"/>
    <x v="0"/>
    <n v="51.8"/>
    <n v="2343"/>
    <x v="1"/>
    <n v="0"/>
    <x v="2"/>
    <x v="2"/>
    <n v="34351"/>
    <n v="3.53"/>
    <n v="4"/>
  </r>
  <r>
    <x v="10"/>
    <s v="i7"/>
    <x v="2"/>
    <x v="3"/>
    <n v="58695"/>
    <n v="50"/>
    <n v="177"/>
    <n v="105.7"/>
    <n v="6.25"/>
    <n v="155"/>
    <n v="314"/>
    <n v="298"/>
    <s v="AWD"/>
    <n v="5"/>
    <x v="4"/>
    <n v="21"/>
    <n v="1677"/>
    <x v="0"/>
    <n v="2"/>
    <x v="0"/>
    <x v="1"/>
    <n v="59887"/>
    <n v="3.39"/>
    <n v="6"/>
  </r>
  <r>
    <x v="2"/>
    <s v="Silverado EV"/>
    <x v="3"/>
    <x v="1"/>
    <n v="46867.37"/>
    <n v="59.3"/>
    <n v="232"/>
    <n v="69.2"/>
    <n v="7.47"/>
    <n v="135"/>
    <n v="501"/>
    <n v="394"/>
    <s v="RWD"/>
    <n v="7"/>
    <x v="5"/>
    <n v="37.1"/>
    <n v="1579"/>
    <x v="1"/>
    <n v="0"/>
    <x v="2"/>
    <x v="1"/>
    <n v="24354"/>
    <n v="3.3"/>
    <n v="3"/>
  </r>
  <r>
    <x v="5"/>
    <s v="EQS"/>
    <x v="2"/>
    <x v="0"/>
    <n v="183949.91"/>
    <n v="87"/>
    <n v="328"/>
    <n v="226.2"/>
    <n v="3.1"/>
    <n v="200"/>
    <n v="1000"/>
    <n v="941"/>
    <s v="AWD"/>
    <n v="5"/>
    <x v="4"/>
    <n v="15.9"/>
    <n v="1676"/>
    <x v="1"/>
    <n v="2"/>
    <x v="0"/>
    <x v="0"/>
    <n v="78765"/>
    <n v="4.0599999999999996"/>
    <n v="6"/>
  </r>
  <r>
    <x v="7"/>
    <s v="Max"/>
    <x v="3"/>
    <x v="2"/>
    <n v="26705.48"/>
    <n v="85.3"/>
    <n v="273"/>
    <n v="118.5"/>
    <n v="5.64"/>
    <n v="169"/>
    <n v="280"/>
    <n v="247"/>
    <s v="AWD"/>
    <n v="7"/>
    <x v="0"/>
    <n v="51.9"/>
    <n v="2625"/>
    <x v="0"/>
    <n v="1"/>
    <x v="4"/>
    <x v="3"/>
    <n v="188547"/>
    <n v="3.41"/>
    <n v="3"/>
  </r>
  <r>
    <x v="8"/>
    <s v="Ioniq 5"/>
    <x v="2"/>
    <x v="4"/>
    <n v="37623.67"/>
    <n v="63.5"/>
    <n v="214"/>
    <n v="107.8"/>
    <n v="5.74"/>
    <n v="165"/>
    <n v="344"/>
    <n v="327"/>
    <s v="RWD"/>
    <n v="5"/>
    <x v="2"/>
    <n v="75.8"/>
    <n v="1500"/>
    <x v="0"/>
    <n v="0"/>
    <x v="3"/>
    <x v="1"/>
    <n v="76324"/>
    <n v="3.31"/>
    <n v="4"/>
  </r>
  <r>
    <x v="7"/>
    <s v="Dolphin"/>
    <x v="3"/>
    <x v="0"/>
    <n v="98821.6"/>
    <n v="98.4"/>
    <n v="363"/>
    <n v="218.3"/>
    <n v="3.74"/>
    <n v="189"/>
    <n v="1000"/>
    <n v="930"/>
    <s v="AWD"/>
    <n v="7"/>
    <x v="3"/>
    <n v="21.5"/>
    <n v="1500"/>
    <x v="0"/>
    <n v="1"/>
    <x v="4"/>
    <x v="2"/>
    <n v="172137"/>
    <n v="3.93"/>
    <n v="4"/>
  </r>
  <r>
    <x v="14"/>
    <s v="Macan Electric"/>
    <x v="3"/>
    <x v="4"/>
    <n v="186969.89"/>
    <n v="80.5"/>
    <n v="291"/>
    <n v="313.10000000000002"/>
    <n v="7.79"/>
    <n v="132"/>
    <n v="1000"/>
    <n v="936"/>
    <s v="AWD"/>
    <n v="5"/>
    <x v="3"/>
    <n v="18.399999999999999"/>
    <n v="1894"/>
    <x v="1"/>
    <n v="1"/>
    <x v="0"/>
    <x v="0"/>
    <n v="29154"/>
    <n v="4.28"/>
    <n v="8"/>
  </r>
  <r>
    <x v="12"/>
    <s v="EL8"/>
    <x v="2"/>
    <x v="1"/>
    <n v="68322.210000000006"/>
    <n v="64.5"/>
    <n v="203"/>
    <n v="121.2"/>
    <n v="7.2"/>
    <n v="143"/>
    <n v="526"/>
    <n v="465"/>
    <s v="RWD"/>
    <n v="5"/>
    <x v="4"/>
    <n v="32.5"/>
    <n v="1745"/>
    <x v="1"/>
    <n v="0"/>
    <x v="4"/>
    <x v="2"/>
    <n v="2458"/>
    <n v="3.46"/>
    <n v="4"/>
  </r>
  <r>
    <x v="4"/>
    <s v="Model Y"/>
    <x v="2"/>
    <x v="1"/>
    <n v="91805.32"/>
    <n v="52.7"/>
    <n v="197"/>
    <n v="346.1"/>
    <n v="6.04"/>
    <n v="156"/>
    <n v="668"/>
    <n v="649"/>
    <s v="RWD"/>
    <n v="7"/>
    <x v="3"/>
    <n v="23.6"/>
    <n v="1500"/>
    <x v="0"/>
    <n v="2"/>
    <x v="2"/>
    <x v="2"/>
    <n v="462587"/>
    <n v="3.48"/>
    <n v="5"/>
  </r>
  <r>
    <x v="2"/>
    <s v="Bolt EV"/>
    <x v="2"/>
    <x v="3"/>
    <n v="34244.160000000003"/>
    <n v="59.5"/>
    <n v="214"/>
    <n v="98.8"/>
    <n v="5.67"/>
    <n v="163"/>
    <n v="288"/>
    <n v="251"/>
    <s v="AWD"/>
    <n v="7"/>
    <x v="1"/>
    <n v="45.1"/>
    <n v="1772"/>
    <x v="1"/>
    <n v="0"/>
    <x v="2"/>
    <x v="3"/>
    <n v="29653"/>
    <n v="3.5"/>
    <n v="4"/>
  </r>
  <r>
    <x v="13"/>
    <s v="R3"/>
    <x v="5"/>
    <x v="0"/>
    <n v="113739.43"/>
    <n v="106.9"/>
    <n v="358"/>
    <n v="185.6"/>
    <n v="3.03"/>
    <n v="200"/>
    <n v="1000"/>
    <n v="935"/>
    <s v="AWD"/>
    <n v="5"/>
    <x v="4"/>
    <n v="36.5"/>
    <n v="1500"/>
    <x v="0"/>
    <n v="1"/>
    <x v="2"/>
    <x v="0"/>
    <n v="22439"/>
    <n v="3.75"/>
    <n v="6"/>
  </r>
  <r>
    <x v="4"/>
    <s v="Cybertruck"/>
    <x v="3"/>
    <x v="4"/>
    <n v="98006.33"/>
    <n v="50.5"/>
    <n v="177"/>
    <n v="336"/>
    <n v="7.58"/>
    <n v="138"/>
    <n v="719"/>
    <n v="587"/>
    <s v="FWD"/>
    <n v="7"/>
    <x v="0"/>
    <n v="67.599999999999994"/>
    <n v="2276"/>
    <x v="0"/>
    <n v="3"/>
    <x v="2"/>
    <x v="2"/>
    <n v="113383"/>
    <n v="3.75"/>
    <n v="4"/>
  </r>
  <r>
    <x v="3"/>
    <s v="EV9"/>
    <x v="2"/>
    <x v="4"/>
    <n v="67166.429999999993"/>
    <n v="71.5"/>
    <n v="240"/>
    <n v="70.8"/>
    <n v="7.01"/>
    <n v="135"/>
    <n v="723"/>
    <n v="642"/>
    <s v="AWD"/>
    <n v="5"/>
    <x v="1"/>
    <n v="61.2"/>
    <n v="1821"/>
    <x v="0"/>
    <n v="2"/>
    <x v="3"/>
    <x v="2"/>
    <n v="69022"/>
    <n v="3.56"/>
    <n v="5"/>
  </r>
  <r>
    <x v="13"/>
    <s v="R1S"/>
    <x v="2"/>
    <x v="3"/>
    <n v="73774.27"/>
    <n v="67.400000000000006"/>
    <n v="263"/>
    <n v="131.80000000000001"/>
    <n v="6.54"/>
    <n v="148"/>
    <n v="325"/>
    <n v="272"/>
    <s v="AWD"/>
    <n v="7"/>
    <x v="0"/>
    <n v="70.8"/>
    <n v="2508"/>
    <x v="1"/>
    <n v="1"/>
    <x v="2"/>
    <x v="2"/>
    <n v="22100"/>
    <n v="3.49"/>
    <n v="4"/>
  </r>
  <r>
    <x v="4"/>
    <s v="Model Y"/>
    <x v="2"/>
    <x v="2"/>
    <n v="98420.53"/>
    <n v="75.3"/>
    <n v="267"/>
    <n v="260"/>
    <n v="5.57"/>
    <n v="165"/>
    <n v="739"/>
    <n v="720"/>
    <s v="RWD"/>
    <n v="5"/>
    <x v="3"/>
    <n v="30.6"/>
    <n v="1628"/>
    <x v="1"/>
    <n v="3"/>
    <x v="2"/>
    <x v="2"/>
    <n v="459091"/>
    <n v="3.73"/>
    <n v="6"/>
  </r>
  <r>
    <x v="2"/>
    <s v="Silverado EV"/>
    <x v="2"/>
    <x v="4"/>
    <n v="42545.39"/>
    <n v="40"/>
    <n v="150"/>
    <n v="115.3"/>
    <n v="5.39"/>
    <n v="171"/>
    <n v="460"/>
    <n v="408"/>
    <s v="FWD"/>
    <n v="7"/>
    <x v="5"/>
    <n v="21"/>
    <n v="1830"/>
    <x v="2"/>
    <n v="1"/>
    <x v="2"/>
    <x v="1"/>
    <n v="11545"/>
    <n v="3.42"/>
    <n v="4"/>
  </r>
  <r>
    <x v="7"/>
    <s v="Leaf 50X"/>
    <x v="0"/>
    <x v="0"/>
    <n v="25921.47"/>
    <n v="101.8"/>
    <n v="344"/>
    <n v="196.5"/>
    <n v="4.43"/>
    <n v="188"/>
    <n v="215"/>
    <n v="200"/>
    <s v="AWD"/>
    <n v="5"/>
    <x v="0"/>
    <n v="74.599999999999994"/>
    <n v="2544"/>
    <x v="1"/>
    <n v="0"/>
    <x v="4"/>
    <x v="3"/>
    <n v="110847"/>
    <n v="3.94"/>
    <n v="4"/>
  </r>
  <r>
    <x v="13"/>
    <s v="R1S"/>
    <x v="2"/>
    <x v="4"/>
    <n v="86119.94"/>
    <n v="52.4"/>
    <n v="172"/>
    <n v="92.5"/>
    <n v="5.38"/>
    <n v="170"/>
    <n v="1000"/>
    <n v="929"/>
    <s v="AWD"/>
    <n v="7"/>
    <x v="2"/>
    <n v="69"/>
    <n v="1514"/>
    <x v="0"/>
    <n v="1"/>
    <x v="2"/>
    <x v="2"/>
    <n v="1755"/>
    <n v="3.19"/>
    <n v="4"/>
  </r>
  <r>
    <x v="6"/>
    <s v="Ronin"/>
    <x v="2"/>
    <x v="0"/>
    <n v="77587.25"/>
    <n v="78.3"/>
    <n v="296"/>
    <n v="183.2"/>
    <n v="3.66"/>
    <n v="198"/>
    <n v="605"/>
    <n v="533"/>
    <s v="AWD"/>
    <n v="7"/>
    <x v="5"/>
    <n v="34.4"/>
    <n v="1691"/>
    <x v="0"/>
    <n v="1"/>
    <x v="2"/>
    <x v="2"/>
    <n v="24352"/>
    <n v="3.46"/>
    <n v="5"/>
  </r>
  <r>
    <x v="1"/>
    <s v="bZ4X"/>
    <x v="5"/>
    <x v="2"/>
    <n v="89238.61"/>
    <n v="105.2"/>
    <n v="336"/>
    <n v="114"/>
    <n v="4.8899999999999997"/>
    <n v="178"/>
    <n v="1000"/>
    <n v="879"/>
    <s v="RWD"/>
    <n v="5"/>
    <x v="3"/>
    <n v="36"/>
    <n v="1734"/>
    <x v="1"/>
    <n v="0"/>
    <x v="1"/>
    <x v="2"/>
    <n v="3195"/>
    <n v="3.98"/>
    <n v="5"/>
  </r>
  <r>
    <x v="8"/>
    <s v="Ioniq 6"/>
    <x v="0"/>
    <x v="4"/>
    <n v="53342.39"/>
    <n v="42.5"/>
    <n v="150"/>
    <n v="111.1"/>
    <n v="5.32"/>
    <n v="179"/>
    <n v="558"/>
    <n v="506"/>
    <s v="FWD"/>
    <n v="5"/>
    <x v="5"/>
    <n v="15.5"/>
    <n v="1500"/>
    <x v="0"/>
    <n v="0"/>
    <x v="3"/>
    <x v="1"/>
    <n v="142003"/>
    <n v="3.16"/>
    <n v="4"/>
  </r>
  <r>
    <x v="5"/>
    <s v="EQS"/>
    <x v="5"/>
    <x v="1"/>
    <n v="108752.82"/>
    <n v="76.2"/>
    <n v="250"/>
    <n v="137"/>
    <n v="6.68"/>
    <n v="144"/>
    <n v="577"/>
    <n v="547"/>
    <s v="AWD"/>
    <n v="5"/>
    <x v="1"/>
    <n v="49"/>
    <n v="1922"/>
    <x v="0"/>
    <n v="2"/>
    <x v="0"/>
    <x v="0"/>
    <n v="65854"/>
    <n v="3.7"/>
    <n v="6"/>
  </r>
  <r>
    <x v="5"/>
    <s v="GLE EV"/>
    <x v="1"/>
    <x v="3"/>
    <n v="94570.880000000005"/>
    <n v="72.7"/>
    <n v="257"/>
    <n v="91.1"/>
    <n v="5.86"/>
    <n v="162"/>
    <n v="421"/>
    <n v="339"/>
    <s v="AWD"/>
    <n v="7"/>
    <x v="0"/>
    <n v="78.900000000000006"/>
    <n v="2664"/>
    <x v="1"/>
    <n v="2"/>
    <x v="0"/>
    <x v="2"/>
    <n v="59270"/>
    <n v="3.75"/>
    <n v="5"/>
  </r>
  <r>
    <x v="7"/>
    <s v="Dolphin"/>
    <x v="3"/>
    <x v="3"/>
    <n v="52113.75"/>
    <n v="54.9"/>
    <n v="221"/>
    <n v="140.9"/>
    <n v="6.37"/>
    <n v="148"/>
    <n v="558"/>
    <n v="507"/>
    <s v="AWD"/>
    <n v="5"/>
    <x v="4"/>
    <n v="19.8"/>
    <n v="1539"/>
    <x v="0"/>
    <n v="2"/>
    <x v="4"/>
    <x v="1"/>
    <n v="186712"/>
    <n v="3.38"/>
    <n v="5"/>
  </r>
  <r>
    <x v="5"/>
    <s v="EQC"/>
    <x v="3"/>
    <x v="1"/>
    <n v="91108.2"/>
    <n v="66.3"/>
    <n v="223"/>
    <n v="90.2"/>
    <n v="6.24"/>
    <n v="157"/>
    <n v="447"/>
    <n v="344"/>
    <s v="AWD"/>
    <n v="5"/>
    <x v="2"/>
    <n v="71.3"/>
    <n v="1793"/>
    <x v="1"/>
    <n v="1"/>
    <x v="0"/>
    <x v="2"/>
    <n v="58124"/>
    <n v="3.6"/>
    <n v="6"/>
  </r>
  <r>
    <x v="4"/>
    <s v="Cybertruck"/>
    <x v="2"/>
    <x v="1"/>
    <n v="49738.35"/>
    <n v="47"/>
    <n v="150"/>
    <n v="329.8"/>
    <n v="5.85"/>
    <n v="165"/>
    <n v="378"/>
    <n v="292"/>
    <s v="RWD"/>
    <n v="7"/>
    <x v="0"/>
    <n v="57.9"/>
    <n v="2606"/>
    <x v="1"/>
    <n v="3"/>
    <x v="2"/>
    <x v="1"/>
    <n v="179970"/>
    <n v="3.63"/>
    <n v="5"/>
  </r>
  <r>
    <x v="3"/>
    <s v="EV9"/>
    <x v="0"/>
    <x v="4"/>
    <n v="33510.99"/>
    <n v="40.1"/>
    <n v="152"/>
    <n v="144.80000000000001"/>
    <n v="7.1"/>
    <n v="135"/>
    <n v="241"/>
    <n v="214"/>
    <s v="AWD"/>
    <n v="7"/>
    <x v="1"/>
    <n v="37.1"/>
    <n v="2106"/>
    <x v="0"/>
    <n v="2"/>
    <x v="3"/>
    <x v="3"/>
    <n v="137108"/>
    <n v="3.43"/>
    <n v="4"/>
  </r>
  <r>
    <x v="7"/>
    <s v="Seagull"/>
    <x v="0"/>
    <x v="4"/>
    <n v="84139.98"/>
    <n v="72.3"/>
    <n v="261"/>
    <n v="103.4"/>
    <n v="7.53"/>
    <n v="130"/>
    <n v="963"/>
    <n v="882"/>
    <s v="AWD"/>
    <n v="7"/>
    <x v="0"/>
    <n v="67.7"/>
    <n v="2278"/>
    <x v="1"/>
    <n v="0"/>
    <x v="4"/>
    <x v="2"/>
    <n v="236926"/>
    <n v="3.41"/>
    <n v="3"/>
  </r>
  <r>
    <x v="4"/>
    <s v="Model 3"/>
    <x v="3"/>
    <x v="1"/>
    <n v="137916.62"/>
    <n v="66"/>
    <n v="216"/>
    <n v="328.7"/>
    <n v="6.4"/>
    <n v="158"/>
    <n v="1000"/>
    <n v="906"/>
    <s v="RWD"/>
    <n v="7"/>
    <x v="1"/>
    <n v="40.200000000000003"/>
    <n v="2111"/>
    <x v="1"/>
    <n v="2"/>
    <x v="2"/>
    <x v="0"/>
    <n v="132643"/>
    <n v="3.73"/>
    <n v="5"/>
  </r>
  <r>
    <x v="4"/>
    <s v="Model 3"/>
    <x v="2"/>
    <x v="2"/>
    <n v="148635.93"/>
    <n v="103.2"/>
    <n v="360"/>
    <n v="322.89999999999998"/>
    <n v="5.61"/>
    <n v="165"/>
    <n v="1000"/>
    <n v="910"/>
    <s v="AWD"/>
    <n v="7"/>
    <x v="2"/>
    <n v="74.3"/>
    <n v="1690"/>
    <x v="2"/>
    <n v="2"/>
    <x v="2"/>
    <x v="0"/>
    <n v="108335"/>
    <n v="3.96"/>
    <n v="4"/>
  </r>
  <r>
    <x v="2"/>
    <s v="Bolt EUV"/>
    <x v="3"/>
    <x v="0"/>
    <n v="62330.93"/>
    <n v="108"/>
    <n v="376"/>
    <n v="168.5"/>
    <n v="2.88"/>
    <n v="200"/>
    <n v="803"/>
    <n v="695"/>
    <s v="AWD"/>
    <n v="7"/>
    <x v="0"/>
    <n v="75.2"/>
    <n v="2393"/>
    <x v="0"/>
    <n v="1"/>
    <x v="2"/>
    <x v="1"/>
    <n v="27154"/>
    <n v="3.92"/>
    <n v="5"/>
  </r>
  <r>
    <x v="7"/>
    <s v="Qin"/>
    <x v="3"/>
    <x v="4"/>
    <n v="29108.23"/>
    <n v="44.5"/>
    <n v="170"/>
    <n v="86.4"/>
    <n v="5.48"/>
    <n v="165"/>
    <n v="319"/>
    <n v="224"/>
    <s v="AWD"/>
    <n v="7"/>
    <x v="3"/>
    <n v="15.2"/>
    <n v="1780"/>
    <x v="1"/>
    <n v="0"/>
    <x v="4"/>
    <x v="3"/>
    <n v="179440"/>
    <n v="3.4"/>
    <n v="4"/>
  </r>
  <r>
    <x v="2"/>
    <s v="Bolt EUV"/>
    <x v="3"/>
    <x v="0"/>
    <n v="81159.740000000005"/>
    <n v="104.4"/>
    <n v="379"/>
    <n v="234.3"/>
    <n v="2.85"/>
    <n v="200"/>
    <n v="1000"/>
    <n v="927"/>
    <s v="RWD"/>
    <n v="7"/>
    <x v="0"/>
    <n v="66.2"/>
    <n v="2789"/>
    <x v="0"/>
    <n v="2"/>
    <x v="2"/>
    <x v="2"/>
    <n v="28393"/>
    <n v="3.84"/>
    <n v="3"/>
  </r>
  <r>
    <x v="4"/>
    <s v="Model 3"/>
    <x v="3"/>
    <x v="3"/>
    <n v="80586.23"/>
    <n v="77.900000000000006"/>
    <n v="274"/>
    <n v="227.2"/>
    <n v="6.92"/>
    <n v="149"/>
    <n v="580"/>
    <n v="502"/>
    <s v="RWD"/>
    <n v="5"/>
    <x v="2"/>
    <n v="73.900000000000006"/>
    <n v="1645"/>
    <x v="1"/>
    <n v="3"/>
    <x v="2"/>
    <x v="2"/>
    <n v="243472"/>
    <n v="3.8"/>
    <n v="4"/>
  </r>
  <r>
    <x v="7"/>
    <s v="Qin"/>
    <x v="3"/>
    <x v="4"/>
    <n v="79451.820000000007"/>
    <n v="66.3"/>
    <n v="253"/>
    <n v="80.599999999999994"/>
    <n v="5.72"/>
    <n v="158"/>
    <n v="839"/>
    <n v="753"/>
    <s v="FWD"/>
    <n v="7"/>
    <x v="3"/>
    <n v="30.7"/>
    <n v="1610"/>
    <x v="1"/>
    <n v="0"/>
    <x v="4"/>
    <x v="2"/>
    <n v="216726"/>
    <n v="3.44"/>
    <n v="3"/>
  </r>
  <r>
    <x v="3"/>
    <s v="Niro EV"/>
    <x v="4"/>
    <x v="0"/>
    <n v="51783.96"/>
    <n v="99.9"/>
    <n v="345"/>
    <n v="221"/>
    <n v="3.85"/>
    <n v="197"/>
    <n v="525"/>
    <n v="467"/>
    <s v="FWD"/>
    <n v="5"/>
    <x v="1"/>
    <n v="51.6"/>
    <n v="2137"/>
    <x v="1"/>
    <n v="1"/>
    <x v="3"/>
    <x v="1"/>
    <n v="94100"/>
    <n v="3.93"/>
    <n v="4"/>
  </r>
  <r>
    <x v="9"/>
    <s v="E-Transit"/>
    <x v="3"/>
    <x v="3"/>
    <n v="47442.7"/>
    <n v="70.8"/>
    <n v="237"/>
    <n v="126.8"/>
    <n v="6.31"/>
    <n v="153"/>
    <n v="445"/>
    <n v="381"/>
    <s v="RWD"/>
    <n v="7"/>
    <x v="2"/>
    <n v="69.599999999999994"/>
    <n v="1750"/>
    <x v="0"/>
    <n v="1"/>
    <x v="2"/>
    <x v="1"/>
    <n v="71700"/>
    <n v="3.47"/>
    <n v="3"/>
  </r>
  <r>
    <x v="7"/>
    <s v="Max"/>
    <x v="2"/>
    <x v="1"/>
    <n v="113232.12"/>
    <n v="50"/>
    <n v="173"/>
    <n v="89.8"/>
    <n v="6.32"/>
    <n v="154"/>
    <n v="1000"/>
    <n v="907"/>
    <s v="AWD"/>
    <n v="7"/>
    <x v="4"/>
    <n v="24.6"/>
    <n v="1576"/>
    <x v="0"/>
    <n v="0"/>
    <x v="4"/>
    <x v="0"/>
    <n v="184045"/>
    <n v="3.17"/>
    <n v="5"/>
  </r>
  <r>
    <x v="10"/>
    <s v="i3"/>
    <x v="4"/>
    <x v="2"/>
    <n v="102095.14"/>
    <n v="106.5"/>
    <n v="364"/>
    <n v="123.3"/>
    <n v="5"/>
    <n v="178"/>
    <n v="843"/>
    <n v="810"/>
    <s v="AWD"/>
    <n v="5"/>
    <x v="4"/>
    <n v="23.3"/>
    <n v="1503"/>
    <x v="0"/>
    <n v="1"/>
    <x v="0"/>
    <x v="0"/>
    <n v="29444"/>
    <n v="3.44"/>
    <n v="5"/>
  </r>
  <r>
    <x v="11"/>
    <s v="e-tron"/>
    <x v="5"/>
    <x v="0"/>
    <n v="104966.05"/>
    <n v="96.6"/>
    <n v="360"/>
    <n v="208.5"/>
    <n v="2.86"/>
    <n v="200"/>
    <n v="776"/>
    <n v="692"/>
    <s v="AWD"/>
    <n v="5"/>
    <x v="5"/>
    <n v="23.6"/>
    <n v="1596"/>
    <x v="0"/>
    <n v="2"/>
    <x v="0"/>
    <x v="0"/>
    <n v="20618"/>
    <n v="3.66"/>
    <n v="6"/>
  </r>
  <r>
    <x v="3"/>
    <s v="Niro EV"/>
    <x v="2"/>
    <x v="2"/>
    <n v="40789.370000000003"/>
    <n v="85.6"/>
    <n v="279"/>
    <n v="96.7"/>
    <n v="5.67"/>
    <n v="165"/>
    <n v="332"/>
    <n v="276"/>
    <s v="FWD"/>
    <n v="5"/>
    <x v="4"/>
    <n v="33.5"/>
    <n v="1580"/>
    <x v="1"/>
    <n v="1"/>
    <x v="3"/>
    <x v="1"/>
    <n v="63756"/>
    <n v="3.57"/>
    <n v="4"/>
  </r>
  <r>
    <x v="7"/>
    <s v="Leaf 50X"/>
    <x v="3"/>
    <x v="4"/>
    <n v="32451.41"/>
    <n v="72.900000000000006"/>
    <n v="268"/>
    <n v="118.3"/>
    <n v="6.57"/>
    <n v="148"/>
    <n v="348"/>
    <n v="323"/>
    <s v="FWD"/>
    <n v="7"/>
    <x v="4"/>
    <n v="25.9"/>
    <n v="1889"/>
    <x v="0"/>
    <n v="2"/>
    <x v="4"/>
    <x v="3"/>
    <n v="104392"/>
    <n v="3.51"/>
    <n v="4"/>
  </r>
  <r>
    <x v="4"/>
    <s v="Model 3"/>
    <x v="1"/>
    <x v="4"/>
    <n v="112086.56"/>
    <n v="61.2"/>
    <n v="215"/>
    <n v="347.4"/>
    <n v="6.6"/>
    <n v="152"/>
    <n v="806"/>
    <n v="684"/>
    <s v="RWD"/>
    <n v="5"/>
    <x v="5"/>
    <n v="22.9"/>
    <n v="1775"/>
    <x v="1"/>
    <n v="3"/>
    <x v="2"/>
    <x v="0"/>
    <n v="140793"/>
    <n v="3.65"/>
    <n v="5"/>
  </r>
  <r>
    <x v="5"/>
    <s v="EQG"/>
    <x v="1"/>
    <x v="3"/>
    <n v="64416.89"/>
    <n v="70"/>
    <n v="262"/>
    <n v="64"/>
    <n v="7.35"/>
    <n v="142"/>
    <n v="213"/>
    <n v="227"/>
    <s v="FWD"/>
    <n v="7"/>
    <x v="1"/>
    <n v="54"/>
    <n v="2149"/>
    <x v="1"/>
    <n v="1"/>
    <x v="0"/>
    <x v="1"/>
    <n v="31870"/>
    <n v="3.9"/>
    <n v="6"/>
  </r>
  <r>
    <x v="4"/>
    <s v="Model 3"/>
    <x v="3"/>
    <x v="3"/>
    <n v="108727.13"/>
    <n v="41.1"/>
    <n v="150"/>
    <n v="345.3"/>
    <n v="7.92"/>
    <n v="131"/>
    <n v="743"/>
    <n v="715"/>
    <s v="FWD"/>
    <n v="7"/>
    <x v="0"/>
    <n v="78.8"/>
    <n v="2525"/>
    <x v="2"/>
    <n v="2"/>
    <x v="2"/>
    <x v="0"/>
    <n v="118818"/>
    <n v="3.3"/>
    <n v="6"/>
  </r>
  <r>
    <x v="11"/>
    <s v="e-tron"/>
    <x v="4"/>
    <x v="0"/>
    <n v="119078.45"/>
    <n v="118.6"/>
    <n v="396"/>
    <n v="174.1"/>
    <n v="2.76"/>
    <n v="200"/>
    <n v="963"/>
    <n v="899"/>
    <s v="RWD"/>
    <n v="5"/>
    <x v="4"/>
    <n v="22.5"/>
    <n v="1617"/>
    <x v="1"/>
    <n v="1"/>
    <x v="0"/>
    <x v="0"/>
    <n v="62009"/>
    <n v="3.84"/>
    <n v="8"/>
  </r>
  <r>
    <x v="8"/>
    <s v="Ioniq 5"/>
    <x v="3"/>
    <x v="3"/>
    <n v="34994.42"/>
    <n v="79.099999999999994"/>
    <n v="269"/>
    <n v="104.4"/>
    <n v="6.86"/>
    <n v="142"/>
    <n v="258"/>
    <n v="270"/>
    <s v="FWD"/>
    <n v="7"/>
    <x v="3"/>
    <n v="32.200000000000003"/>
    <n v="1500"/>
    <x v="2"/>
    <n v="1"/>
    <x v="3"/>
    <x v="3"/>
    <n v="123225"/>
    <n v="3.52"/>
    <n v="4"/>
  </r>
  <r>
    <x v="12"/>
    <s v="ET5"/>
    <x v="0"/>
    <x v="1"/>
    <n v="114240.51"/>
    <n v="65.599999999999994"/>
    <n v="218"/>
    <n v="54"/>
    <n v="5.99"/>
    <n v="162"/>
    <n v="1000"/>
    <n v="939"/>
    <s v="AWD"/>
    <n v="7"/>
    <x v="0"/>
    <n v="56.4"/>
    <n v="2456"/>
    <x v="1"/>
    <n v="0"/>
    <x v="4"/>
    <x v="0"/>
    <n v="26747"/>
    <n v="3.64"/>
    <n v="5"/>
  </r>
  <r>
    <x v="9"/>
    <s v="Mustang Mach-E"/>
    <x v="3"/>
    <x v="2"/>
    <n v="70076.78"/>
    <n v="107.7"/>
    <n v="396"/>
    <n v="104.3"/>
    <n v="4.5199999999999996"/>
    <n v="185"/>
    <n v="815"/>
    <n v="725"/>
    <s v="AWD"/>
    <n v="5"/>
    <x v="0"/>
    <n v="76.599999999999994"/>
    <n v="2211"/>
    <x v="2"/>
    <n v="1"/>
    <x v="2"/>
    <x v="2"/>
    <n v="52702"/>
    <n v="3.92"/>
    <n v="4"/>
  </r>
  <r>
    <x v="18"/>
    <s v="SU7"/>
    <x v="2"/>
    <x v="2"/>
    <n v="95394.53"/>
    <n v="76.400000000000006"/>
    <n v="243"/>
    <n v="119.6"/>
    <n v="4.7"/>
    <n v="168"/>
    <n v="1000"/>
    <n v="931"/>
    <s v="FWD"/>
    <n v="5"/>
    <x v="1"/>
    <n v="39.9"/>
    <n v="2215"/>
    <x v="1"/>
    <n v="2"/>
    <x v="4"/>
    <x v="2"/>
    <n v="8671"/>
    <n v="3.55"/>
    <n v="3"/>
  </r>
  <r>
    <x v="7"/>
    <s v="Seagull"/>
    <x v="2"/>
    <x v="3"/>
    <n v="16613.009999999998"/>
    <n v="55.9"/>
    <n v="237"/>
    <n v="83.2"/>
    <n v="5.73"/>
    <n v="169"/>
    <n v="202"/>
    <n v="200"/>
    <s v="AWD"/>
    <n v="5"/>
    <x v="5"/>
    <n v="18.399999999999999"/>
    <n v="1578"/>
    <x v="2"/>
    <n v="2"/>
    <x v="4"/>
    <x v="3"/>
    <n v="205452"/>
    <n v="3.37"/>
    <n v="5"/>
  </r>
  <r>
    <x v="9"/>
    <s v="F-150 Lightning"/>
    <x v="1"/>
    <x v="1"/>
    <n v="39147.79"/>
    <n v="52.5"/>
    <n v="215"/>
    <n v="72.900000000000006"/>
    <n v="5.42"/>
    <n v="170"/>
    <n v="280"/>
    <n v="217"/>
    <s v="AWD"/>
    <n v="4"/>
    <x v="0"/>
    <n v="60.1"/>
    <n v="2430"/>
    <x v="0"/>
    <n v="0"/>
    <x v="2"/>
    <x v="1"/>
    <n v="78104"/>
    <n v="3.41"/>
    <n v="4"/>
  </r>
  <r>
    <x v="0"/>
    <s v="ID.3"/>
    <x v="3"/>
    <x v="0"/>
    <n v="52326.27"/>
    <n v="115.4"/>
    <n v="383"/>
    <n v="192"/>
    <n v="3.21"/>
    <n v="200"/>
    <n v="500"/>
    <n v="497"/>
    <s v="AWD"/>
    <n v="5"/>
    <x v="1"/>
    <n v="39.5"/>
    <n v="2045"/>
    <x v="1"/>
    <n v="0"/>
    <x v="0"/>
    <x v="1"/>
    <n v="248780"/>
    <n v="3.88"/>
    <n v="3"/>
  </r>
  <r>
    <x v="8"/>
    <s v="Ioniq 6"/>
    <x v="5"/>
    <x v="1"/>
    <n v="43930.22"/>
    <n v="71.2"/>
    <n v="285"/>
    <n v="137.9"/>
    <n v="7.22"/>
    <n v="141"/>
    <n v="431"/>
    <n v="387"/>
    <s v="AWD"/>
    <n v="5"/>
    <x v="1"/>
    <n v="65.3"/>
    <n v="1932"/>
    <x v="0"/>
    <n v="1"/>
    <x v="3"/>
    <x v="1"/>
    <n v="60140"/>
    <n v="3.56"/>
    <n v="4"/>
  </r>
  <r>
    <x v="10"/>
    <s v="i5"/>
    <x v="3"/>
    <x v="3"/>
    <n v="68260.210000000006"/>
    <n v="52.1"/>
    <n v="191"/>
    <n v="137.1"/>
    <n v="5.51"/>
    <n v="171"/>
    <n v="397"/>
    <n v="320"/>
    <s v="RWD"/>
    <n v="5"/>
    <x v="1"/>
    <n v="36.299999999999997"/>
    <n v="1984"/>
    <x v="0"/>
    <n v="2"/>
    <x v="0"/>
    <x v="2"/>
    <n v="78488"/>
    <n v="3.02"/>
    <n v="7"/>
  </r>
  <r>
    <x v="11"/>
    <s v="e-tron GT"/>
    <x v="2"/>
    <x v="3"/>
    <n v="86243.23"/>
    <n v="60.4"/>
    <n v="208"/>
    <n v="117.9"/>
    <n v="5.68"/>
    <n v="169"/>
    <n v="543"/>
    <n v="447"/>
    <s v="FWD"/>
    <n v="5"/>
    <x v="5"/>
    <n v="36.5"/>
    <n v="1500"/>
    <x v="0"/>
    <n v="1"/>
    <x v="0"/>
    <x v="2"/>
    <n v="24433"/>
    <n v="3.51"/>
    <n v="6"/>
  </r>
  <r>
    <x v="19"/>
    <n v="2"/>
    <x v="3"/>
    <x v="3"/>
    <n v="91715.74"/>
    <n v="62.6"/>
    <n v="234"/>
    <n v="122.8"/>
    <n v="6.18"/>
    <n v="155"/>
    <n v="558"/>
    <n v="508"/>
    <s v="RWD"/>
    <n v="5"/>
    <x v="3"/>
    <n v="33.200000000000003"/>
    <n v="1632"/>
    <x v="1"/>
    <n v="0"/>
    <x v="5"/>
    <x v="2"/>
    <n v="2292"/>
    <n v="3.52"/>
    <n v="4"/>
  </r>
  <r>
    <x v="9"/>
    <s v="Explorer EV"/>
    <x v="3"/>
    <x v="3"/>
    <n v="55304.32"/>
    <n v="58.4"/>
    <n v="191"/>
    <n v="57.8"/>
    <n v="6.03"/>
    <n v="164"/>
    <n v="586"/>
    <n v="492"/>
    <s v="FWD"/>
    <n v="5"/>
    <x v="1"/>
    <n v="66.099999999999994"/>
    <n v="2189"/>
    <x v="1"/>
    <n v="0"/>
    <x v="2"/>
    <x v="1"/>
    <n v="32117"/>
    <n v="3.32"/>
    <n v="4"/>
  </r>
  <r>
    <x v="0"/>
    <s v="ID.4"/>
    <x v="2"/>
    <x v="2"/>
    <n v="67671.59"/>
    <n v="106.9"/>
    <n v="369"/>
    <n v="103.8"/>
    <n v="5.4"/>
    <n v="166"/>
    <n v="714"/>
    <n v="648"/>
    <s v="RWD"/>
    <n v="5"/>
    <x v="1"/>
    <n v="39.1"/>
    <n v="1988"/>
    <x v="0"/>
    <n v="1"/>
    <x v="0"/>
    <x v="2"/>
    <n v="268234"/>
    <n v="3.88"/>
    <n v="4"/>
  </r>
  <r>
    <x v="0"/>
    <s v="ID.5"/>
    <x v="1"/>
    <x v="0"/>
    <n v="46348.56"/>
    <n v="90"/>
    <n v="333"/>
    <n v="203.6"/>
    <n v="3.69"/>
    <n v="188"/>
    <n v="334"/>
    <n v="294"/>
    <s v="RWD"/>
    <n v="5"/>
    <x v="1"/>
    <n v="62.6"/>
    <n v="1513"/>
    <x v="0"/>
    <n v="1"/>
    <x v="0"/>
    <x v="1"/>
    <n v="219975"/>
    <n v="3.79"/>
    <n v="4"/>
  </r>
  <r>
    <x v="2"/>
    <s v="Silverado EV"/>
    <x v="0"/>
    <x v="1"/>
    <n v="41711.199999999997"/>
    <n v="58.9"/>
    <n v="204"/>
    <n v="84.3"/>
    <n v="7.56"/>
    <n v="135"/>
    <n v="378"/>
    <n v="346"/>
    <s v="AWD"/>
    <n v="5"/>
    <x v="3"/>
    <n v="38.799999999999997"/>
    <n v="1502"/>
    <x v="0"/>
    <n v="2"/>
    <x v="2"/>
    <x v="1"/>
    <n v="776"/>
    <n v="3.17"/>
    <n v="4"/>
  </r>
  <r>
    <x v="7"/>
    <s v="Atto 3"/>
    <x v="2"/>
    <x v="2"/>
    <n v="71451.87"/>
    <n v="76.8"/>
    <n v="260"/>
    <n v="148.9"/>
    <n v="5.84"/>
    <n v="166"/>
    <n v="788"/>
    <n v="761"/>
    <s v="RWD"/>
    <n v="5"/>
    <x v="2"/>
    <n v="77.099999999999994"/>
    <n v="1540"/>
    <x v="1"/>
    <n v="2"/>
    <x v="4"/>
    <x v="2"/>
    <n v="111875"/>
    <n v="3.51"/>
    <n v="4"/>
  </r>
  <r>
    <x v="4"/>
    <s v="Cybertruck"/>
    <x v="1"/>
    <x v="2"/>
    <n v="109130.05"/>
    <n v="91.6"/>
    <n v="339"/>
    <n v="207.9"/>
    <n v="5.51"/>
    <n v="160"/>
    <n v="720"/>
    <n v="650"/>
    <s v="FWD"/>
    <n v="7"/>
    <x v="0"/>
    <n v="78"/>
    <n v="2513"/>
    <x v="1"/>
    <n v="3"/>
    <x v="2"/>
    <x v="0"/>
    <n v="161385"/>
    <n v="4.17"/>
    <n v="4"/>
  </r>
  <r>
    <x v="7"/>
    <s v="Dolphin"/>
    <x v="3"/>
    <x v="0"/>
    <n v="30282.11"/>
    <n v="100"/>
    <n v="331"/>
    <n v="243.7"/>
    <n v="2.59"/>
    <n v="200"/>
    <n v="289"/>
    <n v="286"/>
    <s v="RWD"/>
    <n v="7"/>
    <x v="2"/>
    <n v="77.2"/>
    <n v="1897"/>
    <x v="1"/>
    <n v="2"/>
    <x v="4"/>
    <x v="3"/>
    <n v="180781"/>
    <n v="4.04"/>
    <n v="5"/>
  </r>
  <r>
    <x v="7"/>
    <s v="Dolphin"/>
    <x v="3"/>
    <x v="4"/>
    <n v="83813.38"/>
    <n v="70"/>
    <n v="271"/>
    <n v="90.1"/>
    <n v="5.34"/>
    <n v="166"/>
    <n v="960"/>
    <n v="881"/>
    <s v="RWD"/>
    <n v="5"/>
    <x v="1"/>
    <n v="35.9"/>
    <n v="1784"/>
    <x v="2"/>
    <n v="0"/>
    <x v="4"/>
    <x v="2"/>
    <n v="193467"/>
    <n v="3.4"/>
    <n v="5"/>
  </r>
  <r>
    <x v="7"/>
    <s v="Atto 3"/>
    <x v="1"/>
    <x v="2"/>
    <n v="59084.31"/>
    <n v="100.3"/>
    <n v="349"/>
    <n v="128.5"/>
    <n v="4.97"/>
    <n v="182"/>
    <n v="657"/>
    <n v="521"/>
    <s v="FWD"/>
    <n v="7"/>
    <x v="3"/>
    <n v="27.6"/>
    <n v="1597"/>
    <x v="0"/>
    <n v="0"/>
    <x v="4"/>
    <x v="1"/>
    <n v="242445"/>
    <n v="3.57"/>
    <n v="3"/>
  </r>
  <r>
    <x v="7"/>
    <s v="Dolphin"/>
    <x v="4"/>
    <x v="0"/>
    <n v="43985.87"/>
    <n v="97.2"/>
    <n v="348"/>
    <n v="222.4"/>
    <n v="3.07"/>
    <n v="200"/>
    <n v="466"/>
    <n v="418"/>
    <s v="RWD"/>
    <n v="5"/>
    <x v="4"/>
    <n v="24.5"/>
    <n v="1505"/>
    <x v="0"/>
    <n v="1"/>
    <x v="4"/>
    <x v="1"/>
    <n v="213365"/>
    <n v="3.76"/>
    <n v="4"/>
  </r>
  <r>
    <x v="4"/>
    <s v="Model Y"/>
    <x v="2"/>
    <x v="2"/>
    <n v="114549.61"/>
    <n v="101"/>
    <n v="338"/>
    <n v="259.5"/>
    <n v="4.38"/>
    <n v="178"/>
    <n v="800"/>
    <n v="756"/>
    <s v="FWD"/>
    <n v="5"/>
    <x v="4"/>
    <n v="34.299999999999997"/>
    <n v="1663"/>
    <x v="1"/>
    <n v="2"/>
    <x v="2"/>
    <x v="0"/>
    <n v="473485"/>
    <n v="4.07"/>
    <n v="4"/>
  </r>
  <r>
    <x v="4"/>
    <s v="Model Y"/>
    <x v="3"/>
    <x v="0"/>
    <n v="63323.17"/>
    <n v="90.5"/>
    <n v="314"/>
    <n v="256.5"/>
    <n v="3.58"/>
    <n v="195"/>
    <n v="420"/>
    <n v="356"/>
    <s v="RWD"/>
    <n v="7"/>
    <x v="4"/>
    <n v="32.200000000000003"/>
    <n v="1634"/>
    <x v="1"/>
    <n v="3"/>
    <x v="2"/>
    <x v="1"/>
    <n v="404935"/>
    <n v="3.92"/>
    <n v="5"/>
  </r>
  <r>
    <x v="14"/>
    <s v="Taycan"/>
    <x v="2"/>
    <x v="1"/>
    <n v="143428.04999999999"/>
    <n v="66.099999999999994"/>
    <n v="213"/>
    <n v="221.1"/>
    <n v="6.87"/>
    <n v="148"/>
    <n v="640"/>
    <n v="521"/>
    <s v="AWD"/>
    <n v="7"/>
    <x v="4"/>
    <n v="37.200000000000003"/>
    <n v="1500"/>
    <x v="0"/>
    <n v="2"/>
    <x v="0"/>
    <x v="0"/>
    <n v="6555"/>
    <n v="3.83"/>
    <n v="7"/>
  </r>
  <r>
    <x v="0"/>
    <s v="ID. Aero"/>
    <x v="0"/>
    <x v="1"/>
    <n v="60337.62"/>
    <n v="44.2"/>
    <n v="158"/>
    <n v="70.599999999999994"/>
    <n v="5.68"/>
    <n v="175"/>
    <n v="580"/>
    <n v="557"/>
    <s v="RWD"/>
    <n v="7"/>
    <x v="3"/>
    <n v="32"/>
    <n v="1500"/>
    <x v="1"/>
    <n v="1"/>
    <x v="0"/>
    <x v="1"/>
    <n v="201954"/>
    <n v="3.3"/>
    <n v="3"/>
  </r>
  <r>
    <x v="0"/>
    <s v="ID.3"/>
    <x v="0"/>
    <x v="1"/>
    <n v="53064.54"/>
    <n v="68.099999999999994"/>
    <n v="226"/>
    <n v="140.6"/>
    <n v="7.09"/>
    <n v="141"/>
    <n v="464"/>
    <n v="379"/>
    <s v="RWD"/>
    <n v="7"/>
    <x v="0"/>
    <n v="57.8"/>
    <n v="2506"/>
    <x v="2"/>
    <n v="0"/>
    <x v="0"/>
    <x v="1"/>
    <n v="243991"/>
    <n v="3.26"/>
    <n v="4"/>
  </r>
  <r>
    <x v="10"/>
    <s v="i5"/>
    <x v="1"/>
    <x v="0"/>
    <n v="74178.539999999994"/>
    <n v="74"/>
    <n v="257"/>
    <n v="154.19999999999999"/>
    <n v="3.99"/>
    <n v="187"/>
    <n v="386"/>
    <n v="326"/>
    <s v="RWD"/>
    <n v="7"/>
    <x v="4"/>
    <n v="31.7"/>
    <n v="1714"/>
    <x v="1"/>
    <n v="2"/>
    <x v="0"/>
    <x v="2"/>
    <n v="60959"/>
    <n v="3.29"/>
    <n v="5"/>
  </r>
  <r>
    <x v="7"/>
    <s v="Atto 3"/>
    <x v="3"/>
    <x v="2"/>
    <n v="51946.07"/>
    <n v="98.3"/>
    <n v="331"/>
    <n v="87.9"/>
    <n v="4.3499999999999996"/>
    <n v="185"/>
    <n v="593"/>
    <n v="555"/>
    <s v="AWD"/>
    <n v="7"/>
    <x v="5"/>
    <n v="31.7"/>
    <n v="1785"/>
    <x v="1"/>
    <n v="1"/>
    <x v="4"/>
    <x v="1"/>
    <n v="247778"/>
    <n v="3.61"/>
    <n v="3"/>
  </r>
  <r>
    <x v="1"/>
    <s v="bZ Compact SUV"/>
    <x v="2"/>
    <x v="2"/>
    <n v="85221.63"/>
    <n v="86.5"/>
    <n v="314"/>
    <n v="126.8"/>
    <n v="4.78"/>
    <n v="181"/>
    <n v="1000"/>
    <n v="915"/>
    <s v="FWD"/>
    <n v="7"/>
    <x v="1"/>
    <n v="36.6"/>
    <n v="2167"/>
    <x v="0"/>
    <n v="0"/>
    <x v="1"/>
    <x v="2"/>
    <n v="12454"/>
    <n v="3.6"/>
    <n v="4"/>
  </r>
  <r>
    <x v="9"/>
    <s v="E-Transit"/>
    <x v="3"/>
    <x v="4"/>
    <n v="44718.1"/>
    <n v="71.7"/>
    <n v="258"/>
    <n v="59.7"/>
    <n v="6.72"/>
    <n v="157"/>
    <n v="382"/>
    <n v="355"/>
    <s v="FWD"/>
    <n v="7"/>
    <x v="3"/>
    <n v="27.8"/>
    <n v="1523"/>
    <x v="1"/>
    <n v="1"/>
    <x v="2"/>
    <x v="1"/>
    <n v="41551"/>
    <n v="3.51"/>
    <n v="3"/>
  </r>
  <r>
    <x v="4"/>
    <s v="Model X"/>
    <x v="2"/>
    <x v="1"/>
    <n v="57311.05"/>
    <n v="46.2"/>
    <n v="178"/>
    <n v="230.2"/>
    <n v="6.59"/>
    <n v="148"/>
    <n v="371"/>
    <n v="358"/>
    <s v="RWD"/>
    <n v="7"/>
    <x v="3"/>
    <n v="37.6"/>
    <n v="1576"/>
    <x v="1"/>
    <n v="2"/>
    <x v="2"/>
    <x v="1"/>
    <n v="103833"/>
    <n v="3.5"/>
    <n v="5"/>
  </r>
  <r>
    <x v="0"/>
    <s v="ID. Aero"/>
    <x v="3"/>
    <x v="1"/>
    <n v="112803.13"/>
    <n v="81.2"/>
    <n v="297"/>
    <n v="50.1"/>
    <n v="6.05"/>
    <n v="158"/>
    <n v="1000"/>
    <n v="906"/>
    <s v="AWD"/>
    <n v="7"/>
    <x v="0"/>
    <n v="79.8"/>
    <n v="2658"/>
    <x v="0"/>
    <n v="1"/>
    <x v="0"/>
    <x v="0"/>
    <n v="225327"/>
    <n v="3.76"/>
    <n v="3"/>
  </r>
  <r>
    <x v="11"/>
    <s v="e-tron GT"/>
    <x v="3"/>
    <x v="2"/>
    <n v="126392.96000000001"/>
    <n v="109.8"/>
    <n v="384"/>
    <n v="98.7"/>
    <n v="5.26"/>
    <n v="176"/>
    <n v="1000"/>
    <n v="873"/>
    <s v="FWD"/>
    <n v="7"/>
    <x v="5"/>
    <n v="22.8"/>
    <n v="1500"/>
    <x v="0"/>
    <n v="2"/>
    <x v="0"/>
    <x v="0"/>
    <n v="38380"/>
    <n v="4.0199999999999996"/>
    <n v="8"/>
  </r>
  <r>
    <x v="1"/>
    <s v="bZ Compact SUV"/>
    <x v="3"/>
    <x v="1"/>
    <n v="79560.179999999993"/>
    <n v="48.9"/>
    <n v="199"/>
    <n v="81.900000000000006"/>
    <n v="5.34"/>
    <n v="167"/>
    <n v="1000"/>
    <n v="917"/>
    <s v="RWD"/>
    <n v="7"/>
    <x v="1"/>
    <n v="39.299999999999997"/>
    <n v="1681"/>
    <x v="1"/>
    <n v="0"/>
    <x v="1"/>
    <x v="2"/>
    <n v="12847"/>
    <n v="3.03"/>
    <n v="3"/>
  </r>
  <r>
    <x v="8"/>
    <s v="Ioniq"/>
    <x v="3"/>
    <x v="0"/>
    <n v="56648.45"/>
    <n v="77.2"/>
    <n v="256"/>
    <n v="156"/>
    <n v="3.07"/>
    <n v="200"/>
    <n v="651"/>
    <n v="571"/>
    <s v="AWD"/>
    <n v="7"/>
    <x v="0"/>
    <n v="51.4"/>
    <n v="2444"/>
    <x v="0"/>
    <n v="1"/>
    <x v="3"/>
    <x v="1"/>
    <n v="120189"/>
    <n v="3.68"/>
    <n v="3"/>
  </r>
  <r>
    <x v="3"/>
    <s v="EV9"/>
    <x v="5"/>
    <x v="2"/>
    <n v="68589.740000000005"/>
    <n v="83.3"/>
    <n v="269"/>
    <n v="85.1"/>
    <n v="4.04"/>
    <n v="185"/>
    <n v="777"/>
    <n v="693"/>
    <s v="FWD"/>
    <n v="5"/>
    <x v="1"/>
    <n v="66"/>
    <n v="1880"/>
    <x v="1"/>
    <n v="1"/>
    <x v="3"/>
    <x v="2"/>
    <n v="136116"/>
    <n v="3.29"/>
    <n v="3"/>
  </r>
  <r>
    <x v="4"/>
    <s v="Model Y"/>
    <x v="3"/>
    <x v="1"/>
    <n v="126346.84"/>
    <n v="62.5"/>
    <n v="253"/>
    <n v="303.5"/>
    <n v="6.96"/>
    <n v="147"/>
    <n v="888"/>
    <n v="808"/>
    <s v="AWD"/>
    <n v="5"/>
    <x v="1"/>
    <n v="40"/>
    <n v="1955"/>
    <x v="0"/>
    <n v="2"/>
    <x v="2"/>
    <x v="0"/>
    <n v="433007"/>
    <n v="3.92"/>
    <n v="5"/>
  </r>
  <r>
    <x v="15"/>
    <s v="XC40 Recharge"/>
    <x v="3"/>
    <x v="2"/>
    <n v="79465"/>
    <n v="100.9"/>
    <n v="373"/>
    <n v="57.4"/>
    <n v="4.6399999999999997"/>
    <n v="183"/>
    <n v="617"/>
    <n v="519"/>
    <s v="FWD"/>
    <n v="5"/>
    <x v="2"/>
    <n v="70.099999999999994"/>
    <n v="1500"/>
    <x v="1"/>
    <n v="0"/>
    <x v="5"/>
    <x v="2"/>
    <n v="9072"/>
    <n v="4"/>
    <n v="5"/>
  </r>
  <r>
    <x v="7"/>
    <s v="Qin"/>
    <x v="1"/>
    <x v="3"/>
    <n v="51140.49"/>
    <n v="58.3"/>
    <n v="209"/>
    <n v="72.900000000000006"/>
    <n v="5.05"/>
    <n v="182"/>
    <n v="572"/>
    <n v="450"/>
    <s v="AWD"/>
    <n v="5"/>
    <x v="2"/>
    <n v="75.599999999999994"/>
    <n v="1639"/>
    <x v="1"/>
    <n v="0"/>
    <x v="4"/>
    <x v="1"/>
    <n v="122452"/>
    <n v="3.62"/>
    <n v="5"/>
  </r>
  <r>
    <x v="12"/>
    <s v="EL8"/>
    <x v="4"/>
    <x v="2"/>
    <n v="55221.99"/>
    <n v="108.2"/>
    <n v="383"/>
    <n v="59.8"/>
    <n v="4.1900000000000004"/>
    <n v="187"/>
    <n v="328"/>
    <n v="316"/>
    <s v="AWD"/>
    <n v="7"/>
    <x v="4"/>
    <n v="30"/>
    <n v="1742"/>
    <x v="0"/>
    <n v="1"/>
    <x v="4"/>
    <x v="1"/>
    <n v="7302"/>
    <n v="3.7"/>
    <n v="3"/>
  </r>
  <r>
    <x v="10"/>
    <s v="i3"/>
    <x v="2"/>
    <x v="1"/>
    <n v="79371.520000000004"/>
    <n v="75.599999999999994"/>
    <n v="287"/>
    <n v="120.4"/>
    <n v="5.58"/>
    <n v="165"/>
    <n v="455"/>
    <n v="425"/>
    <s v="AWD"/>
    <n v="5"/>
    <x v="3"/>
    <n v="26.8"/>
    <n v="1500"/>
    <x v="1"/>
    <n v="1"/>
    <x v="0"/>
    <x v="2"/>
    <n v="73538"/>
    <n v="3.37"/>
    <n v="6"/>
  </r>
  <r>
    <x v="3"/>
    <s v="Picanto EV"/>
    <x v="2"/>
    <x v="0"/>
    <n v="42779.06"/>
    <n v="92.5"/>
    <n v="294"/>
    <n v="225"/>
    <n v="3.85"/>
    <n v="195"/>
    <n v="378"/>
    <n v="354"/>
    <s v="FWD"/>
    <n v="5"/>
    <x v="1"/>
    <n v="69.8"/>
    <n v="1837"/>
    <x v="0"/>
    <n v="0"/>
    <x v="3"/>
    <x v="1"/>
    <n v="60355"/>
    <n v="3.59"/>
    <n v="5"/>
  </r>
  <r>
    <x v="8"/>
    <s v="Ioniq 6"/>
    <x v="5"/>
    <x v="1"/>
    <n v="56433"/>
    <n v="62.7"/>
    <n v="241"/>
    <n v="133.30000000000001"/>
    <n v="5.85"/>
    <n v="161"/>
    <n v="621"/>
    <n v="572"/>
    <s v="RWD"/>
    <n v="5"/>
    <x v="0"/>
    <n v="51.5"/>
    <n v="2171"/>
    <x v="0"/>
    <n v="0"/>
    <x v="3"/>
    <x v="1"/>
    <n v="82791"/>
    <n v="3.39"/>
    <n v="4"/>
  </r>
  <r>
    <x v="7"/>
    <s v="Atto 3"/>
    <x v="5"/>
    <x v="2"/>
    <n v="27583.09"/>
    <n v="88.1"/>
    <n v="308"/>
    <n v="146.5"/>
    <n v="5.01"/>
    <n v="181"/>
    <n v="239"/>
    <n v="200"/>
    <s v="FWD"/>
    <n v="5"/>
    <x v="0"/>
    <n v="78.900000000000006"/>
    <n v="2795"/>
    <x v="1"/>
    <n v="0"/>
    <x v="4"/>
    <x v="3"/>
    <n v="122434"/>
    <n v="3.77"/>
    <n v="5"/>
  </r>
  <r>
    <x v="4"/>
    <s v="Model S"/>
    <x v="5"/>
    <x v="3"/>
    <n v="58826.879999999997"/>
    <n v="44.1"/>
    <n v="150"/>
    <n v="256"/>
    <n v="7.68"/>
    <n v="133"/>
    <n v="396"/>
    <n v="316"/>
    <s v="FWD"/>
    <n v="7"/>
    <x v="5"/>
    <n v="36.5"/>
    <n v="1518"/>
    <x v="0"/>
    <n v="2"/>
    <x v="2"/>
    <x v="1"/>
    <n v="198300"/>
    <n v="3.51"/>
    <n v="5"/>
  </r>
  <r>
    <x v="7"/>
    <s v="Atto 3"/>
    <x v="2"/>
    <x v="1"/>
    <n v="65610.45"/>
    <n v="55.7"/>
    <n v="208"/>
    <n v="128.30000000000001"/>
    <n v="7.45"/>
    <n v="130"/>
    <n v="719"/>
    <n v="646"/>
    <s v="RWD"/>
    <n v="5"/>
    <x v="5"/>
    <n v="17.399999999999999"/>
    <n v="1707"/>
    <x v="0"/>
    <n v="1"/>
    <x v="4"/>
    <x v="2"/>
    <n v="108967"/>
    <n v="3.37"/>
    <n v="5"/>
  </r>
  <r>
    <x v="4"/>
    <s v="Cybertruck"/>
    <x v="2"/>
    <x v="2"/>
    <n v="71380.399999999994"/>
    <n v="86.4"/>
    <n v="314"/>
    <n v="201.5"/>
    <n v="4.79"/>
    <n v="179"/>
    <n v="495"/>
    <n v="479"/>
    <s v="RWD"/>
    <n v="7"/>
    <x v="0"/>
    <n v="56.2"/>
    <n v="2926"/>
    <x v="1"/>
    <n v="3"/>
    <x v="2"/>
    <x v="2"/>
    <n v="213989"/>
    <n v="3.69"/>
    <n v="4"/>
  </r>
  <r>
    <x v="9"/>
    <s v="F-150 Lightning"/>
    <x v="2"/>
    <x v="1"/>
    <n v="79235.67"/>
    <n v="56.8"/>
    <n v="213"/>
    <n v="107.9"/>
    <n v="7.58"/>
    <n v="142"/>
    <n v="929"/>
    <n v="817"/>
    <s v="AWD"/>
    <n v="2"/>
    <x v="0"/>
    <n v="74.7"/>
    <n v="2579"/>
    <x v="0"/>
    <n v="0"/>
    <x v="2"/>
    <x v="2"/>
    <n v="59746"/>
    <n v="3.32"/>
    <n v="4"/>
  </r>
  <r>
    <x v="7"/>
    <s v="Max"/>
    <x v="2"/>
    <x v="1"/>
    <n v="88218.65"/>
    <n v="54.7"/>
    <n v="210"/>
    <n v="74"/>
    <n v="5.67"/>
    <n v="158"/>
    <n v="1000"/>
    <n v="882"/>
    <s v="AWD"/>
    <n v="7"/>
    <x v="4"/>
    <n v="37.1"/>
    <n v="1709"/>
    <x v="0"/>
    <n v="0"/>
    <x v="4"/>
    <x v="2"/>
    <n v="227690"/>
    <n v="3.41"/>
    <n v="4"/>
  </r>
  <r>
    <x v="4"/>
    <s v="Model S"/>
    <x v="6"/>
    <x v="0"/>
    <n v="164703.81"/>
    <n v="113.2"/>
    <n v="397"/>
    <n v="200.6"/>
    <n v="4.08"/>
    <n v="187"/>
    <n v="1000"/>
    <n v="877"/>
    <s v="RWD"/>
    <n v="7"/>
    <x v="5"/>
    <n v="21.9"/>
    <n v="1900"/>
    <x v="1"/>
    <n v="2"/>
    <x v="2"/>
    <x v="0"/>
    <n v="159470"/>
    <n v="4.1100000000000003"/>
    <n v="4"/>
  </r>
  <r>
    <x v="6"/>
    <s v="Ronin"/>
    <x v="5"/>
    <x v="4"/>
    <n v="93652.94"/>
    <n v="54.5"/>
    <n v="193"/>
    <n v="144.4"/>
    <n v="5.24"/>
    <n v="177"/>
    <n v="823"/>
    <n v="743"/>
    <s v="FWD"/>
    <n v="5"/>
    <x v="5"/>
    <n v="21.3"/>
    <n v="1675"/>
    <x v="2"/>
    <n v="0"/>
    <x v="2"/>
    <x v="2"/>
    <n v="24709"/>
    <n v="3.26"/>
    <n v="5"/>
  </r>
  <r>
    <x v="11"/>
    <s v="e-tron GT"/>
    <x v="2"/>
    <x v="0"/>
    <n v="121871.7"/>
    <n v="86.2"/>
    <n v="305"/>
    <n v="248"/>
    <n v="2.63"/>
    <n v="200"/>
    <n v="1000"/>
    <n v="889"/>
    <s v="AWD"/>
    <n v="5"/>
    <x v="2"/>
    <n v="71.599999999999994"/>
    <n v="1664"/>
    <x v="1"/>
    <n v="2"/>
    <x v="0"/>
    <x v="0"/>
    <n v="31338"/>
    <n v="3.61"/>
    <n v="7"/>
  </r>
  <r>
    <x v="13"/>
    <s v="R1S"/>
    <x v="1"/>
    <x v="1"/>
    <n v="102878.64"/>
    <n v="67.400000000000006"/>
    <n v="249"/>
    <n v="56.8"/>
    <n v="6.37"/>
    <n v="161"/>
    <n v="1000"/>
    <n v="930"/>
    <s v="AWD"/>
    <n v="5"/>
    <x v="5"/>
    <n v="39.700000000000003"/>
    <n v="1640"/>
    <x v="1"/>
    <n v="0"/>
    <x v="2"/>
    <x v="0"/>
    <n v="27062"/>
    <n v="3.19"/>
    <n v="5"/>
  </r>
  <r>
    <x v="15"/>
    <s v="XC90 Recharge"/>
    <x v="1"/>
    <x v="0"/>
    <n v="74428.14"/>
    <n v="86.1"/>
    <n v="316"/>
    <n v="151.1"/>
    <n v="3.78"/>
    <n v="191"/>
    <n v="584"/>
    <n v="519"/>
    <s v="RWD"/>
    <n v="5"/>
    <x v="0"/>
    <n v="74.099999999999994"/>
    <n v="2794"/>
    <x v="1"/>
    <n v="2"/>
    <x v="5"/>
    <x v="2"/>
    <n v="3031"/>
    <n v="3.51"/>
    <n v="3"/>
  </r>
  <r>
    <x v="4"/>
    <s v="Model 3"/>
    <x v="5"/>
    <x v="0"/>
    <n v="112274.6"/>
    <n v="73.599999999999994"/>
    <n v="242"/>
    <n v="325.8"/>
    <n v="4.0199999999999996"/>
    <n v="190"/>
    <n v="781"/>
    <n v="662"/>
    <s v="AWD"/>
    <n v="7"/>
    <x v="3"/>
    <n v="18.3"/>
    <n v="1825"/>
    <x v="0"/>
    <n v="2"/>
    <x v="2"/>
    <x v="0"/>
    <n v="193133"/>
    <n v="3.85"/>
    <n v="5"/>
  </r>
  <r>
    <x v="0"/>
    <s v="ID. Buzz"/>
    <x v="3"/>
    <x v="2"/>
    <n v="97039.06"/>
    <n v="100.7"/>
    <n v="357"/>
    <n v="140.30000000000001"/>
    <n v="4.1100000000000003"/>
    <n v="191"/>
    <n v="1000"/>
    <n v="891"/>
    <s v="FWD"/>
    <n v="5"/>
    <x v="4"/>
    <n v="21.4"/>
    <n v="1712"/>
    <x v="0"/>
    <n v="1"/>
    <x v="0"/>
    <x v="2"/>
    <n v="224398"/>
    <n v="3.79"/>
    <n v="3"/>
  </r>
  <r>
    <x v="2"/>
    <s v="Silverado EV"/>
    <x v="4"/>
    <x v="1"/>
    <n v="53395.89"/>
    <n v="42.6"/>
    <n v="150"/>
    <n v="144.9"/>
    <n v="6.26"/>
    <n v="163"/>
    <n v="624"/>
    <n v="587"/>
    <s v="AWD"/>
    <n v="5"/>
    <x v="5"/>
    <n v="32"/>
    <n v="1519"/>
    <x v="0"/>
    <n v="1"/>
    <x v="2"/>
    <x v="1"/>
    <n v="1550"/>
    <n v="3.22"/>
    <n v="4"/>
  </r>
  <r>
    <x v="2"/>
    <s v="Blazer EV"/>
    <x v="3"/>
    <x v="1"/>
    <n v="80502.600000000006"/>
    <n v="78.599999999999994"/>
    <n v="262"/>
    <n v="121.3"/>
    <n v="5.67"/>
    <n v="176"/>
    <n v="1000"/>
    <n v="888"/>
    <s v="RWD"/>
    <n v="5"/>
    <x v="5"/>
    <n v="32.5"/>
    <n v="1721"/>
    <x v="2"/>
    <n v="0"/>
    <x v="2"/>
    <x v="2"/>
    <n v="14992"/>
    <n v="3.62"/>
    <n v="4"/>
  </r>
  <r>
    <x v="4"/>
    <s v="Model 3"/>
    <x v="3"/>
    <x v="2"/>
    <n v="31639.64"/>
    <n v="77.2"/>
    <n v="287"/>
    <n v="221.7"/>
    <n v="5.1100000000000003"/>
    <n v="172"/>
    <n v="168"/>
    <n v="200"/>
    <s v="FWD"/>
    <n v="7"/>
    <x v="4"/>
    <n v="37.299999999999997"/>
    <n v="1602"/>
    <x v="1"/>
    <n v="2"/>
    <x v="2"/>
    <x v="3"/>
    <n v="146342"/>
    <n v="4"/>
    <n v="4"/>
  </r>
  <r>
    <x v="9"/>
    <s v="F-150 Lightning"/>
    <x v="0"/>
    <x v="0"/>
    <n v="69526.3"/>
    <n v="114.5"/>
    <n v="415"/>
    <n v="202.7"/>
    <n v="2.68"/>
    <n v="200"/>
    <n v="822"/>
    <n v="735"/>
    <s v="AWD"/>
    <n v="2"/>
    <x v="0"/>
    <n v="57.7"/>
    <n v="2445"/>
    <x v="1"/>
    <n v="2"/>
    <x v="2"/>
    <x v="2"/>
    <n v="23821"/>
    <n v="3.84"/>
    <n v="3"/>
  </r>
  <r>
    <x v="7"/>
    <s v="Atto 3"/>
    <x v="3"/>
    <x v="0"/>
    <n v="81358.02"/>
    <n v="82.4"/>
    <n v="282"/>
    <n v="193.2"/>
    <n v="3.65"/>
    <n v="195"/>
    <n v="889"/>
    <n v="778"/>
    <s v="AWD"/>
    <n v="5"/>
    <x v="5"/>
    <n v="22.8"/>
    <n v="1500"/>
    <x v="0"/>
    <n v="1"/>
    <x v="4"/>
    <x v="2"/>
    <n v="108251"/>
    <n v="3.65"/>
    <n v="4"/>
  </r>
  <r>
    <x v="7"/>
    <s v="Qin"/>
    <x v="5"/>
    <x v="3"/>
    <n v="45158.26"/>
    <n v="84"/>
    <n v="315"/>
    <n v="53"/>
    <n v="7.08"/>
    <n v="140"/>
    <n v="469"/>
    <n v="441"/>
    <s v="AWD"/>
    <n v="5"/>
    <x v="1"/>
    <n v="49.5"/>
    <n v="1873"/>
    <x v="1"/>
    <n v="1"/>
    <x v="4"/>
    <x v="1"/>
    <n v="119766"/>
    <n v="3.6"/>
    <n v="4"/>
  </r>
  <r>
    <x v="8"/>
    <s v="Ioniq"/>
    <x v="0"/>
    <x v="4"/>
    <n v="73470.2"/>
    <n v="61.6"/>
    <n v="217"/>
    <n v="144.30000000000001"/>
    <n v="6.2"/>
    <n v="167"/>
    <n v="902"/>
    <n v="779"/>
    <s v="RWD"/>
    <n v="5"/>
    <x v="0"/>
    <n v="66.3"/>
    <n v="2647"/>
    <x v="1"/>
    <n v="1"/>
    <x v="3"/>
    <x v="2"/>
    <n v="142666"/>
    <n v="3.15"/>
    <n v="4"/>
  </r>
  <r>
    <x v="3"/>
    <s v="Sportage EV"/>
    <x v="2"/>
    <x v="4"/>
    <n v="31797.34"/>
    <n v="45.6"/>
    <n v="150"/>
    <n v="78.7"/>
    <n v="6.94"/>
    <n v="145"/>
    <n v="233"/>
    <n v="200"/>
    <s v="FWD"/>
    <n v="5"/>
    <x v="1"/>
    <n v="37.6"/>
    <n v="2224"/>
    <x v="0"/>
    <n v="0"/>
    <x v="3"/>
    <x v="3"/>
    <n v="131619"/>
    <n v="3.27"/>
    <n v="3"/>
  </r>
  <r>
    <x v="3"/>
    <s v="EV9"/>
    <x v="1"/>
    <x v="2"/>
    <n v="73675.86"/>
    <n v="96"/>
    <n v="333"/>
    <n v="92.8"/>
    <n v="4.4800000000000004"/>
    <n v="183"/>
    <n v="868"/>
    <n v="792"/>
    <s v="AWD"/>
    <n v="5"/>
    <x v="1"/>
    <n v="43.9"/>
    <n v="1945"/>
    <x v="1"/>
    <n v="2"/>
    <x v="3"/>
    <x v="2"/>
    <n v="89937"/>
    <n v="3.58"/>
    <n v="3"/>
  </r>
  <r>
    <x v="4"/>
    <s v="Model S"/>
    <x v="0"/>
    <x v="0"/>
    <n v="105706.18"/>
    <n v="114.7"/>
    <n v="391"/>
    <n v="331.8"/>
    <n v="2.63"/>
    <n v="200"/>
    <n v="742"/>
    <n v="663"/>
    <s v="RWD"/>
    <n v="5"/>
    <x v="4"/>
    <n v="37.9"/>
    <n v="1802"/>
    <x v="2"/>
    <n v="2"/>
    <x v="2"/>
    <x v="0"/>
    <n v="247669"/>
    <n v="4.2"/>
    <n v="5"/>
  </r>
  <r>
    <x v="11"/>
    <s v="e-tron"/>
    <x v="2"/>
    <x v="2"/>
    <n v="123736.19"/>
    <n v="81.7"/>
    <n v="310"/>
    <n v="113.3"/>
    <n v="5.2"/>
    <n v="174"/>
    <n v="965"/>
    <n v="897"/>
    <s v="FWD"/>
    <n v="5"/>
    <x v="4"/>
    <n v="33.700000000000003"/>
    <n v="1758"/>
    <x v="1"/>
    <n v="1"/>
    <x v="0"/>
    <x v="0"/>
    <n v="45413"/>
    <n v="3.78"/>
    <n v="6"/>
  </r>
  <r>
    <x v="7"/>
    <s v="Dolphin"/>
    <x v="3"/>
    <x v="3"/>
    <n v="73207.320000000007"/>
    <n v="69.3"/>
    <n v="232"/>
    <n v="84.9"/>
    <n v="6.7"/>
    <n v="152"/>
    <n v="814"/>
    <n v="744"/>
    <s v="AWD"/>
    <n v="5"/>
    <x v="3"/>
    <n v="34.9"/>
    <n v="1500"/>
    <x v="0"/>
    <n v="0"/>
    <x v="4"/>
    <x v="2"/>
    <n v="205374"/>
    <n v="3.21"/>
    <n v="4"/>
  </r>
  <r>
    <x v="4"/>
    <s v="Model S"/>
    <x v="0"/>
    <x v="4"/>
    <n v="95125.11"/>
    <n v="45.3"/>
    <n v="150"/>
    <n v="285.89999999999998"/>
    <n v="7.3"/>
    <n v="135"/>
    <n v="730"/>
    <n v="670"/>
    <s v="AWD"/>
    <n v="7"/>
    <x v="3"/>
    <n v="36.4"/>
    <n v="1713"/>
    <x v="2"/>
    <n v="3"/>
    <x v="2"/>
    <x v="2"/>
    <n v="116755"/>
    <n v="3.27"/>
    <n v="5"/>
  </r>
  <r>
    <x v="11"/>
    <s v="e-tron GT"/>
    <x v="0"/>
    <x v="2"/>
    <n v="64643.29"/>
    <n v="83.8"/>
    <n v="293"/>
    <n v="113"/>
    <n v="5.39"/>
    <n v="173"/>
    <n v="269"/>
    <n v="202"/>
    <s v="FWD"/>
    <n v="5"/>
    <x v="1"/>
    <n v="53"/>
    <n v="2231"/>
    <x v="1"/>
    <n v="2"/>
    <x v="0"/>
    <x v="1"/>
    <n v="67458"/>
    <n v="3.6"/>
    <n v="5"/>
  </r>
  <r>
    <x v="1"/>
    <s v="bZ4X"/>
    <x v="1"/>
    <x v="3"/>
    <n v="35115.72"/>
    <n v="61.4"/>
    <n v="238"/>
    <n v="145.30000000000001"/>
    <n v="7.26"/>
    <n v="138"/>
    <n v="150"/>
    <n v="200"/>
    <s v="FWD"/>
    <n v="5"/>
    <x v="3"/>
    <n v="34.200000000000003"/>
    <n v="1689"/>
    <x v="0"/>
    <n v="0"/>
    <x v="1"/>
    <x v="1"/>
    <n v="3528"/>
    <n v="3.67"/>
    <n v="3"/>
  </r>
  <r>
    <x v="5"/>
    <s v="EQE"/>
    <x v="3"/>
    <x v="1"/>
    <n v="112650.99"/>
    <n v="53.9"/>
    <n v="165"/>
    <n v="122.5"/>
    <n v="6.48"/>
    <n v="148"/>
    <n v="587"/>
    <n v="561"/>
    <s v="RWD"/>
    <n v="7"/>
    <x v="1"/>
    <n v="69.599999999999994"/>
    <n v="2158"/>
    <x v="0"/>
    <n v="2"/>
    <x v="0"/>
    <x v="0"/>
    <n v="79068"/>
    <n v="3.36"/>
    <n v="6"/>
  </r>
  <r>
    <x v="9"/>
    <s v="Explorer EV"/>
    <x v="2"/>
    <x v="1"/>
    <n v="80541.59"/>
    <n v="73.3"/>
    <n v="280"/>
    <n v="80.3"/>
    <n v="7.12"/>
    <n v="141"/>
    <n v="984"/>
    <n v="864"/>
    <s v="RWD"/>
    <n v="7"/>
    <x v="4"/>
    <n v="30.1"/>
    <n v="1500"/>
    <x v="1"/>
    <n v="0"/>
    <x v="2"/>
    <x v="2"/>
    <n v="37698"/>
    <n v="3.44"/>
    <n v="3"/>
  </r>
  <r>
    <x v="10"/>
    <s v="i4"/>
    <x v="1"/>
    <x v="4"/>
    <n v="99869.64"/>
    <n v="50.6"/>
    <n v="193"/>
    <n v="90.9"/>
    <n v="7.8"/>
    <n v="135"/>
    <n v="812"/>
    <n v="735"/>
    <s v="AWD"/>
    <n v="5"/>
    <x v="4"/>
    <n v="37.700000000000003"/>
    <n v="1807"/>
    <x v="0"/>
    <n v="2"/>
    <x v="0"/>
    <x v="2"/>
    <n v="76842"/>
    <n v="3.62"/>
    <n v="5"/>
  </r>
  <r>
    <x v="3"/>
    <s v="Picanto EV"/>
    <x v="4"/>
    <x v="0"/>
    <n v="106510.25"/>
    <n v="75.099999999999994"/>
    <n v="275"/>
    <n v="220.3"/>
    <n v="3.27"/>
    <n v="200"/>
    <n v="1000"/>
    <n v="847"/>
    <s v="AWD"/>
    <n v="7"/>
    <x v="2"/>
    <n v="72.8"/>
    <n v="1618"/>
    <x v="1"/>
    <n v="0"/>
    <x v="3"/>
    <x v="0"/>
    <n v="120403"/>
    <n v="3.37"/>
    <n v="3"/>
  </r>
  <r>
    <x v="4"/>
    <s v="Model S"/>
    <x v="3"/>
    <x v="4"/>
    <n v="58831.27"/>
    <n v="45"/>
    <n v="150"/>
    <n v="213"/>
    <n v="7.32"/>
    <n v="147"/>
    <n v="431"/>
    <n v="362"/>
    <s v="FWD"/>
    <n v="5"/>
    <x v="5"/>
    <n v="17.7"/>
    <n v="1837"/>
    <x v="1"/>
    <n v="2"/>
    <x v="2"/>
    <x v="1"/>
    <n v="150860"/>
    <n v="3.42"/>
    <n v="5"/>
  </r>
  <r>
    <x v="0"/>
    <s v="ID.3"/>
    <x v="3"/>
    <x v="2"/>
    <n v="70858.100000000006"/>
    <n v="90.5"/>
    <n v="274"/>
    <n v="104.1"/>
    <n v="5.78"/>
    <n v="163"/>
    <n v="786"/>
    <n v="732"/>
    <s v="FWD"/>
    <n v="7"/>
    <x v="0"/>
    <n v="78.900000000000006"/>
    <n v="2795"/>
    <x v="1"/>
    <n v="2"/>
    <x v="0"/>
    <x v="2"/>
    <n v="251846"/>
    <n v="3.59"/>
    <n v="4"/>
  </r>
  <r>
    <x v="0"/>
    <s v="ID. Buzz"/>
    <x v="2"/>
    <x v="4"/>
    <n v="46173.34"/>
    <n v="51.5"/>
    <n v="190"/>
    <n v="131.5"/>
    <n v="6.36"/>
    <n v="148"/>
    <n v="394"/>
    <n v="352"/>
    <s v="AWD"/>
    <n v="5"/>
    <x v="5"/>
    <n v="18.7"/>
    <n v="1533"/>
    <x v="1"/>
    <n v="0"/>
    <x v="0"/>
    <x v="1"/>
    <n v="274696"/>
    <n v="3.4"/>
    <n v="3"/>
  </r>
  <r>
    <x v="7"/>
    <s v="Yuan Plus"/>
    <x v="3"/>
    <x v="3"/>
    <n v="73712.39"/>
    <n v="44.1"/>
    <n v="173"/>
    <n v="145.80000000000001"/>
    <n v="7.94"/>
    <n v="126"/>
    <n v="781"/>
    <n v="718"/>
    <s v="AWD"/>
    <n v="7"/>
    <x v="5"/>
    <n v="29.9"/>
    <n v="1812"/>
    <x v="0"/>
    <n v="0"/>
    <x v="4"/>
    <x v="2"/>
    <n v="243890"/>
    <n v="3.08"/>
    <n v="4"/>
  </r>
  <r>
    <x v="2"/>
    <s v="Silverado EV"/>
    <x v="0"/>
    <x v="1"/>
    <n v="73891.199999999997"/>
    <n v="45"/>
    <n v="150"/>
    <n v="95.2"/>
    <n v="7.9"/>
    <n v="134"/>
    <n v="1000"/>
    <n v="883"/>
    <s v="AWD"/>
    <n v="5"/>
    <x v="1"/>
    <n v="65.5"/>
    <n v="1762"/>
    <x v="1"/>
    <n v="1"/>
    <x v="2"/>
    <x v="2"/>
    <n v="7223"/>
    <n v="3.41"/>
    <n v="4"/>
  </r>
  <r>
    <x v="8"/>
    <s v="Ioniq"/>
    <x v="3"/>
    <x v="4"/>
    <n v="65291.37"/>
    <n v="83.7"/>
    <n v="283"/>
    <n v="74.5"/>
    <n v="6.79"/>
    <n v="150"/>
    <n v="754"/>
    <n v="610"/>
    <s v="RWD"/>
    <n v="5"/>
    <x v="2"/>
    <n v="68.8"/>
    <n v="1742"/>
    <x v="1"/>
    <n v="2"/>
    <x v="3"/>
    <x v="2"/>
    <n v="99183"/>
    <n v="3.55"/>
    <n v="3"/>
  </r>
  <r>
    <x v="4"/>
    <s v="Model Y"/>
    <x v="2"/>
    <x v="1"/>
    <n v="137035.03"/>
    <n v="58.5"/>
    <n v="224"/>
    <n v="212.5"/>
    <n v="6.59"/>
    <n v="151"/>
    <n v="984"/>
    <n v="852"/>
    <s v="RWD"/>
    <n v="5"/>
    <x v="3"/>
    <n v="30.3"/>
    <n v="1769"/>
    <x v="0"/>
    <n v="3"/>
    <x v="2"/>
    <x v="0"/>
    <n v="429314"/>
    <n v="3.65"/>
    <n v="4"/>
  </r>
  <r>
    <x v="7"/>
    <s v="Yuan Plus"/>
    <x v="0"/>
    <x v="3"/>
    <n v="36015.660000000003"/>
    <n v="52.4"/>
    <n v="178"/>
    <n v="74.599999999999994"/>
    <n v="6.02"/>
    <n v="160"/>
    <n v="377"/>
    <n v="393"/>
    <s v="RWD"/>
    <n v="5"/>
    <x v="1"/>
    <n v="36.200000000000003"/>
    <n v="2000"/>
    <x v="1"/>
    <n v="2"/>
    <x v="4"/>
    <x v="1"/>
    <n v="143487"/>
    <n v="3.37"/>
    <n v="4"/>
  </r>
  <r>
    <x v="10"/>
    <s v="i4"/>
    <x v="2"/>
    <x v="4"/>
    <n v="96459.23"/>
    <n v="81"/>
    <n v="288"/>
    <n v="96.7"/>
    <n v="7.78"/>
    <n v="121"/>
    <n v="788"/>
    <n v="724"/>
    <s v="AWD"/>
    <n v="7"/>
    <x v="0"/>
    <n v="50.7"/>
    <n v="2534"/>
    <x v="0"/>
    <n v="2"/>
    <x v="0"/>
    <x v="2"/>
    <n v="64056"/>
    <n v="3.51"/>
    <n v="5"/>
  </r>
  <r>
    <x v="4"/>
    <s v="Cybertruck"/>
    <x v="3"/>
    <x v="3"/>
    <n v="64862.04"/>
    <n v="68.099999999999994"/>
    <n v="237"/>
    <n v="321.3"/>
    <n v="7.35"/>
    <n v="145"/>
    <n v="455"/>
    <n v="329"/>
    <s v="RWD"/>
    <n v="5"/>
    <x v="0"/>
    <n v="76.7"/>
    <n v="2349"/>
    <x v="1"/>
    <n v="2"/>
    <x v="2"/>
    <x v="1"/>
    <n v="237113"/>
    <n v="3.85"/>
    <n v="5"/>
  </r>
  <r>
    <x v="5"/>
    <s v="EQS"/>
    <x v="3"/>
    <x v="4"/>
    <n v="131964.76"/>
    <n v="47"/>
    <n v="157"/>
    <n v="136.5"/>
    <n v="5.89"/>
    <n v="160"/>
    <n v="817"/>
    <n v="752"/>
    <s v="RWD"/>
    <n v="5"/>
    <x v="4"/>
    <n v="26.2"/>
    <n v="1776"/>
    <x v="0"/>
    <n v="1"/>
    <x v="0"/>
    <x v="0"/>
    <n v="62952"/>
    <n v="3.64"/>
    <n v="6"/>
  </r>
  <r>
    <x v="8"/>
    <s v="Kona Electric"/>
    <x v="2"/>
    <x v="1"/>
    <n v="97251.62"/>
    <n v="60.7"/>
    <n v="196"/>
    <n v="79.8"/>
    <n v="6.87"/>
    <n v="148"/>
    <n v="1000"/>
    <n v="936"/>
    <s v="AWD"/>
    <n v="5"/>
    <x v="1"/>
    <n v="69.3"/>
    <n v="2108"/>
    <x v="1"/>
    <n v="1"/>
    <x v="3"/>
    <x v="2"/>
    <n v="59030"/>
    <n v="3.11"/>
    <n v="4"/>
  </r>
  <r>
    <x v="8"/>
    <s v="i30"/>
    <x v="2"/>
    <x v="2"/>
    <n v="63320.42"/>
    <n v="102.7"/>
    <n v="353"/>
    <n v="56"/>
    <n v="5.85"/>
    <n v="160"/>
    <n v="723"/>
    <n v="634"/>
    <s v="FWD"/>
    <n v="7"/>
    <x v="5"/>
    <n v="33"/>
    <n v="1930"/>
    <x v="1"/>
    <n v="1"/>
    <x v="3"/>
    <x v="1"/>
    <n v="132537"/>
    <n v="3.75"/>
    <n v="3"/>
  </r>
  <r>
    <x v="3"/>
    <s v="EV9"/>
    <x v="0"/>
    <x v="4"/>
    <n v="63386.57"/>
    <n v="61.3"/>
    <n v="218"/>
    <n v="117.8"/>
    <n v="5.51"/>
    <n v="167"/>
    <n v="725"/>
    <n v="679"/>
    <s v="RWD"/>
    <n v="5"/>
    <x v="1"/>
    <n v="69.599999999999994"/>
    <n v="2057"/>
    <x v="1"/>
    <n v="0"/>
    <x v="3"/>
    <x v="1"/>
    <n v="97503"/>
    <n v="3.22"/>
    <n v="5"/>
  </r>
  <r>
    <x v="5"/>
    <s v="EQE"/>
    <x v="4"/>
    <x v="4"/>
    <n v="115665.62"/>
    <n v="57.4"/>
    <n v="162"/>
    <n v="116.6"/>
    <n v="5.16"/>
    <n v="169"/>
    <n v="608"/>
    <n v="588"/>
    <s v="RWD"/>
    <n v="7"/>
    <x v="3"/>
    <n v="39.799999999999997"/>
    <n v="1500"/>
    <x v="0"/>
    <n v="1"/>
    <x v="0"/>
    <x v="0"/>
    <n v="25083"/>
    <n v="3.26"/>
    <n v="7"/>
  </r>
  <r>
    <x v="7"/>
    <s v="Dolphin"/>
    <x v="1"/>
    <x v="4"/>
    <n v="30805.35"/>
    <n v="40"/>
    <n v="150"/>
    <n v="107.8"/>
    <n v="7.18"/>
    <n v="141"/>
    <n v="377"/>
    <n v="392"/>
    <s v="RWD"/>
    <n v="7"/>
    <x v="0"/>
    <n v="68.099999999999994"/>
    <n v="2193"/>
    <x v="1"/>
    <n v="1"/>
    <x v="4"/>
    <x v="3"/>
    <n v="133529"/>
    <n v="3.4"/>
    <n v="3"/>
  </r>
  <r>
    <x v="10"/>
    <s v="i4"/>
    <x v="5"/>
    <x v="1"/>
    <n v="103491.15"/>
    <n v="48.4"/>
    <n v="152"/>
    <n v="97"/>
    <n v="7.03"/>
    <n v="147"/>
    <n v="887"/>
    <n v="802"/>
    <s v="AWD"/>
    <n v="5"/>
    <x v="5"/>
    <n v="35.200000000000003"/>
    <n v="1837"/>
    <x v="1"/>
    <n v="2"/>
    <x v="0"/>
    <x v="0"/>
    <n v="42817"/>
    <n v="3.39"/>
    <n v="7"/>
  </r>
  <r>
    <x v="3"/>
    <s v="Niro EV"/>
    <x v="5"/>
    <x v="2"/>
    <n v="67363.850000000006"/>
    <n v="101"/>
    <n v="376"/>
    <n v="95.1"/>
    <n v="5.97"/>
    <n v="160"/>
    <n v="740"/>
    <n v="658"/>
    <s v="FWD"/>
    <n v="5"/>
    <x v="1"/>
    <n v="53.4"/>
    <n v="2072"/>
    <x v="2"/>
    <n v="1"/>
    <x v="3"/>
    <x v="2"/>
    <n v="128059"/>
    <n v="3.95"/>
    <n v="4"/>
  </r>
  <r>
    <x v="7"/>
    <s v="Seagull"/>
    <x v="3"/>
    <x v="4"/>
    <n v="37099.25"/>
    <n v="64.7"/>
    <n v="205"/>
    <n v="132.69999999999999"/>
    <n v="5.49"/>
    <n v="171"/>
    <n v="393"/>
    <n v="350"/>
    <s v="AWD"/>
    <n v="5"/>
    <x v="3"/>
    <n v="19"/>
    <n v="1783"/>
    <x v="1"/>
    <n v="0"/>
    <x v="4"/>
    <x v="1"/>
    <n v="163441"/>
    <n v="3.69"/>
    <n v="4"/>
  </r>
  <r>
    <x v="11"/>
    <s v="Q4 e-tron"/>
    <x v="3"/>
    <x v="4"/>
    <n v="55204.45"/>
    <n v="65.400000000000006"/>
    <n v="223"/>
    <n v="116.2"/>
    <n v="5.47"/>
    <n v="164"/>
    <n v="243"/>
    <n v="200"/>
    <s v="FWD"/>
    <n v="5"/>
    <x v="3"/>
    <n v="31.1"/>
    <n v="1500"/>
    <x v="0"/>
    <n v="1"/>
    <x v="0"/>
    <x v="1"/>
    <n v="48087"/>
    <n v="3.24"/>
    <n v="7"/>
  </r>
  <r>
    <x v="9"/>
    <s v="E-Transit"/>
    <x v="3"/>
    <x v="4"/>
    <n v="63604.01"/>
    <n v="40"/>
    <n v="150"/>
    <n v="81.2"/>
    <n v="6.78"/>
    <n v="148"/>
    <n v="705"/>
    <n v="676"/>
    <s v="FWD"/>
    <n v="5"/>
    <x v="3"/>
    <n v="15.9"/>
    <n v="1508"/>
    <x v="0"/>
    <n v="1"/>
    <x v="2"/>
    <x v="1"/>
    <n v="36824"/>
    <n v="3.23"/>
    <n v="4"/>
  </r>
  <r>
    <x v="10"/>
    <s v="iX"/>
    <x v="0"/>
    <x v="0"/>
    <n v="101590.86"/>
    <n v="116.4"/>
    <n v="426"/>
    <n v="201.3"/>
    <n v="4.3499999999999996"/>
    <n v="174"/>
    <n v="818"/>
    <n v="765"/>
    <s v="RWD"/>
    <n v="7"/>
    <x v="2"/>
    <n v="78"/>
    <n v="1688"/>
    <x v="1"/>
    <n v="2"/>
    <x v="0"/>
    <x v="0"/>
    <n v="73116"/>
    <n v="3.97"/>
    <n v="5"/>
  </r>
  <r>
    <x v="5"/>
    <s v="GLE EV"/>
    <x v="2"/>
    <x v="3"/>
    <n v="62600.82"/>
    <n v="55.9"/>
    <n v="179"/>
    <n v="122"/>
    <n v="7.46"/>
    <n v="145"/>
    <n v="160"/>
    <n v="205"/>
    <s v="AWD"/>
    <n v="5"/>
    <x v="2"/>
    <n v="75.3"/>
    <n v="1500"/>
    <x v="2"/>
    <n v="2"/>
    <x v="0"/>
    <x v="1"/>
    <n v="69358"/>
    <n v="3.66"/>
    <n v="7"/>
  </r>
  <r>
    <x v="5"/>
    <s v="EQS"/>
    <x v="3"/>
    <x v="4"/>
    <n v="99348.31"/>
    <n v="48.9"/>
    <n v="189"/>
    <n v="54.9"/>
    <n v="6.79"/>
    <n v="150"/>
    <n v="535"/>
    <n v="532"/>
    <s v="FWD"/>
    <n v="7"/>
    <x v="4"/>
    <n v="25.6"/>
    <n v="1578"/>
    <x v="0"/>
    <n v="1"/>
    <x v="0"/>
    <x v="2"/>
    <n v="79812"/>
    <n v="3.77"/>
    <n v="7"/>
  </r>
  <r>
    <x v="2"/>
    <s v="Bolt EUV"/>
    <x v="4"/>
    <x v="3"/>
    <n v="40119.64"/>
    <n v="79"/>
    <n v="282"/>
    <n v="117.9"/>
    <n v="6.97"/>
    <n v="141"/>
    <n v="451"/>
    <n v="389"/>
    <s v="AWD"/>
    <n v="5"/>
    <x v="1"/>
    <n v="46.1"/>
    <n v="1980"/>
    <x v="1"/>
    <n v="1"/>
    <x v="2"/>
    <x v="1"/>
    <n v="25340"/>
    <n v="3.36"/>
    <n v="4"/>
  </r>
  <r>
    <x v="5"/>
    <s v="EQC"/>
    <x v="3"/>
    <x v="3"/>
    <n v="124226.17"/>
    <n v="74.2"/>
    <n v="253"/>
    <n v="77.2"/>
    <n v="5.89"/>
    <n v="164"/>
    <n v="687"/>
    <n v="619"/>
    <s v="FWD"/>
    <n v="5"/>
    <x v="1"/>
    <n v="63.1"/>
    <n v="1728"/>
    <x v="0"/>
    <n v="2"/>
    <x v="0"/>
    <x v="0"/>
    <n v="40173"/>
    <n v="3.67"/>
    <n v="8"/>
  </r>
  <r>
    <x v="2"/>
    <s v="Blazer EV"/>
    <x v="3"/>
    <x v="3"/>
    <n v="34616.61"/>
    <n v="73.900000000000006"/>
    <n v="287"/>
    <n v="116.2"/>
    <n v="5.33"/>
    <n v="167"/>
    <n v="306"/>
    <n v="303"/>
    <s v="RWD"/>
    <n v="5"/>
    <x v="4"/>
    <n v="15"/>
    <n v="1685"/>
    <x v="0"/>
    <n v="0"/>
    <x v="2"/>
    <x v="3"/>
    <n v="24423"/>
    <n v="3.83"/>
    <n v="4"/>
  </r>
  <r>
    <x v="10"/>
    <s v="i7"/>
    <x v="4"/>
    <x v="2"/>
    <n v="75380.59"/>
    <n v="109"/>
    <n v="366"/>
    <n v="90.6"/>
    <n v="4.66"/>
    <n v="181"/>
    <n v="482"/>
    <n v="442"/>
    <s v="FWD"/>
    <n v="7"/>
    <x v="1"/>
    <n v="36.9"/>
    <n v="2165"/>
    <x v="0"/>
    <n v="1"/>
    <x v="0"/>
    <x v="2"/>
    <n v="62356"/>
    <n v="3.91"/>
    <n v="7"/>
  </r>
  <r>
    <x v="3"/>
    <s v="EV9"/>
    <x v="4"/>
    <x v="4"/>
    <n v="32210.63"/>
    <n v="78.099999999999994"/>
    <n v="270"/>
    <n v="121.5"/>
    <n v="7.59"/>
    <n v="137"/>
    <n v="210"/>
    <n v="200"/>
    <s v="RWD"/>
    <n v="7"/>
    <x v="1"/>
    <n v="48.2"/>
    <n v="1957"/>
    <x v="1"/>
    <n v="0"/>
    <x v="3"/>
    <x v="3"/>
    <n v="60096"/>
    <n v="3.21"/>
    <n v="5"/>
  </r>
  <r>
    <x v="2"/>
    <s v="Silverado EV"/>
    <x v="5"/>
    <x v="1"/>
    <n v="68395.009999999995"/>
    <n v="46"/>
    <n v="165"/>
    <n v="142.4"/>
    <n v="7.05"/>
    <n v="146"/>
    <n v="903"/>
    <n v="784"/>
    <s v="AWD"/>
    <n v="7"/>
    <x v="4"/>
    <n v="34.1"/>
    <n v="1500"/>
    <x v="0"/>
    <n v="1"/>
    <x v="2"/>
    <x v="2"/>
    <n v="27929"/>
    <n v="3"/>
    <n v="5"/>
  </r>
  <r>
    <x v="4"/>
    <s v="Model S"/>
    <x v="2"/>
    <x v="2"/>
    <n v="156702.49"/>
    <n v="102.8"/>
    <n v="353"/>
    <n v="339.7"/>
    <n v="5.34"/>
    <n v="157"/>
    <n v="1000"/>
    <n v="867"/>
    <s v="AWD"/>
    <n v="7"/>
    <x v="5"/>
    <n v="26.1"/>
    <n v="1500"/>
    <x v="1"/>
    <n v="2"/>
    <x v="2"/>
    <x v="0"/>
    <n v="132013"/>
    <n v="3.89"/>
    <n v="5"/>
  </r>
  <r>
    <x v="11"/>
    <s v="e-tron"/>
    <x v="5"/>
    <x v="3"/>
    <n v="97863.03"/>
    <n v="41.7"/>
    <n v="166"/>
    <n v="140.5"/>
    <n v="6.81"/>
    <n v="145"/>
    <n v="693"/>
    <n v="607"/>
    <s v="AWD"/>
    <n v="7"/>
    <x v="4"/>
    <n v="35.1"/>
    <n v="1509"/>
    <x v="1"/>
    <n v="1"/>
    <x v="0"/>
    <x v="2"/>
    <n v="24216"/>
    <n v="3.41"/>
    <n v="7"/>
  </r>
  <r>
    <x v="5"/>
    <s v="EQS"/>
    <x v="3"/>
    <x v="2"/>
    <n v="183986.43"/>
    <n v="100.6"/>
    <n v="365"/>
    <n v="124.5"/>
    <n v="4.04"/>
    <n v="193"/>
    <n v="1000"/>
    <n v="849"/>
    <s v="FWD"/>
    <n v="5"/>
    <x v="3"/>
    <n v="25.9"/>
    <n v="1663"/>
    <x v="1"/>
    <n v="1"/>
    <x v="0"/>
    <x v="0"/>
    <n v="50432"/>
    <n v="4.09"/>
    <n v="5"/>
  </r>
  <r>
    <x v="4"/>
    <s v="Cybertruck"/>
    <x v="3"/>
    <x v="0"/>
    <n v="56352.74"/>
    <n v="82.9"/>
    <n v="297"/>
    <n v="312.39999999999998"/>
    <n v="2.74"/>
    <n v="200"/>
    <n v="305"/>
    <n v="299"/>
    <s v="AWD"/>
    <n v="7"/>
    <x v="0"/>
    <n v="63.9"/>
    <n v="2480"/>
    <x v="0"/>
    <n v="3"/>
    <x v="2"/>
    <x v="1"/>
    <n v="197115"/>
    <n v="3.86"/>
    <n v="5"/>
  </r>
  <r>
    <x v="5"/>
    <s v="EQG"/>
    <x v="1"/>
    <x v="4"/>
    <n v="126403.53"/>
    <n v="64.900000000000006"/>
    <n v="225"/>
    <n v="136"/>
    <n v="7.73"/>
    <n v="137"/>
    <n v="706"/>
    <n v="626"/>
    <s v="FWD"/>
    <n v="7"/>
    <x v="1"/>
    <n v="42.5"/>
    <n v="2048"/>
    <x v="0"/>
    <n v="1"/>
    <x v="0"/>
    <x v="0"/>
    <n v="37272"/>
    <n v="3.78"/>
    <n v="7"/>
  </r>
  <r>
    <x v="4"/>
    <s v="Model 3"/>
    <x v="0"/>
    <x v="1"/>
    <n v="67810.929999999993"/>
    <n v="55.5"/>
    <n v="175"/>
    <n v="235.1"/>
    <n v="5.86"/>
    <n v="166"/>
    <n v="470"/>
    <n v="501"/>
    <s v="RWD"/>
    <n v="7"/>
    <x v="5"/>
    <n v="30.9"/>
    <n v="1618"/>
    <x v="1"/>
    <n v="2"/>
    <x v="2"/>
    <x v="2"/>
    <n v="194039"/>
    <n v="3.62"/>
    <n v="4"/>
  </r>
  <r>
    <x v="7"/>
    <s v="Seagull"/>
    <x v="1"/>
    <x v="2"/>
    <n v="53237.26"/>
    <n v="103"/>
    <n v="376"/>
    <n v="147.19999999999999"/>
    <n v="4.3"/>
    <n v="186"/>
    <n v="620"/>
    <n v="527"/>
    <s v="FWD"/>
    <n v="5"/>
    <x v="0"/>
    <n v="73.8"/>
    <n v="2247"/>
    <x v="1"/>
    <n v="0"/>
    <x v="4"/>
    <x v="1"/>
    <n v="163016"/>
    <n v="3.81"/>
    <n v="3"/>
  </r>
  <r>
    <x v="2"/>
    <s v="Blazer EV"/>
    <x v="3"/>
    <x v="3"/>
    <n v="63436.73"/>
    <n v="52.8"/>
    <n v="186"/>
    <n v="77.8"/>
    <n v="7.75"/>
    <n v="130"/>
    <n v="856"/>
    <n v="767"/>
    <s v="AWD"/>
    <n v="5"/>
    <x v="0"/>
    <n v="56"/>
    <n v="2127"/>
    <x v="1"/>
    <n v="0"/>
    <x v="2"/>
    <x v="1"/>
    <n v="13397"/>
    <n v="3.49"/>
    <n v="4"/>
  </r>
  <r>
    <x v="4"/>
    <s v="Cybertruck"/>
    <x v="2"/>
    <x v="4"/>
    <n v="101208.82"/>
    <n v="52.4"/>
    <n v="172"/>
    <n v="331.1"/>
    <n v="6.55"/>
    <n v="147"/>
    <n v="744"/>
    <n v="653"/>
    <s v="AWD"/>
    <n v="5"/>
    <x v="0"/>
    <n v="67"/>
    <n v="2359"/>
    <x v="1"/>
    <n v="2"/>
    <x v="2"/>
    <x v="0"/>
    <n v="248389"/>
    <n v="3.58"/>
    <n v="5"/>
  </r>
  <r>
    <x v="9"/>
    <s v="Explorer EV"/>
    <x v="0"/>
    <x v="4"/>
    <n v="37298.339999999997"/>
    <n v="72.7"/>
    <n v="262"/>
    <n v="80.099999999999994"/>
    <n v="6.53"/>
    <n v="154"/>
    <n v="244"/>
    <n v="225"/>
    <s v="RWD"/>
    <n v="5"/>
    <x v="1"/>
    <n v="65.900000000000006"/>
    <n v="2136"/>
    <x v="0"/>
    <n v="0"/>
    <x v="2"/>
    <x v="1"/>
    <n v="60230"/>
    <n v="3.57"/>
    <n v="4"/>
  </r>
  <r>
    <x v="5"/>
    <s v="EQC"/>
    <x v="1"/>
    <x v="1"/>
    <n v="155446.31"/>
    <n v="72.7"/>
    <n v="265"/>
    <n v="130.30000000000001"/>
    <n v="5.37"/>
    <n v="175"/>
    <n v="987"/>
    <n v="922"/>
    <s v="FWD"/>
    <n v="5"/>
    <x v="5"/>
    <n v="23.7"/>
    <n v="1500"/>
    <x v="1"/>
    <n v="2"/>
    <x v="0"/>
    <x v="0"/>
    <n v="41853"/>
    <n v="3.77"/>
    <n v="5"/>
  </r>
  <r>
    <x v="8"/>
    <s v="Ioniq 5"/>
    <x v="1"/>
    <x v="1"/>
    <n v="55487.47"/>
    <n v="41.2"/>
    <n v="154"/>
    <n v="148.9"/>
    <n v="5.04"/>
    <n v="169"/>
    <n v="606"/>
    <n v="541"/>
    <s v="AWD"/>
    <n v="5"/>
    <x v="5"/>
    <n v="26.6"/>
    <n v="1768"/>
    <x v="2"/>
    <n v="0"/>
    <x v="3"/>
    <x v="1"/>
    <n v="52238"/>
    <n v="3.21"/>
    <n v="4"/>
  </r>
  <r>
    <x v="4"/>
    <s v="Model 3"/>
    <x v="6"/>
    <x v="2"/>
    <n v="65735.100000000006"/>
    <n v="91.3"/>
    <n v="319"/>
    <n v="237.2"/>
    <n v="4.55"/>
    <n v="178"/>
    <n v="401"/>
    <n v="349"/>
    <s v="RWD"/>
    <n v="5"/>
    <x v="4"/>
    <n v="39"/>
    <n v="1684"/>
    <x v="2"/>
    <n v="2"/>
    <x v="2"/>
    <x v="2"/>
    <n v="120134"/>
    <n v="4.09"/>
    <n v="4"/>
  </r>
  <r>
    <x v="7"/>
    <s v="Seagull"/>
    <x v="0"/>
    <x v="4"/>
    <n v="62912.21"/>
    <n v="54"/>
    <n v="188"/>
    <n v="64.2"/>
    <n v="7.65"/>
    <n v="142"/>
    <n v="724"/>
    <n v="621"/>
    <s v="AWD"/>
    <n v="5"/>
    <x v="3"/>
    <n v="25.4"/>
    <n v="1783"/>
    <x v="1"/>
    <n v="1"/>
    <x v="4"/>
    <x v="1"/>
    <n v="196923"/>
    <n v="3.56"/>
    <n v="3"/>
  </r>
  <r>
    <x v="3"/>
    <s v="Picanto EV"/>
    <x v="5"/>
    <x v="1"/>
    <n v="97174.66"/>
    <n v="65.2"/>
    <n v="227"/>
    <n v="142.1"/>
    <n v="6.85"/>
    <n v="140"/>
    <n v="1000"/>
    <n v="937"/>
    <s v="AWD"/>
    <n v="5"/>
    <x v="0"/>
    <n v="57.7"/>
    <n v="2301"/>
    <x v="0"/>
    <n v="2"/>
    <x v="3"/>
    <x v="2"/>
    <n v="93712"/>
    <n v="3.12"/>
    <n v="4"/>
  </r>
  <r>
    <x v="19"/>
    <n v="2"/>
    <x v="6"/>
    <x v="3"/>
    <n v="82455.28"/>
    <n v="57.3"/>
    <n v="204"/>
    <n v="144.19999999999999"/>
    <n v="6.86"/>
    <n v="156"/>
    <n v="459"/>
    <n v="443"/>
    <s v="FWD"/>
    <n v="5"/>
    <x v="2"/>
    <n v="75.3"/>
    <n v="1643"/>
    <x v="0"/>
    <n v="0"/>
    <x v="5"/>
    <x v="2"/>
    <n v="12945"/>
    <n v="3.41"/>
    <n v="3"/>
  </r>
  <r>
    <x v="10"/>
    <s v="i5"/>
    <x v="3"/>
    <x v="3"/>
    <n v="84667.26"/>
    <n v="78.3"/>
    <n v="258"/>
    <n v="52.5"/>
    <n v="7.87"/>
    <n v="141"/>
    <n v="617"/>
    <n v="535"/>
    <s v="AWD"/>
    <n v="5"/>
    <x v="0"/>
    <n v="78.2"/>
    <n v="2318"/>
    <x v="2"/>
    <n v="2"/>
    <x v="0"/>
    <x v="2"/>
    <n v="39763"/>
    <n v="3.26"/>
    <n v="6"/>
  </r>
  <r>
    <x v="7"/>
    <s v="Dolphin"/>
    <x v="2"/>
    <x v="4"/>
    <n v="57387.97"/>
    <n v="47.9"/>
    <n v="180"/>
    <n v="105.9"/>
    <n v="5.77"/>
    <n v="164"/>
    <n v="619"/>
    <n v="552"/>
    <s v="FWD"/>
    <n v="5"/>
    <x v="5"/>
    <n v="34.6"/>
    <n v="1500"/>
    <x v="1"/>
    <n v="0"/>
    <x v="4"/>
    <x v="1"/>
    <n v="181198"/>
    <n v="3.34"/>
    <n v="4"/>
  </r>
  <r>
    <x v="10"/>
    <s v="iX"/>
    <x v="3"/>
    <x v="4"/>
    <n v="92031.99"/>
    <n v="74.599999999999994"/>
    <n v="257"/>
    <n v="115"/>
    <n v="5.41"/>
    <n v="166"/>
    <n v="698"/>
    <n v="633"/>
    <s v="FWD"/>
    <n v="7"/>
    <x v="5"/>
    <n v="35.1"/>
    <n v="1684"/>
    <x v="1"/>
    <n v="1"/>
    <x v="0"/>
    <x v="2"/>
    <n v="29936"/>
    <n v="3.7"/>
    <n v="7"/>
  </r>
  <r>
    <x v="3"/>
    <s v="EV6"/>
    <x v="2"/>
    <x v="3"/>
    <n v="72870.48"/>
    <n v="81.7"/>
    <n v="288"/>
    <n v="119.2"/>
    <n v="5.28"/>
    <n v="174"/>
    <n v="819"/>
    <n v="756"/>
    <s v="RWD"/>
    <n v="7"/>
    <x v="0"/>
    <n v="59.5"/>
    <n v="2444"/>
    <x v="1"/>
    <n v="1"/>
    <x v="3"/>
    <x v="2"/>
    <n v="68801"/>
    <n v="3.48"/>
    <n v="3"/>
  </r>
  <r>
    <x v="9"/>
    <s v="Explorer EV"/>
    <x v="3"/>
    <x v="1"/>
    <n v="66422.789999999994"/>
    <n v="77.900000000000006"/>
    <n v="263"/>
    <n v="69.3"/>
    <n v="7.26"/>
    <n v="149"/>
    <n v="730"/>
    <n v="659"/>
    <s v="AWD"/>
    <n v="5"/>
    <x v="2"/>
    <n v="75.900000000000006"/>
    <n v="1938"/>
    <x v="1"/>
    <n v="1"/>
    <x v="2"/>
    <x v="2"/>
    <n v="56669"/>
    <n v="3.69"/>
    <n v="4"/>
  </r>
  <r>
    <x v="4"/>
    <s v="Cybertruck"/>
    <x v="3"/>
    <x v="1"/>
    <n v="52220.2"/>
    <n v="69.099999999999994"/>
    <n v="211"/>
    <n v="249.5"/>
    <n v="5.55"/>
    <n v="172"/>
    <n v="345"/>
    <n v="283"/>
    <s v="AWD"/>
    <n v="5"/>
    <x v="0"/>
    <n v="68"/>
    <n v="2532"/>
    <x v="1"/>
    <n v="2"/>
    <x v="2"/>
    <x v="1"/>
    <n v="119997"/>
    <n v="3.75"/>
    <n v="5"/>
  </r>
  <r>
    <x v="2"/>
    <s v="Equinox EV"/>
    <x v="3"/>
    <x v="2"/>
    <n v="84366.720000000001"/>
    <n v="76.7"/>
    <n v="244"/>
    <n v="139.4"/>
    <n v="4.1900000000000004"/>
    <n v="185"/>
    <n v="1000"/>
    <n v="852"/>
    <s v="RWD"/>
    <n v="5"/>
    <x v="1"/>
    <n v="57.6"/>
    <n v="2312"/>
    <x v="0"/>
    <n v="0"/>
    <x v="2"/>
    <x v="2"/>
    <n v="6773"/>
    <n v="3.64"/>
    <n v="4"/>
  </r>
  <r>
    <x v="3"/>
    <s v="EV9"/>
    <x v="3"/>
    <x v="2"/>
    <n v="93514.06"/>
    <n v="80.2"/>
    <n v="278"/>
    <n v="88"/>
    <n v="4.93"/>
    <n v="179"/>
    <n v="1000"/>
    <n v="929"/>
    <s v="FWD"/>
    <n v="5"/>
    <x v="1"/>
    <n v="36.1"/>
    <n v="1814"/>
    <x v="1"/>
    <n v="1"/>
    <x v="3"/>
    <x v="2"/>
    <n v="120989"/>
    <n v="3.34"/>
    <n v="4"/>
  </r>
  <r>
    <x v="1"/>
    <s v="bZ Compact SUV"/>
    <x v="6"/>
    <x v="3"/>
    <n v="30416.52"/>
    <n v="72.2"/>
    <n v="257"/>
    <n v="102.7"/>
    <n v="6.31"/>
    <n v="153"/>
    <n v="150"/>
    <n v="200"/>
    <s v="RWD"/>
    <n v="5"/>
    <x v="1"/>
    <n v="44.1"/>
    <n v="2421"/>
    <x v="0"/>
    <n v="2"/>
    <x v="1"/>
    <x v="3"/>
    <n v="15941"/>
    <n v="3.54"/>
    <n v="3"/>
  </r>
  <r>
    <x v="7"/>
    <s v="Seagull"/>
    <x v="4"/>
    <x v="0"/>
    <n v="106411.54"/>
    <n v="95.1"/>
    <n v="346"/>
    <n v="156.69999999999999"/>
    <n v="2.82"/>
    <n v="200"/>
    <n v="1000"/>
    <n v="828"/>
    <s v="RWD"/>
    <n v="7"/>
    <x v="2"/>
    <n v="78.400000000000006"/>
    <n v="1515"/>
    <x v="1"/>
    <n v="1"/>
    <x v="4"/>
    <x v="0"/>
    <n v="180190"/>
    <n v="3.58"/>
    <n v="3"/>
  </r>
  <r>
    <x v="10"/>
    <s v="iX"/>
    <x v="5"/>
    <x v="2"/>
    <n v="81773.509999999995"/>
    <n v="75.7"/>
    <n v="277"/>
    <n v="141.19999999999999"/>
    <n v="4.1900000000000004"/>
    <n v="182"/>
    <n v="629"/>
    <n v="581"/>
    <s v="AWD"/>
    <n v="5"/>
    <x v="0"/>
    <n v="70.8"/>
    <n v="2691"/>
    <x v="1"/>
    <n v="2"/>
    <x v="0"/>
    <x v="2"/>
    <n v="38573"/>
    <n v="3.54"/>
    <n v="6"/>
  </r>
  <r>
    <x v="13"/>
    <s v="R1T"/>
    <x v="4"/>
    <x v="4"/>
    <n v="75009.919999999998"/>
    <n v="69.099999999999994"/>
    <n v="263"/>
    <n v="61.6"/>
    <n v="7.15"/>
    <n v="141"/>
    <n v="448"/>
    <n v="384"/>
    <s v="FWD"/>
    <n v="4"/>
    <x v="0"/>
    <n v="53.8"/>
    <n v="2477"/>
    <x v="1"/>
    <n v="1"/>
    <x v="2"/>
    <x v="2"/>
    <n v="1899"/>
    <n v="3.57"/>
    <n v="4"/>
  </r>
  <r>
    <x v="4"/>
    <s v="Model S"/>
    <x v="3"/>
    <x v="4"/>
    <n v="67256.69"/>
    <n v="74.099999999999994"/>
    <n v="249"/>
    <n v="238.6"/>
    <n v="6.16"/>
    <n v="156"/>
    <n v="471"/>
    <n v="404"/>
    <s v="RWD"/>
    <n v="5"/>
    <x v="0"/>
    <n v="57.7"/>
    <n v="2729"/>
    <x v="1"/>
    <n v="3"/>
    <x v="2"/>
    <x v="2"/>
    <n v="149284"/>
    <n v="3.76"/>
    <n v="5"/>
  </r>
  <r>
    <x v="12"/>
    <s v="EL6"/>
    <x v="3"/>
    <x v="4"/>
    <n v="65308.05"/>
    <n v="45.9"/>
    <n v="171"/>
    <n v="55.2"/>
    <n v="5.82"/>
    <n v="156"/>
    <n v="469"/>
    <n v="405"/>
    <s v="FWD"/>
    <n v="7"/>
    <x v="5"/>
    <n v="32.1"/>
    <n v="1784"/>
    <x v="1"/>
    <n v="0"/>
    <x v="4"/>
    <x v="2"/>
    <n v="19253"/>
    <n v="3.04"/>
    <n v="4"/>
  </r>
  <r>
    <x v="10"/>
    <s v="i4"/>
    <x v="0"/>
    <x v="3"/>
    <n v="63735.58"/>
    <n v="75.400000000000006"/>
    <n v="276"/>
    <n v="140.1"/>
    <n v="6.05"/>
    <n v="154"/>
    <n v="308"/>
    <n v="308"/>
    <s v="FWD"/>
    <n v="5"/>
    <x v="5"/>
    <n v="20.9"/>
    <n v="1500"/>
    <x v="1"/>
    <n v="2"/>
    <x v="0"/>
    <x v="1"/>
    <n v="28907"/>
    <n v="3.44"/>
    <n v="7"/>
  </r>
  <r>
    <x v="4"/>
    <s v="Model Y"/>
    <x v="3"/>
    <x v="1"/>
    <n v="154034.20000000001"/>
    <n v="80.599999999999994"/>
    <n v="277"/>
    <n v="349.9"/>
    <n v="7.02"/>
    <n v="146"/>
    <n v="1000"/>
    <n v="900"/>
    <s v="RWD"/>
    <n v="7"/>
    <x v="3"/>
    <n v="36.299999999999997"/>
    <n v="1611"/>
    <x v="1"/>
    <n v="2"/>
    <x v="2"/>
    <x v="0"/>
    <n v="428866"/>
    <n v="3.69"/>
    <n v="6"/>
  </r>
  <r>
    <x v="7"/>
    <s v="Seagull"/>
    <x v="3"/>
    <x v="4"/>
    <n v="26964.92"/>
    <n v="56.1"/>
    <n v="166"/>
    <n v="80.900000000000006"/>
    <n v="5.84"/>
    <n v="165"/>
    <n v="274"/>
    <n v="233"/>
    <s v="RWD"/>
    <n v="7"/>
    <x v="2"/>
    <n v="68.900000000000006"/>
    <n v="1750"/>
    <x v="1"/>
    <n v="0"/>
    <x v="4"/>
    <x v="3"/>
    <n v="131090"/>
    <n v="3.27"/>
    <n v="3"/>
  </r>
  <r>
    <x v="2"/>
    <s v="Bolt EUV"/>
    <x v="2"/>
    <x v="2"/>
    <n v="61730.85"/>
    <n v="78.599999999999994"/>
    <n v="279"/>
    <n v="142.9"/>
    <n v="4.4000000000000004"/>
    <n v="183"/>
    <n v="863"/>
    <n v="773"/>
    <s v="FWD"/>
    <n v="5"/>
    <x v="4"/>
    <n v="30.1"/>
    <n v="1597"/>
    <x v="1"/>
    <n v="2"/>
    <x v="2"/>
    <x v="1"/>
    <n v="10777"/>
    <n v="3.75"/>
    <n v="4"/>
  </r>
  <r>
    <x v="4"/>
    <s v="Model 3"/>
    <x v="2"/>
    <x v="3"/>
    <n v="88042.89"/>
    <n v="46.2"/>
    <n v="164"/>
    <n v="328.9"/>
    <n v="7.69"/>
    <n v="138"/>
    <n v="687"/>
    <n v="636"/>
    <s v="FWD"/>
    <n v="5"/>
    <x v="5"/>
    <n v="19.7"/>
    <n v="1735"/>
    <x v="2"/>
    <n v="2"/>
    <x v="2"/>
    <x v="2"/>
    <n v="108761"/>
    <n v="3.42"/>
    <n v="5"/>
  </r>
  <r>
    <x v="3"/>
    <s v="EV9"/>
    <x v="3"/>
    <x v="2"/>
    <n v="74000.570000000007"/>
    <n v="102.9"/>
    <n v="371"/>
    <n v="128.30000000000001"/>
    <n v="4.2699999999999996"/>
    <n v="187"/>
    <n v="864"/>
    <n v="705"/>
    <s v="RWD"/>
    <n v="5"/>
    <x v="1"/>
    <n v="62.3"/>
    <n v="1873"/>
    <x v="1"/>
    <n v="0"/>
    <x v="3"/>
    <x v="2"/>
    <n v="137133"/>
    <n v="3.72"/>
    <n v="3"/>
  </r>
  <r>
    <x v="7"/>
    <s v="Atto 3"/>
    <x v="3"/>
    <x v="1"/>
    <n v="81058.7"/>
    <n v="78.3"/>
    <n v="260"/>
    <n v="65.7"/>
    <n v="5.81"/>
    <n v="160"/>
    <n v="934"/>
    <n v="836"/>
    <s v="AWD"/>
    <n v="7"/>
    <x v="2"/>
    <n v="66"/>
    <n v="1569"/>
    <x v="0"/>
    <n v="2"/>
    <x v="4"/>
    <x v="2"/>
    <n v="230802"/>
    <n v="3.44"/>
    <n v="4"/>
  </r>
  <r>
    <x v="10"/>
    <s v="iX"/>
    <x v="1"/>
    <x v="3"/>
    <n v="51043.69"/>
    <n v="76"/>
    <n v="263"/>
    <n v="120.6"/>
    <n v="5.44"/>
    <n v="172"/>
    <n v="178"/>
    <n v="200"/>
    <s v="RWD"/>
    <n v="7"/>
    <x v="4"/>
    <n v="30.1"/>
    <n v="1582"/>
    <x v="0"/>
    <n v="1"/>
    <x v="0"/>
    <x v="1"/>
    <n v="44259"/>
    <n v="3.39"/>
    <n v="8"/>
  </r>
  <r>
    <x v="4"/>
    <s v="Model Y"/>
    <x v="0"/>
    <x v="1"/>
    <n v="144885.91"/>
    <n v="67.7"/>
    <n v="230"/>
    <n v="249.1"/>
    <n v="6.26"/>
    <n v="156"/>
    <n v="1000"/>
    <n v="899"/>
    <s v="AWD"/>
    <n v="5"/>
    <x v="3"/>
    <n v="39.799999999999997"/>
    <n v="1572"/>
    <x v="1"/>
    <n v="2"/>
    <x v="2"/>
    <x v="0"/>
    <n v="416711"/>
    <n v="3.88"/>
    <n v="5"/>
  </r>
  <r>
    <x v="5"/>
    <s v="EQG"/>
    <x v="5"/>
    <x v="2"/>
    <n v="124673.1"/>
    <n v="100.9"/>
    <n v="347"/>
    <n v="66.900000000000006"/>
    <n v="4.72"/>
    <n v="173"/>
    <n v="758"/>
    <n v="698"/>
    <s v="FWD"/>
    <n v="5"/>
    <x v="1"/>
    <n v="48.3"/>
    <n v="1890"/>
    <x v="1"/>
    <n v="2"/>
    <x v="0"/>
    <x v="0"/>
    <n v="24079"/>
    <n v="4"/>
    <n v="5"/>
  </r>
  <r>
    <x v="6"/>
    <s v="Ronin"/>
    <x v="2"/>
    <x v="0"/>
    <n v="159067.16"/>
    <n v="109.7"/>
    <n v="402"/>
    <n v="212.3"/>
    <n v="4.1500000000000004"/>
    <n v="178"/>
    <n v="1000"/>
    <n v="948"/>
    <s v="RWD"/>
    <n v="7"/>
    <x v="2"/>
    <n v="62.3"/>
    <n v="1803"/>
    <x v="1"/>
    <n v="1"/>
    <x v="2"/>
    <x v="0"/>
    <n v="23252"/>
    <n v="3.93"/>
    <n v="3"/>
  </r>
  <r>
    <x v="6"/>
    <s v="Ocean"/>
    <x v="2"/>
    <x v="2"/>
    <n v="93018.72"/>
    <n v="83.7"/>
    <n v="313"/>
    <n v="72.3"/>
    <n v="5.21"/>
    <n v="182"/>
    <n v="786"/>
    <n v="724"/>
    <s v="AWD"/>
    <n v="5"/>
    <x v="5"/>
    <n v="21.4"/>
    <n v="1655"/>
    <x v="1"/>
    <n v="0"/>
    <x v="2"/>
    <x v="2"/>
    <n v="1655"/>
    <n v="3.46"/>
    <n v="5"/>
  </r>
  <r>
    <x v="2"/>
    <s v="Bolt EV"/>
    <x v="5"/>
    <x v="1"/>
    <n v="67711.199999999997"/>
    <n v="41.3"/>
    <n v="150"/>
    <n v="101.7"/>
    <n v="5.62"/>
    <n v="155"/>
    <n v="886"/>
    <n v="827"/>
    <s v="FWD"/>
    <n v="5"/>
    <x v="2"/>
    <n v="78.599999999999994"/>
    <n v="1868"/>
    <x v="1"/>
    <n v="2"/>
    <x v="2"/>
    <x v="2"/>
    <n v="15428"/>
    <n v="3.23"/>
    <n v="5"/>
  </r>
  <r>
    <x v="4"/>
    <s v="Model 3"/>
    <x v="3"/>
    <x v="0"/>
    <n v="112635.62"/>
    <n v="91.1"/>
    <n v="305"/>
    <n v="292.5"/>
    <n v="3.93"/>
    <n v="195"/>
    <n v="808"/>
    <n v="749"/>
    <s v="RWD"/>
    <n v="7"/>
    <x v="0"/>
    <n v="78.599999999999994"/>
    <n v="2220"/>
    <x v="1"/>
    <n v="2"/>
    <x v="2"/>
    <x v="0"/>
    <n v="126461"/>
    <n v="4.1399999999999997"/>
    <n v="5"/>
  </r>
  <r>
    <x v="2"/>
    <s v="Blazer EV"/>
    <x v="0"/>
    <x v="4"/>
    <n v="62461.41"/>
    <n v="54"/>
    <n v="168"/>
    <n v="88.5"/>
    <n v="7.57"/>
    <n v="138"/>
    <n v="828"/>
    <n v="728"/>
    <s v="AWD"/>
    <n v="5"/>
    <x v="3"/>
    <n v="20.5"/>
    <n v="1571"/>
    <x v="0"/>
    <n v="0"/>
    <x v="2"/>
    <x v="1"/>
    <n v="6024"/>
    <n v="3.32"/>
    <n v="4"/>
  </r>
  <r>
    <x v="4"/>
    <s v="Model Y"/>
    <x v="5"/>
    <x v="2"/>
    <n v="83728.44"/>
    <n v="82.6"/>
    <n v="280"/>
    <n v="333.8"/>
    <n v="4.82"/>
    <n v="180"/>
    <n v="562"/>
    <n v="518"/>
    <s v="AWD"/>
    <n v="7"/>
    <x v="3"/>
    <n v="23.4"/>
    <n v="1738"/>
    <x v="0"/>
    <n v="2"/>
    <x v="2"/>
    <x v="2"/>
    <n v="490450"/>
    <n v="3.83"/>
    <n v="6"/>
  </r>
  <r>
    <x v="4"/>
    <s v="Model X"/>
    <x v="3"/>
    <x v="0"/>
    <n v="92160.09"/>
    <n v="115.6"/>
    <n v="400"/>
    <n v="304.60000000000002"/>
    <n v="3.28"/>
    <n v="200"/>
    <n v="701"/>
    <n v="679"/>
    <s v="AWD"/>
    <n v="7"/>
    <x v="5"/>
    <n v="37.1"/>
    <n v="1630"/>
    <x v="0"/>
    <n v="2"/>
    <x v="2"/>
    <x v="2"/>
    <n v="139912"/>
    <n v="4.17"/>
    <n v="6"/>
  </r>
  <r>
    <x v="7"/>
    <s v="Dolphin"/>
    <x v="0"/>
    <x v="4"/>
    <n v="23505.59"/>
    <n v="75.5"/>
    <n v="261"/>
    <n v="72.599999999999994"/>
    <n v="5.58"/>
    <n v="166"/>
    <n v="211"/>
    <n v="239"/>
    <s v="AWD"/>
    <n v="5"/>
    <x v="3"/>
    <n v="28.6"/>
    <n v="1694"/>
    <x v="2"/>
    <n v="0"/>
    <x v="4"/>
    <x v="3"/>
    <n v="178149"/>
    <n v="3.42"/>
    <n v="4"/>
  </r>
  <r>
    <x v="8"/>
    <s v="Kona Electric"/>
    <x v="5"/>
    <x v="0"/>
    <n v="77799.73"/>
    <n v="108"/>
    <n v="367"/>
    <n v="182.6"/>
    <n v="2.67"/>
    <n v="200"/>
    <n v="956"/>
    <n v="887"/>
    <s v="RWD"/>
    <n v="5"/>
    <x v="3"/>
    <n v="17.8"/>
    <n v="1720"/>
    <x v="0"/>
    <n v="0"/>
    <x v="3"/>
    <x v="2"/>
    <n v="58908"/>
    <n v="3.8"/>
    <n v="3"/>
  </r>
  <r>
    <x v="9"/>
    <s v="Mustang Mach-E"/>
    <x v="1"/>
    <x v="4"/>
    <n v="56513.760000000002"/>
    <n v="52.3"/>
    <n v="189"/>
    <n v="87.3"/>
    <n v="5.42"/>
    <n v="162"/>
    <n v="505"/>
    <n v="476"/>
    <s v="RWD"/>
    <n v="5"/>
    <x v="0"/>
    <n v="63.1"/>
    <n v="2216"/>
    <x v="2"/>
    <n v="1"/>
    <x v="2"/>
    <x v="1"/>
    <n v="39584"/>
    <n v="3.23"/>
    <n v="4"/>
  </r>
  <r>
    <x v="10"/>
    <s v="i3"/>
    <x v="3"/>
    <x v="4"/>
    <n v="69070.75"/>
    <n v="82"/>
    <n v="304"/>
    <n v="92.6"/>
    <n v="7.54"/>
    <n v="143"/>
    <n v="374"/>
    <n v="366"/>
    <s v="FWD"/>
    <n v="5"/>
    <x v="2"/>
    <n v="73.599999999999994"/>
    <n v="1576"/>
    <x v="0"/>
    <n v="2"/>
    <x v="0"/>
    <x v="2"/>
    <n v="73019"/>
    <n v="3.53"/>
    <n v="5"/>
  </r>
  <r>
    <x v="0"/>
    <s v="ID.4"/>
    <x v="2"/>
    <x v="1"/>
    <n v="112817.29"/>
    <n v="66.099999999999994"/>
    <n v="213"/>
    <n v="87.9"/>
    <n v="6.84"/>
    <n v="142"/>
    <n v="1000"/>
    <n v="896"/>
    <s v="AWD"/>
    <n v="5"/>
    <x v="5"/>
    <n v="37.9"/>
    <n v="1541"/>
    <x v="1"/>
    <n v="0"/>
    <x v="0"/>
    <x v="0"/>
    <n v="244997"/>
    <n v="3.38"/>
    <n v="3"/>
  </r>
  <r>
    <x v="7"/>
    <s v="Yuan Plus"/>
    <x v="3"/>
    <x v="4"/>
    <n v="28078.09"/>
    <n v="44.7"/>
    <n v="150"/>
    <n v="63.8"/>
    <n v="6.5"/>
    <n v="156"/>
    <n v="251"/>
    <n v="252"/>
    <s v="AWD"/>
    <n v="7"/>
    <x v="5"/>
    <n v="15.7"/>
    <n v="1500"/>
    <x v="2"/>
    <n v="0"/>
    <x v="4"/>
    <x v="3"/>
    <n v="207345"/>
    <n v="3.08"/>
    <n v="5"/>
  </r>
  <r>
    <x v="18"/>
    <s v="SU7"/>
    <x v="2"/>
    <x v="3"/>
    <n v="67624.72"/>
    <n v="50.5"/>
    <n v="190"/>
    <n v="140.30000000000001"/>
    <n v="5.38"/>
    <n v="168"/>
    <n v="690"/>
    <n v="581"/>
    <s v="RWD"/>
    <n v="7"/>
    <x v="0"/>
    <n v="53.3"/>
    <n v="2209"/>
    <x v="1"/>
    <n v="1"/>
    <x v="4"/>
    <x v="2"/>
    <n v="26829"/>
    <n v="3.48"/>
    <n v="4"/>
  </r>
  <r>
    <x v="0"/>
    <s v="ID.4"/>
    <x v="2"/>
    <x v="4"/>
    <n v="45198.239999999998"/>
    <n v="56.5"/>
    <n v="198"/>
    <n v="105.6"/>
    <n v="7.64"/>
    <n v="139"/>
    <n v="373"/>
    <n v="366"/>
    <s v="AWD"/>
    <n v="5"/>
    <x v="0"/>
    <n v="54.6"/>
    <n v="2492"/>
    <x v="1"/>
    <n v="0"/>
    <x v="0"/>
    <x v="1"/>
    <n v="251931"/>
    <n v="3.32"/>
    <n v="3"/>
  </r>
  <r>
    <x v="0"/>
    <s v="ID. Buzz"/>
    <x v="3"/>
    <x v="4"/>
    <n v="34913.449999999997"/>
    <n v="57.9"/>
    <n v="187"/>
    <n v="110.5"/>
    <n v="6.77"/>
    <n v="145"/>
    <n v="190"/>
    <n v="200"/>
    <s v="AWD"/>
    <n v="5"/>
    <x v="3"/>
    <n v="36"/>
    <n v="1579"/>
    <x v="1"/>
    <n v="0"/>
    <x v="0"/>
    <x v="3"/>
    <n v="204604"/>
    <n v="3.5"/>
    <n v="4"/>
  </r>
  <r>
    <x v="4"/>
    <s v="Model X"/>
    <x v="1"/>
    <x v="3"/>
    <n v="53235.86"/>
    <n v="84.7"/>
    <n v="305"/>
    <n v="223.2"/>
    <n v="5.5"/>
    <n v="178"/>
    <n v="364"/>
    <n v="336"/>
    <s v="AWD"/>
    <n v="5"/>
    <x v="4"/>
    <n v="37.5"/>
    <n v="1686"/>
    <x v="0"/>
    <n v="2"/>
    <x v="2"/>
    <x v="1"/>
    <n v="178460"/>
    <n v="3.67"/>
    <n v="5"/>
  </r>
  <r>
    <x v="9"/>
    <s v="E-Transit"/>
    <x v="0"/>
    <x v="0"/>
    <n v="78714.850000000006"/>
    <n v="111.5"/>
    <n v="393"/>
    <n v="229"/>
    <n v="4.13"/>
    <n v="184"/>
    <n v="917"/>
    <n v="787"/>
    <s v="RWD"/>
    <n v="5"/>
    <x v="4"/>
    <n v="27.8"/>
    <n v="1647"/>
    <x v="0"/>
    <n v="0"/>
    <x v="2"/>
    <x v="2"/>
    <n v="41203"/>
    <n v="3.73"/>
    <n v="4"/>
  </r>
  <r>
    <x v="2"/>
    <s v="Bolt EUV"/>
    <x v="2"/>
    <x v="4"/>
    <n v="57065.27"/>
    <n v="44.6"/>
    <n v="150"/>
    <n v="109.7"/>
    <n v="5.83"/>
    <n v="167"/>
    <n v="737"/>
    <n v="692"/>
    <s v="FWD"/>
    <n v="5"/>
    <x v="1"/>
    <n v="57"/>
    <n v="2167"/>
    <x v="1"/>
    <n v="1"/>
    <x v="2"/>
    <x v="1"/>
    <n v="24368"/>
    <n v="3.41"/>
    <n v="4"/>
  </r>
  <r>
    <x v="7"/>
    <s v="Yuan Plus"/>
    <x v="3"/>
    <x v="0"/>
    <n v="113906.34"/>
    <n v="84.5"/>
    <n v="315"/>
    <n v="213.7"/>
    <n v="3.12"/>
    <n v="200"/>
    <n v="1000"/>
    <n v="947"/>
    <s v="RWD"/>
    <n v="7"/>
    <x v="0"/>
    <n v="72.099999999999994"/>
    <n v="2485"/>
    <x v="2"/>
    <n v="2"/>
    <x v="4"/>
    <x v="0"/>
    <n v="193570"/>
    <n v="3.68"/>
    <n v="5"/>
  </r>
  <r>
    <x v="4"/>
    <s v="Model 3"/>
    <x v="2"/>
    <x v="0"/>
    <n v="171221.67"/>
    <n v="95.1"/>
    <n v="329"/>
    <n v="288.2"/>
    <n v="3.51"/>
    <n v="196"/>
    <n v="1000"/>
    <n v="933"/>
    <s v="AWD"/>
    <n v="5"/>
    <x v="2"/>
    <n v="65.3"/>
    <n v="1588"/>
    <x v="1"/>
    <n v="3"/>
    <x v="2"/>
    <x v="0"/>
    <n v="247330"/>
    <n v="3.88"/>
    <n v="4"/>
  </r>
  <r>
    <x v="10"/>
    <s v="i5"/>
    <x v="2"/>
    <x v="0"/>
    <n v="143876.35"/>
    <n v="81.7"/>
    <n v="261"/>
    <n v="227.3"/>
    <n v="2.98"/>
    <n v="197"/>
    <n v="1000"/>
    <n v="915"/>
    <s v="AWD"/>
    <n v="5"/>
    <x v="0"/>
    <n v="69.099999999999994"/>
    <n v="1841"/>
    <x v="2"/>
    <n v="1"/>
    <x v="0"/>
    <x v="0"/>
    <n v="37253"/>
    <n v="3.67"/>
    <n v="6"/>
  </r>
  <r>
    <x v="10"/>
    <s v="iX"/>
    <x v="2"/>
    <x v="3"/>
    <n v="62907.37"/>
    <n v="84"/>
    <n v="296"/>
    <n v="148.1"/>
    <n v="7.97"/>
    <n v="134"/>
    <n v="299"/>
    <n v="208"/>
    <s v="RWD"/>
    <n v="7"/>
    <x v="1"/>
    <n v="60.3"/>
    <n v="1899"/>
    <x v="1"/>
    <n v="1"/>
    <x v="0"/>
    <x v="1"/>
    <n v="49240"/>
    <n v="3.56"/>
    <n v="7"/>
  </r>
  <r>
    <x v="7"/>
    <s v="Atto 3"/>
    <x v="1"/>
    <x v="2"/>
    <n v="101092.71"/>
    <n v="80.099999999999994"/>
    <n v="278"/>
    <n v="106.3"/>
    <n v="4.59"/>
    <n v="177"/>
    <n v="1000"/>
    <n v="848"/>
    <s v="FWD"/>
    <n v="7"/>
    <x v="5"/>
    <n v="20.9"/>
    <n v="1565"/>
    <x v="1"/>
    <n v="0"/>
    <x v="4"/>
    <x v="0"/>
    <n v="230522"/>
    <n v="3.61"/>
    <n v="4"/>
  </r>
  <r>
    <x v="1"/>
    <s v="bZ Compact SUV"/>
    <x v="2"/>
    <x v="4"/>
    <n v="53125"/>
    <n v="63.6"/>
    <n v="233"/>
    <n v="133.80000000000001"/>
    <n v="6.48"/>
    <n v="151"/>
    <n v="545"/>
    <n v="473"/>
    <s v="AWD"/>
    <n v="5"/>
    <x v="1"/>
    <n v="36.6"/>
    <n v="1998"/>
    <x v="0"/>
    <n v="1"/>
    <x v="1"/>
    <x v="1"/>
    <n v="19789"/>
    <n v="3.34"/>
    <n v="4"/>
  </r>
  <r>
    <x v="4"/>
    <s v="Model S"/>
    <x v="3"/>
    <x v="2"/>
    <n v="67690.460000000006"/>
    <n v="92.6"/>
    <n v="317"/>
    <n v="349.6"/>
    <n v="4.45"/>
    <n v="179"/>
    <n v="444"/>
    <n v="423"/>
    <s v="RWD"/>
    <n v="5"/>
    <x v="3"/>
    <n v="38"/>
    <n v="1865"/>
    <x v="0"/>
    <n v="2"/>
    <x v="2"/>
    <x v="2"/>
    <n v="187975"/>
    <n v="3.94"/>
    <n v="4"/>
  </r>
  <r>
    <x v="0"/>
    <s v="ID. Buzz"/>
    <x v="3"/>
    <x v="4"/>
    <n v="71667.28"/>
    <n v="81.5"/>
    <n v="282"/>
    <n v="96.9"/>
    <n v="6.31"/>
    <n v="156"/>
    <n v="753"/>
    <n v="614"/>
    <s v="FWD"/>
    <n v="5"/>
    <x v="2"/>
    <n v="64.3"/>
    <n v="1500"/>
    <x v="2"/>
    <n v="0"/>
    <x v="0"/>
    <x v="2"/>
    <n v="285418"/>
    <n v="3.48"/>
    <n v="4"/>
  </r>
  <r>
    <x v="12"/>
    <s v="EC6"/>
    <x v="3"/>
    <x v="1"/>
    <n v="103197.25"/>
    <n v="46.4"/>
    <n v="161"/>
    <n v="53.2"/>
    <n v="5.82"/>
    <n v="163"/>
    <n v="956"/>
    <n v="826"/>
    <s v="RWD"/>
    <n v="5"/>
    <x v="2"/>
    <n v="68.099999999999994"/>
    <n v="1500"/>
    <x v="0"/>
    <n v="2"/>
    <x v="4"/>
    <x v="0"/>
    <n v="20886"/>
    <n v="3.24"/>
    <n v="5"/>
  </r>
  <r>
    <x v="0"/>
    <s v="ID. Aero"/>
    <x v="1"/>
    <x v="0"/>
    <n v="94244.35"/>
    <n v="75.7"/>
    <n v="264"/>
    <n v="162"/>
    <n v="2.91"/>
    <n v="200"/>
    <n v="1000"/>
    <n v="943"/>
    <s v="AWD"/>
    <n v="7"/>
    <x v="1"/>
    <n v="40.799999999999997"/>
    <n v="1834"/>
    <x v="0"/>
    <n v="0"/>
    <x v="0"/>
    <x v="2"/>
    <n v="251606"/>
    <n v="3.39"/>
    <n v="4"/>
  </r>
  <r>
    <x v="10"/>
    <s v="i7"/>
    <x v="3"/>
    <x v="0"/>
    <n v="150935.25"/>
    <n v="119.6"/>
    <n v="423"/>
    <n v="166.7"/>
    <n v="2.81"/>
    <n v="200"/>
    <n v="1000"/>
    <n v="883"/>
    <s v="RWD"/>
    <n v="5"/>
    <x v="3"/>
    <n v="16.399999999999999"/>
    <n v="2027"/>
    <x v="1"/>
    <n v="1"/>
    <x v="0"/>
    <x v="0"/>
    <n v="49006"/>
    <n v="3.99"/>
    <n v="6"/>
  </r>
  <r>
    <x v="0"/>
    <s v="ID. Buzz"/>
    <x v="1"/>
    <x v="0"/>
    <n v="46160.26"/>
    <n v="117.4"/>
    <n v="399"/>
    <n v="235.9"/>
    <n v="4.37"/>
    <n v="198"/>
    <n v="404"/>
    <n v="347"/>
    <s v="RWD"/>
    <n v="5"/>
    <x v="4"/>
    <n v="30.1"/>
    <n v="1500"/>
    <x v="1"/>
    <n v="1"/>
    <x v="0"/>
    <x v="1"/>
    <n v="298179"/>
    <n v="3.96"/>
    <n v="5"/>
  </r>
  <r>
    <x v="7"/>
    <s v="Seagull"/>
    <x v="3"/>
    <x v="2"/>
    <n v="32710.87"/>
    <n v="88.5"/>
    <n v="321"/>
    <n v="98.4"/>
    <n v="4.3499999999999996"/>
    <n v="192"/>
    <n v="307"/>
    <n v="301"/>
    <s v="RWD"/>
    <n v="7"/>
    <x v="0"/>
    <n v="51.2"/>
    <n v="2579"/>
    <x v="1"/>
    <n v="1"/>
    <x v="4"/>
    <x v="3"/>
    <n v="169948"/>
    <n v="3.62"/>
    <n v="4"/>
  </r>
  <r>
    <x v="19"/>
    <n v="3"/>
    <x v="2"/>
    <x v="4"/>
    <n v="76930.78"/>
    <n v="77.7"/>
    <n v="257"/>
    <n v="133.1"/>
    <n v="6.46"/>
    <n v="159"/>
    <n v="442"/>
    <n v="411"/>
    <s v="RWD"/>
    <n v="7"/>
    <x v="0"/>
    <n v="72.8"/>
    <n v="2494"/>
    <x v="0"/>
    <n v="0"/>
    <x v="5"/>
    <x v="2"/>
    <n v="17188"/>
    <n v="3.48"/>
    <n v="4"/>
  </r>
  <r>
    <x v="0"/>
    <s v="ID. Aero"/>
    <x v="4"/>
    <x v="0"/>
    <n v="102347.9"/>
    <n v="83.8"/>
    <n v="290"/>
    <n v="157.6"/>
    <n v="2.82"/>
    <n v="200"/>
    <n v="1000"/>
    <n v="935"/>
    <s v="RWD"/>
    <n v="5"/>
    <x v="1"/>
    <n v="66.5"/>
    <n v="1990"/>
    <x v="1"/>
    <n v="1"/>
    <x v="0"/>
    <x v="0"/>
    <n v="251849"/>
    <n v="3.65"/>
    <n v="4"/>
  </r>
  <r>
    <x v="11"/>
    <s v="Q4 e-tron"/>
    <x v="1"/>
    <x v="3"/>
    <n v="84689.7"/>
    <n v="69.599999999999994"/>
    <n v="254"/>
    <n v="113.3"/>
    <n v="7.48"/>
    <n v="135"/>
    <n v="508"/>
    <n v="487"/>
    <s v="AWD"/>
    <n v="5"/>
    <x v="2"/>
    <n v="68.5"/>
    <n v="1617"/>
    <x v="1"/>
    <n v="1"/>
    <x v="0"/>
    <x v="2"/>
    <n v="55401"/>
    <n v="3.66"/>
    <n v="7"/>
  </r>
  <r>
    <x v="7"/>
    <s v="Max"/>
    <x v="3"/>
    <x v="0"/>
    <n v="118077.25"/>
    <n v="109.3"/>
    <n v="391"/>
    <n v="162.19999999999999"/>
    <n v="3.74"/>
    <n v="191"/>
    <n v="1000"/>
    <n v="913"/>
    <s v="FWD"/>
    <n v="5"/>
    <x v="5"/>
    <n v="35.4"/>
    <n v="1687"/>
    <x v="1"/>
    <n v="0"/>
    <x v="4"/>
    <x v="0"/>
    <n v="103364"/>
    <n v="3.72"/>
    <n v="4"/>
  </r>
  <r>
    <x v="7"/>
    <s v="Atto 3"/>
    <x v="5"/>
    <x v="1"/>
    <n v="87619.97"/>
    <n v="76.3"/>
    <n v="270"/>
    <n v="56.2"/>
    <n v="5.53"/>
    <n v="163"/>
    <n v="1000"/>
    <n v="870"/>
    <s v="RWD"/>
    <n v="5"/>
    <x v="3"/>
    <n v="34.799999999999997"/>
    <n v="1500"/>
    <x v="0"/>
    <n v="0"/>
    <x v="4"/>
    <x v="2"/>
    <n v="118872"/>
    <n v="3.49"/>
    <n v="4"/>
  </r>
  <r>
    <x v="4"/>
    <s v="Model Y"/>
    <x v="3"/>
    <x v="4"/>
    <n v="92379.520000000004"/>
    <n v="84.7"/>
    <n v="300"/>
    <n v="226.8"/>
    <n v="7.5"/>
    <n v="130"/>
    <n v="685"/>
    <n v="640"/>
    <s v="RWD"/>
    <n v="5"/>
    <x v="5"/>
    <n v="32.1"/>
    <n v="1616"/>
    <x v="0"/>
    <n v="2"/>
    <x v="2"/>
    <x v="2"/>
    <n v="461008"/>
    <n v="3.78"/>
    <n v="6"/>
  </r>
  <r>
    <x v="10"/>
    <s v="i7"/>
    <x v="6"/>
    <x v="1"/>
    <n v="84308.51"/>
    <n v="76.3"/>
    <n v="242"/>
    <n v="121.7"/>
    <n v="6.09"/>
    <n v="144"/>
    <n v="645"/>
    <n v="559"/>
    <s v="RWD"/>
    <n v="5"/>
    <x v="0"/>
    <n v="79.3"/>
    <n v="2413"/>
    <x v="1"/>
    <n v="1"/>
    <x v="0"/>
    <x v="2"/>
    <n v="53466"/>
    <n v="3.48"/>
    <n v="6"/>
  </r>
  <r>
    <x v="0"/>
    <s v="ID. Aero"/>
    <x v="2"/>
    <x v="0"/>
    <n v="115397.77"/>
    <n v="79.599999999999994"/>
    <n v="282"/>
    <n v="189.4"/>
    <n v="2.83"/>
    <n v="200"/>
    <n v="1000"/>
    <n v="870"/>
    <s v="AWD"/>
    <n v="7"/>
    <x v="5"/>
    <n v="34.1"/>
    <n v="1511"/>
    <x v="0"/>
    <n v="0"/>
    <x v="0"/>
    <x v="0"/>
    <n v="296594"/>
    <n v="3.51"/>
    <n v="4"/>
  </r>
  <r>
    <x v="5"/>
    <s v="EQE"/>
    <x v="0"/>
    <x v="4"/>
    <n v="142019.75"/>
    <n v="58.7"/>
    <n v="200"/>
    <n v="106.5"/>
    <n v="5.81"/>
    <n v="166"/>
    <n v="942"/>
    <n v="820"/>
    <s v="FWD"/>
    <n v="7"/>
    <x v="3"/>
    <n v="20.7"/>
    <n v="1640"/>
    <x v="1"/>
    <n v="2"/>
    <x v="0"/>
    <x v="0"/>
    <n v="57178"/>
    <n v="3.68"/>
    <n v="7"/>
  </r>
  <r>
    <x v="8"/>
    <s v="Ioniq"/>
    <x v="0"/>
    <x v="2"/>
    <n v="48459.839999999997"/>
    <n v="100"/>
    <n v="358"/>
    <n v="93.1"/>
    <n v="4.6399999999999997"/>
    <n v="175"/>
    <n v="494"/>
    <n v="456"/>
    <s v="FWD"/>
    <n v="7"/>
    <x v="2"/>
    <n v="79.599999999999994"/>
    <n v="1594"/>
    <x v="0"/>
    <n v="0"/>
    <x v="3"/>
    <x v="1"/>
    <n v="128198"/>
    <n v="3.66"/>
    <n v="4"/>
  </r>
  <r>
    <x v="6"/>
    <s v="Ronin"/>
    <x v="3"/>
    <x v="1"/>
    <n v="106306.01"/>
    <n v="80.2"/>
    <n v="270"/>
    <n v="52.3"/>
    <n v="7.48"/>
    <n v="140"/>
    <n v="925"/>
    <n v="853"/>
    <s v="AWD"/>
    <n v="7"/>
    <x v="2"/>
    <n v="66.900000000000006"/>
    <n v="1500"/>
    <x v="1"/>
    <n v="2"/>
    <x v="2"/>
    <x v="0"/>
    <n v="8757"/>
    <n v="3.62"/>
    <n v="4"/>
  </r>
  <r>
    <x v="4"/>
    <s v="Model Y"/>
    <x v="5"/>
    <x v="1"/>
    <n v="55363.64"/>
    <n v="49.7"/>
    <n v="197"/>
    <n v="219"/>
    <n v="7.61"/>
    <n v="138"/>
    <n v="396"/>
    <n v="378"/>
    <s v="AWD"/>
    <n v="5"/>
    <x v="1"/>
    <n v="36.200000000000003"/>
    <n v="2157"/>
    <x v="0"/>
    <n v="3"/>
    <x v="2"/>
    <x v="1"/>
    <n v="467657"/>
    <n v="3.42"/>
    <n v="5"/>
  </r>
  <r>
    <x v="5"/>
    <s v="GLE EV"/>
    <x v="3"/>
    <x v="1"/>
    <n v="111590.33"/>
    <n v="69.8"/>
    <n v="216"/>
    <n v="84.4"/>
    <n v="6.19"/>
    <n v="161"/>
    <n v="639"/>
    <n v="545"/>
    <s v="RWD"/>
    <n v="5"/>
    <x v="1"/>
    <n v="58"/>
    <n v="2182"/>
    <x v="0"/>
    <n v="2"/>
    <x v="0"/>
    <x v="0"/>
    <n v="58457"/>
    <n v="3.3"/>
    <n v="8"/>
  </r>
  <r>
    <x v="9"/>
    <s v="F-150 Lightning"/>
    <x v="3"/>
    <x v="1"/>
    <n v="79279.61"/>
    <n v="59.6"/>
    <n v="194"/>
    <n v="95"/>
    <n v="7.69"/>
    <n v="139"/>
    <n v="919"/>
    <n v="842"/>
    <s v="RWD"/>
    <n v="4"/>
    <x v="0"/>
    <n v="65.7"/>
    <n v="2810"/>
    <x v="1"/>
    <n v="1"/>
    <x v="2"/>
    <x v="2"/>
    <n v="67161"/>
    <n v="3.21"/>
    <n v="3"/>
  </r>
  <r>
    <x v="9"/>
    <s v="E-Transit"/>
    <x v="1"/>
    <x v="2"/>
    <n v="44715.21"/>
    <n v="85"/>
    <n v="299"/>
    <n v="82.1"/>
    <n v="5.0999999999999996"/>
    <n v="179"/>
    <n v="432"/>
    <n v="411"/>
    <s v="RWD"/>
    <n v="7"/>
    <x v="1"/>
    <n v="54.2"/>
    <n v="1709"/>
    <x v="1"/>
    <n v="1"/>
    <x v="2"/>
    <x v="1"/>
    <n v="77918"/>
    <n v="3.48"/>
    <n v="5"/>
  </r>
  <r>
    <x v="5"/>
    <s v="EQC"/>
    <x v="5"/>
    <x v="2"/>
    <n v="122737.35"/>
    <n v="76.099999999999994"/>
    <n v="281"/>
    <n v="88.4"/>
    <n v="4.92"/>
    <n v="174"/>
    <n v="680"/>
    <n v="583"/>
    <s v="AWD"/>
    <n v="7"/>
    <x v="1"/>
    <n v="44.2"/>
    <n v="1927"/>
    <x v="1"/>
    <n v="1"/>
    <x v="0"/>
    <x v="0"/>
    <n v="45500"/>
    <n v="3.92"/>
    <n v="6"/>
  </r>
  <r>
    <x v="2"/>
    <s v="Silverado EV"/>
    <x v="5"/>
    <x v="2"/>
    <n v="75057.34"/>
    <n v="81.400000000000006"/>
    <n v="277"/>
    <n v="117.5"/>
    <n v="5.01"/>
    <n v="178"/>
    <n v="1000"/>
    <n v="939"/>
    <s v="FWD"/>
    <n v="5"/>
    <x v="0"/>
    <n v="67.099999999999994"/>
    <n v="2136"/>
    <x v="2"/>
    <n v="2"/>
    <x v="2"/>
    <x v="2"/>
    <n v="18197"/>
    <n v="3.62"/>
    <n v="4"/>
  </r>
  <r>
    <x v="10"/>
    <s v="i7"/>
    <x v="0"/>
    <x v="0"/>
    <n v="121734.94"/>
    <n v="72.7"/>
    <n v="249"/>
    <n v="163.80000000000001"/>
    <n v="2.68"/>
    <n v="200"/>
    <n v="1000"/>
    <n v="931"/>
    <s v="RWD"/>
    <n v="7"/>
    <x v="4"/>
    <n v="30.3"/>
    <n v="1630"/>
    <x v="1"/>
    <n v="2"/>
    <x v="0"/>
    <x v="0"/>
    <n v="71997"/>
    <n v="3.55"/>
    <n v="6"/>
  </r>
  <r>
    <x v="4"/>
    <s v="Model S"/>
    <x v="3"/>
    <x v="3"/>
    <n v="41533.410000000003"/>
    <n v="81.099999999999994"/>
    <n v="287"/>
    <n v="248.5"/>
    <n v="6.67"/>
    <n v="145"/>
    <n v="266"/>
    <n v="200"/>
    <s v="RWD"/>
    <n v="5"/>
    <x v="3"/>
    <n v="25.3"/>
    <n v="1673"/>
    <x v="0"/>
    <n v="2"/>
    <x v="2"/>
    <x v="1"/>
    <n v="205263"/>
    <n v="3.88"/>
    <n v="5"/>
  </r>
  <r>
    <x v="4"/>
    <s v="Cybertruck"/>
    <x v="1"/>
    <x v="3"/>
    <n v="33281.599999999999"/>
    <n v="82.5"/>
    <n v="281"/>
    <n v="345.8"/>
    <n v="5.04"/>
    <n v="175"/>
    <n v="229"/>
    <n v="216"/>
    <s v="AWD"/>
    <n v="5"/>
    <x v="0"/>
    <n v="66.8"/>
    <n v="2657"/>
    <x v="1"/>
    <n v="2"/>
    <x v="2"/>
    <x v="3"/>
    <n v="223257"/>
    <n v="3.91"/>
    <n v="6"/>
  </r>
  <r>
    <x v="13"/>
    <s v="R2"/>
    <x v="2"/>
    <x v="4"/>
    <n v="78385.679999999993"/>
    <n v="79.7"/>
    <n v="248"/>
    <n v="89.4"/>
    <n v="6.35"/>
    <n v="154"/>
    <n v="615"/>
    <n v="599"/>
    <s v="RWD"/>
    <n v="5"/>
    <x v="3"/>
    <n v="31.3"/>
    <n v="1941"/>
    <x v="1"/>
    <n v="0"/>
    <x v="2"/>
    <x v="2"/>
    <n v="12601"/>
    <n v="3.59"/>
    <n v="5"/>
  </r>
  <r>
    <x v="3"/>
    <s v="Picanto EV"/>
    <x v="5"/>
    <x v="4"/>
    <n v="54591.6"/>
    <n v="68.599999999999994"/>
    <n v="257"/>
    <n v="77"/>
    <n v="5.52"/>
    <n v="158"/>
    <n v="528"/>
    <n v="451"/>
    <s v="FWD"/>
    <n v="7"/>
    <x v="2"/>
    <n v="63"/>
    <n v="1500"/>
    <x v="0"/>
    <n v="0"/>
    <x v="3"/>
    <x v="1"/>
    <n v="84955"/>
    <n v="3.44"/>
    <n v="5"/>
  </r>
  <r>
    <x v="9"/>
    <s v="E-Transit"/>
    <x v="2"/>
    <x v="2"/>
    <n v="84501.24"/>
    <n v="98.1"/>
    <n v="342"/>
    <n v="111.3"/>
    <n v="4.71"/>
    <n v="179"/>
    <n v="1000"/>
    <n v="870"/>
    <s v="RWD"/>
    <n v="7"/>
    <x v="4"/>
    <n v="28"/>
    <n v="1500"/>
    <x v="1"/>
    <n v="0"/>
    <x v="2"/>
    <x v="2"/>
    <n v="72596"/>
    <n v="3.61"/>
    <n v="5"/>
  </r>
  <r>
    <x v="8"/>
    <s v="Kona Electric"/>
    <x v="5"/>
    <x v="4"/>
    <n v="45692.14"/>
    <n v="83.7"/>
    <n v="288"/>
    <n v="81.400000000000006"/>
    <n v="6.59"/>
    <n v="154"/>
    <n v="475"/>
    <n v="411"/>
    <s v="RWD"/>
    <n v="7"/>
    <x v="4"/>
    <n v="28.7"/>
    <n v="1750"/>
    <x v="1"/>
    <n v="0"/>
    <x v="3"/>
    <x v="1"/>
    <n v="89861"/>
    <n v="3.5"/>
    <n v="3"/>
  </r>
  <r>
    <x v="4"/>
    <s v="Model S"/>
    <x v="3"/>
    <x v="1"/>
    <n v="131664.51"/>
    <n v="56.1"/>
    <n v="197"/>
    <n v="248.7"/>
    <n v="5.97"/>
    <n v="167"/>
    <n v="995"/>
    <n v="876"/>
    <s v="RWD"/>
    <n v="5"/>
    <x v="1"/>
    <n v="64"/>
    <n v="2096"/>
    <x v="1"/>
    <n v="2"/>
    <x v="2"/>
    <x v="0"/>
    <n v="124407"/>
    <n v="3.58"/>
    <n v="4"/>
  </r>
  <r>
    <x v="4"/>
    <s v="Model 3"/>
    <x v="5"/>
    <x v="2"/>
    <n v="146733.12"/>
    <n v="98.1"/>
    <n v="336"/>
    <n v="258.2"/>
    <n v="5.28"/>
    <n v="173"/>
    <n v="1000"/>
    <n v="925"/>
    <s v="RWD"/>
    <n v="5"/>
    <x v="0"/>
    <n v="79.400000000000006"/>
    <n v="2940"/>
    <x v="1"/>
    <n v="2"/>
    <x v="2"/>
    <x v="0"/>
    <n v="162803"/>
    <n v="4.05"/>
    <n v="5"/>
  </r>
  <r>
    <x v="10"/>
    <s v="i3"/>
    <x v="2"/>
    <x v="4"/>
    <n v="108424.86"/>
    <n v="43.9"/>
    <n v="164"/>
    <n v="140.1"/>
    <n v="7.1"/>
    <n v="143"/>
    <n v="881"/>
    <n v="812"/>
    <s v="FWD"/>
    <n v="5"/>
    <x v="1"/>
    <n v="59"/>
    <n v="1704"/>
    <x v="1"/>
    <n v="2"/>
    <x v="0"/>
    <x v="0"/>
    <n v="72604"/>
    <n v="3.14"/>
    <n v="6"/>
  </r>
  <r>
    <x v="0"/>
    <s v="ID.5"/>
    <x v="2"/>
    <x v="1"/>
    <n v="43023.64"/>
    <n v="77.900000000000006"/>
    <n v="261"/>
    <n v="130.9"/>
    <n v="5.36"/>
    <n v="163"/>
    <n v="308"/>
    <n v="274"/>
    <s v="AWD"/>
    <n v="5"/>
    <x v="0"/>
    <n v="70.099999999999994"/>
    <n v="2308"/>
    <x v="1"/>
    <n v="0"/>
    <x v="0"/>
    <x v="1"/>
    <n v="246474"/>
    <n v="3.55"/>
    <n v="5"/>
  </r>
  <r>
    <x v="4"/>
    <s v="Model X"/>
    <x v="2"/>
    <x v="1"/>
    <n v="157561.98000000001"/>
    <n v="49.5"/>
    <n v="189"/>
    <n v="302.5"/>
    <n v="7.4"/>
    <n v="134"/>
    <n v="1000"/>
    <n v="867"/>
    <s v="AWD"/>
    <n v="5"/>
    <x v="1"/>
    <n v="42.4"/>
    <n v="1670"/>
    <x v="0"/>
    <n v="3"/>
    <x v="2"/>
    <x v="0"/>
    <n v="163095"/>
    <n v="3.57"/>
    <n v="4"/>
  </r>
  <r>
    <x v="8"/>
    <s v="Ioniq 5"/>
    <x v="2"/>
    <x v="0"/>
    <n v="61789.95"/>
    <n v="103.8"/>
    <n v="357"/>
    <n v="155.6"/>
    <n v="3.45"/>
    <n v="194"/>
    <n v="672"/>
    <n v="573"/>
    <s v="FWD"/>
    <n v="7"/>
    <x v="5"/>
    <n v="16.2"/>
    <n v="1500"/>
    <x v="1"/>
    <n v="0"/>
    <x v="3"/>
    <x v="1"/>
    <n v="110783"/>
    <n v="3.54"/>
    <n v="4"/>
  </r>
  <r>
    <x v="4"/>
    <s v="Model 3"/>
    <x v="2"/>
    <x v="0"/>
    <n v="109834.54"/>
    <n v="79.900000000000006"/>
    <n v="262"/>
    <n v="311.60000000000002"/>
    <n v="3.69"/>
    <n v="195"/>
    <n v="750"/>
    <n v="704"/>
    <s v="AWD"/>
    <n v="7"/>
    <x v="3"/>
    <n v="25.5"/>
    <n v="1590"/>
    <x v="2"/>
    <n v="2"/>
    <x v="2"/>
    <x v="0"/>
    <n v="219324"/>
    <n v="3.91"/>
    <n v="5"/>
  </r>
  <r>
    <x v="3"/>
    <s v="EV9"/>
    <x v="3"/>
    <x v="3"/>
    <n v="31082.43"/>
    <n v="50.7"/>
    <n v="177"/>
    <n v="128.80000000000001"/>
    <n v="6.48"/>
    <n v="143"/>
    <n v="191"/>
    <n v="200"/>
    <s v="FWD"/>
    <n v="5"/>
    <x v="1"/>
    <n v="61.8"/>
    <n v="2151"/>
    <x v="1"/>
    <n v="1"/>
    <x v="3"/>
    <x v="3"/>
    <n v="76695"/>
    <n v="3.1"/>
    <n v="3"/>
  </r>
  <r>
    <x v="7"/>
    <s v="Seagull"/>
    <x v="3"/>
    <x v="1"/>
    <n v="111062.23"/>
    <n v="40.6"/>
    <n v="162"/>
    <n v="68.8"/>
    <n v="7.45"/>
    <n v="136"/>
    <n v="1000"/>
    <n v="922"/>
    <s v="AWD"/>
    <n v="5"/>
    <x v="0"/>
    <n v="55.5"/>
    <n v="2095"/>
    <x v="0"/>
    <n v="1"/>
    <x v="4"/>
    <x v="0"/>
    <n v="149002"/>
    <n v="3.28"/>
    <n v="5"/>
  </r>
  <r>
    <x v="9"/>
    <s v="Explorer EV"/>
    <x v="3"/>
    <x v="1"/>
    <n v="56654.61"/>
    <n v="62.9"/>
    <n v="233"/>
    <n v="86.6"/>
    <n v="6.93"/>
    <n v="156"/>
    <n v="574"/>
    <n v="508"/>
    <s v="FWD"/>
    <n v="5"/>
    <x v="2"/>
    <n v="73.099999999999994"/>
    <n v="1533"/>
    <x v="1"/>
    <n v="1"/>
    <x v="2"/>
    <x v="1"/>
    <n v="41791"/>
    <n v="3.47"/>
    <n v="3"/>
  </r>
  <r>
    <x v="7"/>
    <s v="Qin"/>
    <x v="0"/>
    <x v="2"/>
    <n v="82830.36"/>
    <n v="90.4"/>
    <n v="294"/>
    <n v="100.7"/>
    <n v="4.88"/>
    <n v="175"/>
    <n v="902"/>
    <n v="753"/>
    <s v="FWD"/>
    <n v="7"/>
    <x v="2"/>
    <n v="66.7"/>
    <n v="1756"/>
    <x v="1"/>
    <n v="1"/>
    <x v="4"/>
    <x v="2"/>
    <n v="213531"/>
    <n v="3.84"/>
    <n v="3"/>
  </r>
  <r>
    <x v="0"/>
    <s v="ID. Buzz"/>
    <x v="3"/>
    <x v="4"/>
    <n v="85586.86"/>
    <n v="50.5"/>
    <n v="179"/>
    <n v="124"/>
    <n v="5.85"/>
    <n v="160"/>
    <n v="939"/>
    <n v="848"/>
    <s v="RWD"/>
    <n v="5"/>
    <x v="0"/>
    <n v="75.3"/>
    <n v="2623"/>
    <x v="2"/>
    <n v="0"/>
    <x v="0"/>
    <x v="2"/>
    <n v="259718"/>
    <n v="3"/>
    <n v="5"/>
  </r>
  <r>
    <x v="4"/>
    <s v="Model S"/>
    <x v="0"/>
    <x v="0"/>
    <n v="170972.65"/>
    <n v="105.1"/>
    <n v="373"/>
    <n v="286"/>
    <n v="3.44"/>
    <n v="200"/>
    <n v="1000"/>
    <n v="935"/>
    <s v="RWD"/>
    <n v="7"/>
    <x v="2"/>
    <n v="62"/>
    <n v="1500"/>
    <x v="2"/>
    <n v="2"/>
    <x v="2"/>
    <x v="0"/>
    <n v="177006"/>
    <n v="3.89"/>
    <n v="4"/>
  </r>
  <r>
    <x v="4"/>
    <s v="Model Y"/>
    <x v="2"/>
    <x v="2"/>
    <n v="158710.22"/>
    <n v="93.6"/>
    <n v="300"/>
    <n v="349.6"/>
    <n v="4.55"/>
    <n v="182"/>
    <n v="1000"/>
    <n v="900"/>
    <s v="FWD"/>
    <n v="5"/>
    <x v="2"/>
    <n v="74.2"/>
    <n v="1503"/>
    <x v="1"/>
    <n v="2"/>
    <x v="2"/>
    <x v="0"/>
    <n v="416641"/>
    <n v="3.68"/>
    <n v="5"/>
  </r>
  <r>
    <x v="0"/>
    <s v="ID. Aero"/>
    <x v="5"/>
    <x v="0"/>
    <n v="102827.77"/>
    <n v="98.2"/>
    <n v="350"/>
    <n v="164.2"/>
    <n v="3.3"/>
    <n v="196"/>
    <n v="1000"/>
    <n v="867"/>
    <s v="RWD"/>
    <n v="5"/>
    <x v="0"/>
    <n v="78.099999999999994"/>
    <n v="2341"/>
    <x v="1"/>
    <n v="0"/>
    <x v="0"/>
    <x v="0"/>
    <n v="238315"/>
    <n v="3.78"/>
    <n v="4"/>
  </r>
  <r>
    <x v="8"/>
    <s v="Ioniq 6"/>
    <x v="2"/>
    <x v="1"/>
    <n v="58686.32"/>
    <n v="81.599999999999994"/>
    <n v="285"/>
    <n v="109.1"/>
    <n v="5.83"/>
    <n v="161"/>
    <n v="698"/>
    <n v="594"/>
    <s v="RWD"/>
    <n v="5"/>
    <x v="0"/>
    <n v="71.099999999999994"/>
    <n v="2388"/>
    <x v="1"/>
    <n v="0"/>
    <x v="3"/>
    <x v="1"/>
    <n v="66241"/>
    <n v="3.36"/>
    <n v="4"/>
  </r>
  <r>
    <x v="3"/>
    <s v="EV9"/>
    <x v="2"/>
    <x v="0"/>
    <n v="50056.29"/>
    <n v="111.5"/>
    <n v="391"/>
    <n v="219.1"/>
    <n v="3.13"/>
    <n v="195"/>
    <n v="472"/>
    <n v="488"/>
    <s v="FWD"/>
    <n v="5"/>
    <x v="1"/>
    <n v="63.8"/>
    <n v="1774"/>
    <x v="2"/>
    <n v="0"/>
    <x v="3"/>
    <x v="1"/>
    <n v="140441"/>
    <n v="3.97"/>
    <n v="5"/>
  </r>
  <r>
    <x v="7"/>
    <s v="Yuan Plus"/>
    <x v="4"/>
    <x v="3"/>
    <n v="24412.01"/>
    <n v="82.7"/>
    <n v="290"/>
    <n v="66.599999999999994"/>
    <n v="6"/>
    <n v="152"/>
    <n v="221"/>
    <n v="200"/>
    <s v="FWD"/>
    <n v="5"/>
    <x v="0"/>
    <n v="64.5"/>
    <n v="2592"/>
    <x v="1"/>
    <n v="0"/>
    <x v="4"/>
    <x v="3"/>
    <n v="206262"/>
    <n v="3.68"/>
    <n v="4"/>
  </r>
  <r>
    <x v="2"/>
    <s v="Equinox EV"/>
    <x v="2"/>
    <x v="2"/>
    <n v="58896.05"/>
    <n v="104.7"/>
    <n v="389"/>
    <n v="101.3"/>
    <n v="4.57"/>
    <n v="184"/>
    <n v="752"/>
    <n v="710"/>
    <s v="FWD"/>
    <n v="7"/>
    <x v="1"/>
    <n v="65"/>
    <n v="1846"/>
    <x v="0"/>
    <n v="2"/>
    <x v="2"/>
    <x v="1"/>
    <n v="16859"/>
    <n v="3.94"/>
    <n v="5"/>
  </r>
  <r>
    <x v="5"/>
    <s v="EQG"/>
    <x v="2"/>
    <x v="2"/>
    <n v="113572.04"/>
    <n v="85.7"/>
    <n v="286"/>
    <n v="129.9"/>
    <n v="5.52"/>
    <n v="177"/>
    <n v="660"/>
    <n v="563"/>
    <s v="FWD"/>
    <n v="5"/>
    <x v="2"/>
    <n v="76.400000000000006"/>
    <n v="1776"/>
    <x v="0"/>
    <n v="2"/>
    <x v="0"/>
    <x v="0"/>
    <n v="73690"/>
    <n v="3.79"/>
    <n v="7"/>
  </r>
  <r>
    <x v="9"/>
    <s v="E-Transit"/>
    <x v="3"/>
    <x v="4"/>
    <n v="32151.97"/>
    <n v="58.3"/>
    <n v="176"/>
    <n v="88.3"/>
    <n v="5.4"/>
    <n v="169"/>
    <n v="156"/>
    <n v="200"/>
    <s v="FWD"/>
    <n v="5"/>
    <x v="3"/>
    <n v="34.6"/>
    <n v="1556"/>
    <x v="0"/>
    <n v="0"/>
    <x v="2"/>
    <x v="3"/>
    <n v="25887"/>
    <n v="3.14"/>
    <n v="4"/>
  </r>
  <r>
    <x v="4"/>
    <s v="Model Y"/>
    <x v="2"/>
    <x v="1"/>
    <n v="168092.71"/>
    <n v="81.2"/>
    <n v="269"/>
    <n v="254.7"/>
    <n v="7.94"/>
    <n v="124"/>
    <n v="1000"/>
    <n v="891"/>
    <s v="RWD"/>
    <n v="5"/>
    <x v="4"/>
    <n v="22.6"/>
    <n v="1659"/>
    <x v="2"/>
    <n v="3"/>
    <x v="2"/>
    <x v="0"/>
    <n v="434155"/>
    <n v="3.8"/>
    <n v="6"/>
  </r>
  <r>
    <x v="8"/>
    <s v="Ioniq"/>
    <x v="6"/>
    <x v="0"/>
    <n v="74306.48"/>
    <n v="85.9"/>
    <n v="286"/>
    <n v="175.1"/>
    <n v="3.09"/>
    <n v="200"/>
    <n v="962"/>
    <n v="889"/>
    <s v="AWD"/>
    <n v="7"/>
    <x v="0"/>
    <n v="68.400000000000006"/>
    <n v="2759"/>
    <x v="1"/>
    <n v="1"/>
    <x v="3"/>
    <x v="2"/>
    <n v="113130"/>
    <n v="3.67"/>
    <n v="4"/>
  </r>
  <r>
    <x v="4"/>
    <s v="Model X"/>
    <x v="3"/>
    <x v="0"/>
    <n v="99111.24"/>
    <n v="103.7"/>
    <n v="345"/>
    <n v="330.8"/>
    <n v="4.34"/>
    <n v="182"/>
    <n v="750"/>
    <n v="689"/>
    <s v="RWD"/>
    <n v="7"/>
    <x v="0"/>
    <n v="60.8"/>
    <n v="2442"/>
    <x v="1"/>
    <n v="3"/>
    <x v="2"/>
    <x v="2"/>
    <n v="160176"/>
    <n v="4.04"/>
    <n v="5"/>
  </r>
  <r>
    <x v="7"/>
    <s v="Yuan Plus"/>
    <x v="5"/>
    <x v="2"/>
    <n v="32377.24"/>
    <n v="104"/>
    <n v="378"/>
    <n v="82.5"/>
    <n v="4.1100000000000003"/>
    <n v="184"/>
    <n v="309"/>
    <n v="238"/>
    <s v="RWD"/>
    <n v="5"/>
    <x v="4"/>
    <n v="21.4"/>
    <n v="1701"/>
    <x v="0"/>
    <n v="1"/>
    <x v="4"/>
    <x v="3"/>
    <n v="164156"/>
    <n v="3.81"/>
    <n v="3"/>
  </r>
  <r>
    <x v="14"/>
    <s v="Macan Electric"/>
    <x v="4"/>
    <x v="4"/>
    <n v="163150.51999999999"/>
    <n v="73.900000000000006"/>
    <n v="281"/>
    <n v="216.8"/>
    <n v="7.11"/>
    <n v="137"/>
    <n v="828"/>
    <n v="758"/>
    <s v="AWD"/>
    <n v="5"/>
    <x v="2"/>
    <n v="61.1"/>
    <n v="1678"/>
    <x v="1"/>
    <n v="1"/>
    <x v="0"/>
    <x v="0"/>
    <n v="2340"/>
    <n v="4.03"/>
    <n v="6"/>
  </r>
  <r>
    <x v="4"/>
    <s v="Cybertruck"/>
    <x v="0"/>
    <x v="1"/>
    <n v="172193.15"/>
    <n v="58.2"/>
    <n v="181"/>
    <n v="222.8"/>
    <n v="6.94"/>
    <n v="147"/>
    <n v="1000"/>
    <n v="859"/>
    <s v="RWD"/>
    <n v="5"/>
    <x v="0"/>
    <n v="69.400000000000006"/>
    <n v="2679"/>
    <x v="1"/>
    <n v="2"/>
    <x v="2"/>
    <x v="0"/>
    <n v="199763"/>
    <n v="3.42"/>
    <n v="5"/>
  </r>
  <r>
    <x v="8"/>
    <s v="Kona Electric"/>
    <x v="3"/>
    <x v="3"/>
    <n v="46056.18"/>
    <n v="74.8"/>
    <n v="259"/>
    <n v="101.6"/>
    <n v="6.39"/>
    <n v="153"/>
    <n v="458"/>
    <n v="417"/>
    <s v="FWD"/>
    <n v="7"/>
    <x v="5"/>
    <n v="18.7"/>
    <n v="1504"/>
    <x v="1"/>
    <n v="1"/>
    <x v="3"/>
    <x v="1"/>
    <n v="143815"/>
    <n v="3.55"/>
    <n v="5"/>
  </r>
  <r>
    <x v="3"/>
    <s v="Picanto EV"/>
    <x v="3"/>
    <x v="0"/>
    <n v="88002.42"/>
    <n v="95.9"/>
    <n v="334"/>
    <n v="206.4"/>
    <n v="2.6"/>
    <n v="200"/>
    <n v="1000"/>
    <n v="908"/>
    <s v="RWD"/>
    <n v="5"/>
    <x v="1"/>
    <n v="54.2"/>
    <n v="1841"/>
    <x v="1"/>
    <n v="1"/>
    <x v="3"/>
    <x v="2"/>
    <n v="60132"/>
    <n v="3.63"/>
    <n v="4"/>
  </r>
  <r>
    <x v="2"/>
    <s v="Equinox EV"/>
    <x v="3"/>
    <x v="3"/>
    <n v="57562.96"/>
    <n v="48"/>
    <n v="172"/>
    <n v="143"/>
    <n v="6.33"/>
    <n v="154"/>
    <n v="716"/>
    <n v="637"/>
    <s v="AWD"/>
    <n v="5"/>
    <x v="1"/>
    <n v="46.1"/>
    <n v="2246"/>
    <x v="1"/>
    <n v="1"/>
    <x v="2"/>
    <x v="1"/>
    <n v="18527"/>
    <n v="3.44"/>
    <n v="5"/>
  </r>
  <r>
    <x v="3"/>
    <s v="EV6"/>
    <x v="4"/>
    <x v="1"/>
    <n v="91322.04"/>
    <n v="65.900000000000006"/>
    <n v="229"/>
    <n v="67.7"/>
    <n v="6.42"/>
    <n v="156"/>
    <n v="1000"/>
    <n v="818"/>
    <s v="RWD"/>
    <n v="7"/>
    <x v="1"/>
    <n v="52.4"/>
    <n v="2083"/>
    <x v="0"/>
    <n v="1"/>
    <x v="3"/>
    <x v="2"/>
    <n v="103135"/>
    <n v="3.43"/>
    <n v="3"/>
  </r>
  <r>
    <x v="4"/>
    <s v="Model 3"/>
    <x v="3"/>
    <x v="4"/>
    <n v="39764.730000000003"/>
    <n v="62.8"/>
    <n v="218"/>
    <n v="293.10000000000002"/>
    <n v="7.52"/>
    <n v="135"/>
    <n v="254"/>
    <n v="280"/>
    <s v="RWD"/>
    <n v="5"/>
    <x v="0"/>
    <n v="58.1"/>
    <n v="2486"/>
    <x v="1"/>
    <n v="3"/>
    <x v="2"/>
    <x v="1"/>
    <n v="177083"/>
    <n v="3.7"/>
    <n v="6"/>
  </r>
  <r>
    <x v="7"/>
    <s v="Dolphin"/>
    <x v="3"/>
    <x v="2"/>
    <n v="23723.54"/>
    <n v="84.2"/>
    <n v="308"/>
    <n v="134.1"/>
    <n v="4.21"/>
    <n v="185"/>
    <n v="177"/>
    <n v="200"/>
    <s v="RWD"/>
    <n v="7"/>
    <x v="0"/>
    <n v="57.3"/>
    <n v="2484"/>
    <x v="0"/>
    <n v="1"/>
    <x v="4"/>
    <x v="3"/>
    <n v="224275"/>
    <n v="3.65"/>
    <n v="4"/>
  </r>
  <r>
    <x v="8"/>
    <s v="Ioniq 5"/>
    <x v="0"/>
    <x v="1"/>
    <n v="42532.36"/>
    <n v="70.099999999999994"/>
    <n v="253"/>
    <n v="92.1"/>
    <n v="5.87"/>
    <n v="167"/>
    <n v="351"/>
    <n v="261"/>
    <s v="RWD"/>
    <n v="7"/>
    <x v="3"/>
    <n v="21"/>
    <n v="1500"/>
    <x v="1"/>
    <n v="1"/>
    <x v="3"/>
    <x v="1"/>
    <n v="118099"/>
    <n v="3.33"/>
    <n v="4"/>
  </r>
  <r>
    <x v="4"/>
    <s v="Model S"/>
    <x v="0"/>
    <x v="3"/>
    <n v="29555.66"/>
    <n v="54.9"/>
    <n v="182"/>
    <n v="213.2"/>
    <n v="5.79"/>
    <n v="163"/>
    <n v="150"/>
    <n v="200"/>
    <s v="AWD"/>
    <n v="5"/>
    <x v="0"/>
    <n v="71.3"/>
    <n v="2661"/>
    <x v="0"/>
    <n v="2"/>
    <x v="2"/>
    <x v="3"/>
    <n v="119019"/>
    <n v="3.56"/>
    <n v="5"/>
  </r>
  <r>
    <x v="7"/>
    <s v="Yuan Plus"/>
    <x v="0"/>
    <x v="1"/>
    <n v="62695.67"/>
    <n v="55.1"/>
    <n v="191"/>
    <n v="126"/>
    <n v="7.14"/>
    <n v="143"/>
    <n v="677"/>
    <n v="604"/>
    <s v="RWD"/>
    <n v="5"/>
    <x v="0"/>
    <n v="66.599999999999994"/>
    <n v="2371"/>
    <x v="2"/>
    <n v="1"/>
    <x v="4"/>
    <x v="1"/>
    <n v="249959"/>
    <n v="3.49"/>
    <n v="4"/>
  </r>
  <r>
    <x v="4"/>
    <s v="Model Y"/>
    <x v="3"/>
    <x v="2"/>
    <n v="71009.25"/>
    <n v="81"/>
    <n v="305"/>
    <n v="251.1"/>
    <n v="5.81"/>
    <n v="162"/>
    <n v="446"/>
    <n v="472"/>
    <s v="RWD"/>
    <n v="5"/>
    <x v="2"/>
    <n v="74.400000000000006"/>
    <n v="1500"/>
    <x v="0"/>
    <n v="2"/>
    <x v="2"/>
    <x v="2"/>
    <n v="465765"/>
    <n v="3.91"/>
    <n v="4"/>
  </r>
  <r>
    <x v="4"/>
    <s v="Model S"/>
    <x v="0"/>
    <x v="2"/>
    <n v="41849.58"/>
    <n v="96.1"/>
    <n v="319"/>
    <n v="282.3"/>
    <n v="5.76"/>
    <n v="174"/>
    <n v="272"/>
    <n v="317"/>
    <s v="FWD"/>
    <n v="7"/>
    <x v="2"/>
    <n v="65.5"/>
    <n v="1500"/>
    <x v="1"/>
    <n v="3"/>
    <x v="2"/>
    <x v="1"/>
    <n v="211387"/>
    <n v="4"/>
    <n v="4"/>
  </r>
  <r>
    <x v="0"/>
    <s v="ID.5"/>
    <x v="3"/>
    <x v="3"/>
    <n v="36800.160000000003"/>
    <n v="48.1"/>
    <n v="169"/>
    <n v="115.5"/>
    <n v="6.37"/>
    <n v="152"/>
    <n v="222"/>
    <n v="200"/>
    <s v="RWD"/>
    <n v="5"/>
    <x v="1"/>
    <n v="49"/>
    <n v="2050"/>
    <x v="1"/>
    <n v="1"/>
    <x v="0"/>
    <x v="1"/>
    <n v="290748"/>
    <n v="3.43"/>
    <n v="3"/>
  </r>
  <r>
    <x v="4"/>
    <s v="Model Y"/>
    <x v="2"/>
    <x v="1"/>
    <n v="166324.35999999999"/>
    <n v="61.4"/>
    <n v="212"/>
    <n v="252.7"/>
    <n v="7.43"/>
    <n v="136"/>
    <n v="1000"/>
    <n v="933"/>
    <s v="AWD"/>
    <n v="7"/>
    <x v="0"/>
    <n v="55.5"/>
    <n v="2510"/>
    <x v="1"/>
    <n v="3"/>
    <x v="2"/>
    <x v="0"/>
    <n v="466326"/>
    <n v="4.26"/>
    <n v="5"/>
  </r>
  <r>
    <x v="3"/>
    <s v="Picanto EV"/>
    <x v="2"/>
    <x v="3"/>
    <n v="71842.960000000006"/>
    <n v="77"/>
    <n v="291"/>
    <n v="90.9"/>
    <n v="5.22"/>
    <n v="170"/>
    <n v="802"/>
    <n v="770"/>
    <s v="RWD"/>
    <n v="5"/>
    <x v="2"/>
    <n v="64.900000000000006"/>
    <n v="1500"/>
    <x v="0"/>
    <n v="2"/>
    <x v="3"/>
    <x v="2"/>
    <n v="123890"/>
    <n v="3.66"/>
    <n v="3"/>
  </r>
  <r>
    <x v="10"/>
    <s v="i5"/>
    <x v="2"/>
    <x v="2"/>
    <n v="117382.51"/>
    <n v="96.5"/>
    <n v="334"/>
    <n v="145"/>
    <n v="5.0999999999999996"/>
    <n v="180"/>
    <n v="1000"/>
    <n v="892"/>
    <s v="FWD"/>
    <n v="5"/>
    <x v="4"/>
    <n v="25"/>
    <n v="1713"/>
    <x v="0"/>
    <n v="2"/>
    <x v="0"/>
    <x v="0"/>
    <n v="33138"/>
    <n v="3.49"/>
    <n v="7"/>
  </r>
  <r>
    <x v="9"/>
    <s v="Mustang Mach-E"/>
    <x v="2"/>
    <x v="3"/>
    <n v="46219.97"/>
    <n v="70.900000000000006"/>
    <n v="239"/>
    <n v="139.6"/>
    <n v="7.85"/>
    <n v="123"/>
    <n v="385"/>
    <n v="389"/>
    <s v="RWD"/>
    <n v="5"/>
    <x v="2"/>
    <n v="73.2"/>
    <n v="1620"/>
    <x v="0"/>
    <n v="0"/>
    <x v="2"/>
    <x v="1"/>
    <n v="60684"/>
    <n v="3.43"/>
    <n v="4"/>
  </r>
  <r>
    <x v="4"/>
    <s v="Model S"/>
    <x v="2"/>
    <x v="3"/>
    <n v="29639.14"/>
    <n v="52.4"/>
    <n v="164"/>
    <n v="300.89999999999998"/>
    <n v="5.41"/>
    <n v="171"/>
    <n v="157"/>
    <n v="200"/>
    <s v="AWD"/>
    <n v="7"/>
    <x v="1"/>
    <n v="51.3"/>
    <n v="2004"/>
    <x v="0"/>
    <n v="2"/>
    <x v="2"/>
    <x v="3"/>
    <n v="195341"/>
    <n v="3.41"/>
    <n v="4"/>
  </r>
  <r>
    <x v="4"/>
    <s v="Cybertruck"/>
    <x v="3"/>
    <x v="1"/>
    <n v="81977.77"/>
    <n v="68.400000000000006"/>
    <n v="192"/>
    <n v="348.5"/>
    <n v="6.51"/>
    <n v="155"/>
    <n v="587"/>
    <n v="518"/>
    <s v="RWD"/>
    <n v="7"/>
    <x v="0"/>
    <n v="69"/>
    <n v="2412"/>
    <x v="1"/>
    <n v="2"/>
    <x v="2"/>
    <x v="2"/>
    <n v="146854"/>
    <n v="3.53"/>
    <n v="5"/>
  </r>
  <r>
    <x v="4"/>
    <s v="Model S"/>
    <x v="3"/>
    <x v="0"/>
    <n v="94641.12"/>
    <n v="111.8"/>
    <n v="362"/>
    <n v="284.2"/>
    <n v="3.02"/>
    <n v="200"/>
    <n v="630"/>
    <n v="538"/>
    <s v="RWD"/>
    <n v="7"/>
    <x v="1"/>
    <n v="65.900000000000006"/>
    <n v="2014"/>
    <x v="0"/>
    <n v="3"/>
    <x v="2"/>
    <x v="2"/>
    <n v="235320"/>
    <n v="4.03"/>
    <n v="6"/>
  </r>
  <r>
    <x v="10"/>
    <s v="i3"/>
    <x v="0"/>
    <x v="2"/>
    <n v="113237.82"/>
    <n v="108.8"/>
    <n v="398"/>
    <n v="144.19999999999999"/>
    <n v="5.14"/>
    <n v="174"/>
    <n v="986"/>
    <n v="880"/>
    <s v="AWD"/>
    <n v="5"/>
    <x v="3"/>
    <n v="33.9"/>
    <n v="1537"/>
    <x v="0"/>
    <n v="1"/>
    <x v="0"/>
    <x v="0"/>
    <n v="31347"/>
    <n v="3.49"/>
    <n v="7"/>
  </r>
  <r>
    <x v="2"/>
    <s v="Bolt EV"/>
    <x v="2"/>
    <x v="2"/>
    <n v="41353.279999999999"/>
    <n v="81.8"/>
    <n v="274"/>
    <n v="67.3"/>
    <n v="4.7"/>
    <n v="178"/>
    <n v="452"/>
    <n v="383"/>
    <s v="AWD"/>
    <n v="7"/>
    <x v="0"/>
    <n v="59.3"/>
    <n v="2412"/>
    <x v="0"/>
    <n v="0"/>
    <x v="2"/>
    <x v="1"/>
    <n v="28209"/>
    <n v="3.6"/>
    <n v="4"/>
  </r>
  <r>
    <x v="4"/>
    <s v="Model Y"/>
    <x v="4"/>
    <x v="4"/>
    <n v="116565.3"/>
    <n v="80.7"/>
    <n v="282"/>
    <n v="329.9"/>
    <n v="7.85"/>
    <n v="136"/>
    <n v="823"/>
    <n v="688"/>
    <s v="RWD"/>
    <n v="5"/>
    <x v="5"/>
    <n v="34.700000000000003"/>
    <n v="1669"/>
    <x v="1"/>
    <n v="2"/>
    <x v="2"/>
    <x v="0"/>
    <n v="458264"/>
    <n v="3.95"/>
    <n v="6"/>
  </r>
  <r>
    <x v="12"/>
    <s v="EC6"/>
    <x v="3"/>
    <x v="4"/>
    <n v="73079.97"/>
    <n v="50.5"/>
    <n v="174"/>
    <n v="50.9"/>
    <n v="6.59"/>
    <n v="143"/>
    <n v="606"/>
    <n v="548"/>
    <s v="RWD"/>
    <n v="7"/>
    <x v="4"/>
    <n v="25.4"/>
    <n v="1732"/>
    <x v="0"/>
    <n v="1"/>
    <x v="4"/>
    <x v="2"/>
    <n v="11643"/>
    <n v="3.03"/>
    <n v="4"/>
  </r>
  <r>
    <x v="4"/>
    <s v="Model S"/>
    <x v="3"/>
    <x v="3"/>
    <n v="106992.78"/>
    <n v="50.9"/>
    <n v="162"/>
    <n v="212.5"/>
    <n v="6.34"/>
    <n v="152"/>
    <n v="809"/>
    <n v="752"/>
    <s v="FWD"/>
    <n v="5"/>
    <x v="4"/>
    <n v="19.8"/>
    <n v="1727"/>
    <x v="1"/>
    <n v="3"/>
    <x v="2"/>
    <x v="0"/>
    <n v="178229"/>
    <n v="3.58"/>
    <n v="5"/>
  </r>
  <r>
    <x v="3"/>
    <s v="Niro EV"/>
    <x v="2"/>
    <x v="4"/>
    <n v="42318.559999999998"/>
    <n v="40.5"/>
    <n v="150"/>
    <n v="56"/>
    <n v="6.46"/>
    <n v="164"/>
    <n v="383"/>
    <n v="312"/>
    <s v="FWD"/>
    <n v="5"/>
    <x v="2"/>
    <n v="64.7"/>
    <n v="1500"/>
    <x v="1"/>
    <n v="0"/>
    <x v="3"/>
    <x v="1"/>
    <n v="90341"/>
    <n v="3.35"/>
    <n v="4"/>
  </r>
  <r>
    <x v="2"/>
    <s v="Bolt EUV"/>
    <x v="3"/>
    <x v="2"/>
    <n v="51965.01"/>
    <n v="75.8"/>
    <n v="297"/>
    <n v="72.8"/>
    <n v="5.09"/>
    <n v="177"/>
    <n v="565"/>
    <n v="508"/>
    <s v="AWD"/>
    <n v="5"/>
    <x v="4"/>
    <n v="21.8"/>
    <n v="1582"/>
    <x v="1"/>
    <n v="2"/>
    <x v="2"/>
    <x v="1"/>
    <n v="28326"/>
    <n v="3.65"/>
    <n v="5"/>
  </r>
  <r>
    <x v="5"/>
    <s v="EQC"/>
    <x v="3"/>
    <x v="2"/>
    <n v="136371.95000000001"/>
    <n v="98.8"/>
    <n v="323"/>
    <n v="56.3"/>
    <n v="4.7699999999999996"/>
    <n v="180"/>
    <n v="834"/>
    <n v="747"/>
    <s v="AWD"/>
    <n v="7"/>
    <x v="4"/>
    <n v="26.2"/>
    <n v="1500"/>
    <x v="0"/>
    <n v="1"/>
    <x v="0"/>
    <x v="0"/>
    <n v="34019"/>
    <n v="4.25"/>
    <n v="6"/>
  </r>
  <r>
    <x v="2"/>
    <s v="Equinox EV"/>
    <x v="0"/>
    <x v="2"/>
    <n v="53068.74"/>
    <n v="78.7"/>
    <n v="273"/>
    <n v="148"/>
    <n v="4.7"/>
    <n v="184"/>
    <n v="620"/>
    <n v="579"/>
    <s v="AWD"/>
    <n v="5"/>
    <x v="1"/>
    <n v="56.2"/>
    <n v="1900"/>
    <x v="1"/>
    <n v="0"/>
    <x v="2"/>
    <x v="1"/>
    <n v="9605"/>
    <n v="3.25"/>
    <n v="5"/>
  </r>
  <r>
    <x v="9"/>
    <s v="Explorer EV"/>
    <x v="3"/>
    <x v="3"/>
    <n v="45556.75"/>
    <n v="57.9"/>
    <n v="221"/>
    <n v="91.5"/>
    <n v="6.36"/>
    <n v="153"/>
    <n v="387"/>
    <n v="360"/>
    <s v="AWD"/>
    <n v="5"/>
    <x v="4"/>
    <n v="40"/>
    <n v="1500"/>
    <x v="1"/>
    <n v="1"/>
    <x v="2"/>
    <x v="1"/>
    <n v="46977"/>
    <n v="3.32"/>
    <n v="5"/>
  </r>
  <r>
    <x v="7"/>
    <s v="Qin"/>
    <x v="1"/>
    <x v="3"/>
    <n v="24219.14"/>
    <n v="71.400000000000006"/>
    <n v="265"/>
    <n v="147.19999999999999"/>
    <n v="5.13"/>
    <n v="170"/>
    <n v="267"/>
    <n v="228"/>
    <s v="FWD"/>
    <n v="7"/>
    <x v="4"/>
    <n v="31.1"/>
    <n v="1500"/>
    <x v="0"/>
    <n v="0"/>
    <x v="4"/>
    <x v="3"/>
    <n v="166519"/>
    <n v="3.3"/>
    <n v="4"/>
  </r>
  <r>
    <x v="9"/>
    <s v="E-Transit"/>
    <x v="6"/>
    <x v="4"/>
    <n v="62155.3"/>
    <n v="60.7"/>
    <n v="186"/>
    <n v="139"/>
    <n v="6.68"/>
    <n v="161"/>
    <n v="665"/>
    <n v="623"/>
    <s v="AWD"/>
    <n v="5"/>
    <x v="2"/>
    <n v="70.599999999999994"/>
    <n v="1500"/>
    <x v="1"/>
    <n v="1"/>
    <x v="2"/>
    <x v="1"/>
    <n v="60595"/>
    <n v="3.4"/>
    <n v="4"/>
  </r>
  <r>
    <x v="4"/>
    <s v="Model Y"/>
    <x v="2"/>
    <x v="0"/>
    <n v="162214.07999999999"/>
    <n v="80.599999999999994"/>
    <n v="269"/>
    <n v="202.5"/>
    <n v="2.82"/>
    <n v="200"/>
    <n v="1000"/>
    <n v="892"/>
    <s v="AWD"/>
    <n v="7"/>
    <x v="3"/>
    <n v="32.200000000000003"/>
    <n v="1852"/>
    <x v="1"/>
    <n v="2"/>
    <x v="2"/>
    <x v="0"/>
    <n v="443580"/>
    <n v="3.84"/>
    <n v="6"/>
  </r>
  <r>
    <x v="11"/>
    <s v="Q4 e-tron"/>
    <x v="0"/>
    <x v="3"/>
    <n v="76292.22"/>
    <n v="51.4"/>
    <n v="180"/>
    <n v="50.9"/>
    <n v="5.28"/>
    <n v="174"/>
    <n v="435"/>
    <n v="384"/>
    <s v="RWD"/>
    <n v="7"/>
    <x v="0"/>
    <n v="77.7"/>
    <n v="2642"/>
    <x v="1"/>
    <n v="2"/>
    <x v="0"/>
    <x v="2"/>
    <n v="57167"/>
    <n v="3.32"/>
    <n v="8"/>
  </r>
  <r>
    <x v="3"/>
    <s v="EV9"/>
    <x v="6"/>
    <x v="2"/>
    <n v="70023.960000000006"/>
    <n v="107.3"/>
    <n v="379"/>
    <n v="50.8"/>
    <n v="4.21"/>
    <n v="190"/>
    <n v="776"/>
    <n v="677"/>
    <s v="FWD"/>
    <n v="5"/>
    <x v="1"/>
    <n v="45.1"/>
    <n v="2118"/>
    <x v="1"/>
    <n v="0"/>
    <x v="3"/>
    <x v="2"/>
    <n v="63318"/>
    <n v="3.7"/>
    <n v="4"/>
  </r>
  <r>
    <x v="9"/>
    <s v="Explorer EV"/>
    <x v="5"/>
    <x v="3"/>
    <n v="61243.81"/>
    <n v="76.7"/>
    <n v="281"/>
    <n v="98.6"/>
    <n v="5.96"/>
    <n v="163"/>
    <n v="647"/>
    <n v="644"/>
    <s v="RWD"/>
    <n v="7"/>
    <x v="5"/>
    <n v="39.799999999999997"/>
    <n v="1714"/>
    <x v="0"/>
    <n v="0"/>
    <x v="2"/>
    <x v="1"/>
    <n v="57282"/>
    <n v="3.51"/>
    <n v="4"/>
  </r>
  <r>
    <x v="0"/>
    <s v="ID. Buzz"/>
    <x v="2"/>
    <x v="0"/>
    <n v="60928.37"/>
    <n v="119.9"/>
    <n v="406"/>
    <n v="157.6"/>
    <n v="3.7"/>
    <n v="200"/>
    <n v="633"/>
    <n v="585"/>
    <s v="AWD"/>
    <n v="7"/>
    <x v="0"/>
    <n v="58.9"/>
    <n v="2556"/>
    <x v="1"/>
    <n v="1"/>
    <x v="0"/>
    <x v="1"/>
    <n v="257710"/>
    <n v="3.56"/>
    <n v="3"/>
  </r>
  <r>
    <x v="10"/>
    <s v="i3"/>
    <x v="4"/>
    <x v="1"/>
    <n v="119496.22"/>
    <n v="73.8"/>
    <n v="254"/>
    <n v="88.4"/>
    <n v="7.75"/>
    <n v="133"/>
    <n v="1000"/>
    <n v="915"/>
    <s v="AWD"/>
    <n v="5"/>
    <x v="2"/>
    <n v="73.900000000000006"/>
    <n v="1533"/>
    <x v="1"/>
    <n v="1"/>
    <x v="0"/>
    <x v="0"/>
    <n v="47944"/>
    <n v="3.44"/>
    <n v="6"/>
  </r>
  <r>
    <x v="8"/>
    <s v="i30"/>
    <x v="3"/>
    <x v="4"/>
    <n v="66375.02"/>
    <n v="59.8"/>
    <n v="232"/>
    <n v="84.1"/>
    <n v="7.25"/>
    <n v="143"/>
    <n v="741"/>
    <n v="638"/>
    <s v="FWD"/>
    <n v="7"/>
    <x v="4"/>
    <n v="21.5"/>
    <n v="1500"/>
    <x v="0"/>
    <n v="0"/>
    <x v="3"/>
    <x v="2"/>
    <n v="125248"/>
    <n v="3.22"/>
    <n v="3"/>
  </r>
  <r>
    <x v="2"/>
    <s v="Bolt EUV"/>
    <x v="3"/>
    <x v="0"/>
    <n v="68553.58"/>
    <n v="80.599999999999994"/>
    <n v="282"/>
    <n v="184.7"/>
    <n v="3.59"/>
    <n v="193"/>
    <n v="978"/>
    <n v="870"/>
    <s v="FWD"/>
    <n v="5"/>
    <x v="1"/>
    <n v="36.5"/>
    <n v="2177"/>
    <x v="1"/>
    <n v="0"/>
    <x v="2"/>
    <x v="2"/>
    <n v="27343"/>
    <n v="3.55"/>
    <n v="4"/>
  </r>
  <r>
    <x v="4"/>
    <s v="Cybertruck"/>
    <x v="5"/>
    <x v="4"/>
    <n v="80796.91"/>
    <n v="64.599999999999994"/>
    <n v="239"/>
    <n v="287.60000000000002"/>
    <n v="6.99"/>
    <n v="148"/>
    <n v="622"/>
    <n v="531"/>
    <s v="RWD"/>
    <n v="7"/>
    <x v="0"/>
    <n v="60.2"/>
    <n v="2600"/>
    <x v="0"/>
    <n v="2"/>
    <x v="2"/>
    <x v="2"/>
    <n v="212130"/>
    <n v="3.66"/>
    <n v="4"/>
  </r>
  <r>
    <x v="4"/>
    <s v="Model Y"/>
    <x v="4"/>
    <x v="3"/>
    <n v="59816.02"/>
    <n v="58.9"/>
    <n v="204"/>
    <n v="321.10000000000002"/>
    <n v="5.9"/>
    <n v="157"/>
    <n v="431"/>
    <n v="386"/>
    <s v="AWD"/>
    <n v="5"/>
    <x v="2"/>
    <n v="63"/>
    <n v="1500"/>
    <x v="0"/>
    <n v="3"/>
    <x v="2"/>
    <x v="1"/>
    <n v="446207"/>
    <n v="3.67"/>
    <n v="6"/>
  </r>
  <r>
    <x v="7"/>
    <s v="Seagull"/>
    <x v="6"/>
    <x v="0"/>
    <n v="61584.07"/>
    <n v="117"/>
    <n v="409"/>
    <n v="225.5"/>
    <n v="3.84"/>
    <n v="196"/>
    <n v="687"/>
    <n v="636"/>
    <s v="AWD"/>
    <n v="5"/>
    <x v="5"/>
    <n v="28.7"/>
    <n v="1600"/>
    <x v="1"/>
    <n v="0"/>
    <x v="4"/>
    <x v="1"/>
    <n v="190643"/>
    <n v="3.93"/>
    <n v="5"/>
  </r>
  <r>
    <x v="4"/>
    <s v="Model X"/>
    <x v="2"/>
    <x v="3"/>
    <n v="99143.24"/>
    <n v="56.5"/>
    <n v="200"/>
    <n v="325.2"/>
    <n v="6.99"/>
    <n v="142"/>
    <n v="685"/>
    <n v="610"/>
    <s v="RWD"/>
    <n v="5"/>
    <x v="4"/>
    <n v="26.4"/>
    <n v="1638"/>
    <x v="2"/>
    <n v="2"/>
    <x v="2"/>
    <x v="2"/>
    <n v="177987"/>
    <n v="3.6"/>
    <n v="6"/>
  </r>
  <r>
    <x v="5"/>
    <s v="EQS"/>
    <x v="0"/>
    <x v="3"/>
    <n v="129584.74"/>
    <n v="64.2"/>
    <n v="260"/>
    <n v="81.2"/>
    <n v="7.72"/>
    <n v="126"/>
    <n v="788"/>
    <n v="737"/>
    <s v="FWD"/>
    <n v="7"/>
    <x v="3"/>
    <n v="30.6"/>
    <n v="1739"/>
    <x v="1"/>
    <n v="1"/>
    <x v="0"/>
    <x v="0"/>
    <n v="24901"/>
    <n v="3.81"/>
    <n v="6"/>
  </r>
  <r>
    <x v="7"/>
    <s v="Seagull"/>
    <x v="4"/>
    <x v="0"/>
    <n v="99786.36"/>
    <n v="108.9"/>
    <n v="369"/>
    <n v="206.4"/>
    <n v="3.23"/>
    <n v="200"/>
    <n v="1000"/>
    <n v="861"/>
    <s v="AWD"/>
    <n v="5"/>
    <x v="5"/>
    <n v="32.5"/>
    <n v="1675"/>
    <x v="1"/>
    <n v="0"/>
    <x v="4"/>
    <x v="2"/>
    <n v="126447"/>
    <n v="3.92"/>
    <n v="3"/>
  </r>
  <r>
    <x v="16"/>
    <s v="Air"/>
    <x v="5"/>
    <x v="3"/>
    <n v="137880.07999999999"/>
    <n v="41.3"/>
    <n v="150"/>
    <n v="291"/>
    <n v="7.96"/>
    <n v="127"/>
    <n v="488"/>
    <n v="458"/>
    <s v="FWD"/>
    <n v="7"/>
    <x v="0"/>
    <n v="53.2"/>
    <n v="2482"/>
    <x v="1"/>
    <n v="1"/>
    <x v="2"/>
    <x v="0"/>
    <n v="21377"/>
    <n v="3.21"/>
    <n v="5"/>
  </r>
  <r>
    <x v="7"/>
    <s v="Seagull"/>
    <x v="3"/>
    <x v="2"/>
    <n v="57737.75"/>
    <n v="106.1"/>
    <n v="383"/>
    <n v="148.9"/>
    <n v="4.2300000000000004"/>
    <n v="189"/>
    <n v="660"/>
    <n v="579"/>
    <s v="AWD"/>
    <n v="5"/>
    <x v="4"/>
    <n v="34.200000000000003"/>
    <n v="1878"/>
    <x v="0"/>
    <n v="2"/>
    <x v="4"/>
    <x v="1"/>
    <n v="108943"/>
    <n v="4.12"/>
    <n v="4"/>
  </r>
  <r>
    <x v="4"/>
    <s v="Model Y"/>
    <x v="0"/>
    <x v="3"/>
    <n v="112472.41"/>
    <n v="74.3"/>
    <n v="238"/>
    <n v="263.8"/>
    <n v="7.32"/>
    <n v="142"/>
    <n v="800"/>
    <n v="741"/>
    <s v="FWD"/>
    <n v="5"/>
    <x v="2"/>
    <n v="63.4"/>
    <n v="1500"/>
    <x v="1"/>
    <n v="3"/>
    <x v="2"/>
    <x v="0"/>
    <n v="485203"/>
    <n v="3.66"/>
    <n v="4"/>
  </r>
  <r>
    <x v="9"/>
    <s v="E-Transit"/>
    <x v="3"/>
    <x v="2"/>
    <n v="54602.2"/>
    <n v="96"/>
    <n v="344"/>
    <n v="102.3"/>
    <n v="4.45"/>
    <n v="181"/>
    <n v="560"/>
    <n v="508"/>
    <s v="AWD"/>
    <n v="5"/>
    <x v="2"/>
    <n v="61.8"/>
    <n v="1886"/>
    <x v="2"/>
    <n v="1"/>
    <x v="2"/>
    <x v="1"/>
    <n v="50891"/>
    <n v="3.53"/>
    <n v="4"/>
  </r>
  <r>
    <x v="10"/>
    <s v="iX"/>
    <x v="4"/>
    <x v="2"/>
    <n v="86702.14"/>
    <n v="97.3"/>
    <n v="331"/>
    <n v="69.099999999999994"/>
    <n v="5.0199999999999996"/>
    <n v="176"/>
    <n v="662"/>
    <n v="609"/>
    <s v="RWD"/>
    <n v="5"/>
    <x v="1"/>
    <n v="63.9"/>
    <n v="2095"/>
    <x v="2"/>
    <n v="2"/>
    <x v="0"/>
    <x v="2"/>
    <n v="40089"/>
    <n v="3.69"/>
    <n v="7"/>
  </r>
  <r>
    <x v="8"/>
    <s v="Ioniq 5"/>
    <x v="0"/>
    <x v="0"/>
    <n v="107017.27"/>
    <n v="75.2"/>
    <n v="259"/>
    <n v="223.3"/>
    <n v="4.08"/>
    <n v="184"/>
    <n v="1000"/>
    <n v="920"/>
    <s v="RWD"/>
    <n v="5"/>
    <x v="1"/>
    <n v="60.4"/>
    <n v="2285"/>
    <x v="1"/>
    <n v="0"/>
    <x v="3"/>
    <x v="0"/>
    <n v="67872"/>
    <n v="3.44"/>
    <n v="4"/>
  </r>
  <r>
    <x v="3"/>
    <s v="Sportage EV"/>
    <x v="3"/>
    <x v="2"/>
    <n v="76787.3"/>
    <n v="75.400000000000006"/>
    <n v="275"/>
    <n v="121.5"/>
    <n v="5.81"/>
    <n v="171"/>
    <n v="887"/>
    <n v="779"/>
    <s v="RWD"/>
    <n v="5"/>
    <x v="1"/>
    <n v="60.2"/>
    <n v="2168"/>
    <x v="0"/>
    <n v="0"/>
    <x v="3"/>
    <x v="2"/>
    <n v="116634"/>
    <n v="3.71"/>
    <n v="3"/>
  </r>
  <r>
    <x v="2"/>
    <s v="Bolt EUV"/>
    <x v="2"/>
    <x v="2"/>
    <n v="54182.3"/>
    <n v="85.5"/>
    <n v="299"/>
    <n v="106.1"/>
    <n v="5.9"/>
    <n v="165"/>
    <n v="666"/>
    <n v="603"/>
    <s v="AWD"/>
    <n v="7"/>
    <x v="0"/>
    <n v="59.3"/>
    <n v="2617"/>
    <x v="0"/>
    <n v="0"/>
    <x v="2"/>
    <x v="1"/>
    <n v="4380"/>
    <n v="3.46"/>
    <n v="4"/>
  </r>
  <r>
    <x v="7"/>
    <s v="Dolphin"/>
    <x v="1"/>
    <x v="2"/>
    <n v="43671.62"/>
    <n v="95.1"/>
    <n v="328"/>
    <n v="90.4"/>
    <n v="4.97"/>
    <n v="173"/>
    <n v="517"/>
    <n v="391"/>
    <s v="AWD"/>
    <n v="7"/>
    <x v="4"/>
    <n v="21.4"/>
    <n v="1500"/>
    <x v="2"/>
    <n v="0"/>
    <x v="4"/>
    <x v="1"/>
    <n v="203792"/>
    <n v="3.47"/>
    <n v="3"/>
  </r>
  <r>
    <x v="18"/>
    <s v="SU7"/>
    <x v="3"/>
    <x v="1"/>
    <n v="55513.599999999999"/>
    <n v="48.7"/>
    <n v="150"/>
    <n v="126.5"/>
    <n v="5.94"/>
    <n v="162"/>
    <n v="434"/>
    <n v="369"/>
    <s v="AWD"/>
    <n v="5"/>
    <x v="5"/>
    <n v="21"/>
    <n v="1521"/>
    <x v="0"/>
    <n v="0"/>
    <x v="4"/>
    <x v="1"/>
    <n v="22327"/>
    <n v="3.32"/>
    <n v="4"/>
  </r>
  <r>
    <x v="16"/>
    <s v="Air"/>
    <x v="2"/>
    <x v="1"/>
    <n v="269775.2"/>
    <n v="76.3"/>
    <n v="276"/>
    <n v="262.39999999999998"/>
    <n v="5.1100000000000003"/>
    <n v="163"/>
    <n v="1000"/>
    <n v="928"/>
    <s v="AWD"/>
    <n v="7"/>
    <x v="3"/>
    <n v="16.600000000000001"/>
    <n v="1560"/>
    <x v="0"/>
    <n v="1"/>
    <x v="2"/>
    <x v="0"/>
    <n v="4056"/>
    <n v="3.28"/>
    <n v="4"/>
  </r>
  <r>
    <x v="10"/>
    <s v="i7"/>
    <x v="5"/>
    <x v="1"/>
    <n v="125637.29"/>
    <n v="67.5"/>
    <n v="240"/>
    <n v="56"/>
    <n v="7.12"/>
    <n v="151"/>
    <n v="1000"/>
    <n v="870"/>
    <s v="RWD"/>
    <n v="5"/>
    <x v="3"/>
    <n v="28.2"/>
    <n v="1713"/>
    <x v="1"/>
    <n v="2"/>
    <x v="0"/>
    <x v="0"/>
    <n v="47587"/>
    <n v="3.56"/>
    <n v="7"/>
  </r>
  <r>
    <x v="4"/>
    <s v="Model 3"/>
    <x v="2"/>
    <x v="1"/>
    <n v="111275.22"/>
    <n v="82.9"/>
    <n v="291"/>
    <n v="207.4"/>
    <n v="5.18"/>
    <n v="171"/>
    <n v="794"/>
    <n v="685"/>
    <s v="AWD"/>
    <n v="5"/>
    <x v="1"/>
    <n v="62.4"/>
    <n v="1551"/>
    <x v="1"/>
    <n v="2"/>
    <x v="2"/>
    <x v="0"/>
    <n v="172863"/>
    <n v="3.88"/>
    <n v="5"/>
  </r>
  <r>
    <x v="10"/>
    <s v="i4"/>
    <x v="3"/>
    <x v="3"/>
    <n v="84529.75"/>
    <n v="77.3"/>
    <n v="276"/>
    <n v="118.7"/>
    <n v="5.17"/>
    <n v="176"/>
    <n v="611"/>
    <n v="549"/>
    <s v="AWD"/>
    <n v="5"/>
    <x v="3"/>
    <n v="32.4"/>
    <n v="1644"/>
    <x v="0"/>
    <n v="2"/>
    <x v="0"/>
    <x v="2"/>
    <n v="25679"/>
    <n v="3.71"/>
    <n v="7"/>
  </r>
  <r>
    <x v="4"/>
    <s v="Model S"/>
    <x v="3"/>
    <x v="3"/>
    <n v="97308.1"/>
    <n v="56.4"/>
    <n v="188"/>
    <n v="210"/>
    <n v="7.16"/>
    <n v="153"/>
    <n v="714"/>
    <n v="652"/>
    <s v="FWD"/>
    <n v="7"/>
    <x v="1"/>
    <n v="41.8"/>
    <n v="2139"/>
    <x v="0"/>
    <n v="2"/>
    <x v="2"/>
    <x v="2"/>
    <n v="239872"/>
    <n v="3.7"/>
    <n v="5"/>
  </r>
  <r>
    <x v="4"/>
    <s v="Model X"/>
    <x v="3"/>
    <x v="1"/>
    <n v="35653.980000000003"/>
    <n v="52"/>
    <n v="162"/>
    <n v="274.8"/>
    <n v="6.58"/>
    <n v="146"/>
    <n v="182"/>
    <n v="200"/>
    <s v="FWD"/>
    <n v="5"/>
    <x v="0"/>
    <n v="60"/>
    <n v="2311"/>
    <x v="0"/>
    <n v="2"/>
    <x v="2"/>
    <x v="1"/>
    <n v="228295"/>
    <n v="3.58"/>
    <n v="4"/>
  </r>
  <r>
    <x v="7"/>
    <s v="Leaf 50X"/>
    <x v="5"/>
    <x v="2"/>
    <n v="101979.86"/>
    <n v="105.4"/>
    <n v="376"/>
    <n v="140.19999999999999"/>
    <n v="4.62"/>
    <n v="183"/>
    <n v="1000"/>
    <n v="924"/>
    <s v="FWD"/>
    <n v="5"/>
    <x v="2"/>
    <n v="74.5"/>
    <n v="1500"/>
    <x v="0"/>
    <n v="0"/>
    <x v="4"/>
    <x v="0"/>
    <n v="128300"/>
    <n v="3.96"/>
    <n v="5"/>
  </r>
  <r>
    <x v="8"/>
    <s v="Ioniq 6"/>
    <x v="3"/>
    <x v="2"/>
    <n v="80040.399999999994"/>
    <n v="81.099999999999994"/>
    <n v="284"/>
    <n v="105.4"/>
    <n v="4.38"/>
    <n v="181"/>
    <n v="1000"/>
    <n v="895"/>
    <s v="AWD"/>
    <n v="5"/>
    <x v="0"/>
    <n v="59.1"/>
    <n v="2281"/>
    <x v="1"/>
    <n v="0"/>
    <x v="3"/>
    <x v="2"/>
    <n v="146157"/>
    <n v="3.67"/>
    <n v="4"/>
  </r>
  <r>
    <x v="5"/>
    <s v="GLE EV"/>
    <x v="5"/>
    <x v="0"/>
    <n v="104553.67"/>
    <n v="111.7"/>
    <n v="412"/>
    <n v="187.5"/>
    <n v="3.3"/>
    <n v="192"/>
    <n v="554"/>
    <n v="463"/>
    <s v="FWD"/>
    <n v="5"/>
    <x v="3"/>
    <n v="25.3"/>
    <n v="1664"/>
    <x v="0"/>
    <n v="1"/>
    <x v="0"/>
    <x v="0"/>
    <n v="68955"/>
    <n v="4.3899999999999997"/>
    <n v="7"/>
  </r>
  <r>
    <x v="2"/>
    <s v="Equinox EV"/>
    <x v="0"/>
    <x v="2"/>
    <n v="65559.399999999994"/>
    <n v="97.3"/>
    <n v="331"/>
    <n v="105"/>
    <n v="5.0199999999999996"/>
    <n v="177"/>
    <n v="844"/>
    <n v="702"/>
    <s v="FWD"/>
    <n v="5"/>
    <x v="1"/>
    <n v="45.3"/>
    <n v="1966"/>
    <x v="0"/>
    <n v="1"/>
    <x v="2"/>
    <x v="2"/>
    <n v="6658"/>
    <n v="3.7"/>
    <n v="4"/>
  </r>
  <r>
    <x v="2"/>
    <s v="Equinox EV"/>
    <x v="3"/>
    <x v="3"/>
    <n v="64750.83"/>
    <n v="60.4"/>
    <n v="230"/>
    <n v="72.2"/>
    <n v="7.58"/>
    <n v="137"/>
    <n v="899"/>
    <n v="829"/>
    <s v="AWD"/>
    <n v="7"/>
    <x v="1"/>
    <n v="45.9"/>
    <n v="2008"/>
    <x v="0"/>
    <n v="2"/>
    <x v="2"/>
    <x v="1"/>
    <n v="23069"/>
    <n v="3.62"/>
    <n v="5"/>
  </r>
  <r>
    <x v="0"/>
    <s v="ID.3"/>
    <x v="0"/>
    <x v="4"/>
    <n v="32332.16"/>
    <n v="53.1"/>
    <n v="184"/>
    <n v="146.1"/>
    <n v="5.64"/>
    <n v="170"/>
    <n v="169"/>
    <n v="200"/>
    <s v="RWD"/>
    <n v="5"/>
    <x v="3"/>
    <n v="22.5"/>
    <n v="1596"/>
    <x v="1"/>
    <n v="1"/>
    <x v="0"/>
    <x v="3"/>
    <n v="283336"/>
    <n v="3.52"/>
    <n v="3"/>
  </r>
  <r>
    <x v="7"/>
    <s v="Qin"/>
    <x v="5"/>
    <x v="0"/>
    <n v="112008.03"/>
    <n v="112.5"/>
    <n v="389"/>
    <n v="190.5"/>
    <n v="3.29"/>
    <n v="200"/>
    <n v="1000"/>
    <n v="897"/>
    <s v="RWD"/>
    <n v="7"/>
    <x v="1"/>
    <n v="38.6"/>
    <n v="2173"/>
    <x v="2"/>
    <n v="0"/>
    <x v="4"/>
    <x v="0"/>
    <n v="201649"/>
    <n v="3.59"/>
    <n v="5"/>
  </r>
  <r>
    <x v="0"/>
    <s v="ID. Buzz"/>
    <x v="0"/>
    <x v="0"/>
    <n v="114648.63"/>
    <n v="104.8"/>
    <n v="352"/>
    <n v="221.6"/>
    <n v="3.92"/>
    <n v="197"/>
    <n v="1000"/>
    <n v="934"/>
    <s v="RWD"/>
    <n v="7"/>
    <x v="1"/>
    <n v="35.700000000000003"/>
    <n v="2254"/>
    <x v="0"/>
    <n v="1"/>
    <x v="0"/>
    <x v="0"/>
    <n v="297615"/>
    <n v="3.66"/>
    <n v="4"/>
  </r>
  <r>
    <x v="14"/>
    <s v="Taycan"/>
    <x v="3"/>
    <x v="1"/>
    <n v="111303.96"/>
    <n v="67.099999999999994"/>
    <n v="242"/>
    <n v="317.89999999999998"/>
    <n v="7.4"/>
    <n v="145"/>
    <n v="387"/>
    <n v="369"/>
    <s v="RWD"/>
    <n v="7"/>
    <x v="2"/>
    <n v="79"/>
    <n v="1500"/>
    <x v="1"/>
    <n v="1"/>
    <x v="0"/>
    <x v="0"/>
    <n v="5234"/>
    <n v="3.75"/>
    <n v="6"/>
  </r>
  <r>
    <x v="4"/>
    <s v="Model Y"/>
    <x v="4"/>
    <x v="1"/>
    <n v="60365.37"/>
    <n v="70.3"/>
    <n v="225"/>
    <n v="248"/>
    <n v="5.77"/>
    <n v="155"/>
    <n v="390"/>
    <n v="337"/>
    <s v="AWD"/>
    <n v="7"/>
    <x v="5"/>
    <n v="17.399999999999999"/>
    <n v="1624"/>
    <x v="1"/>
    <n v="2"/>
    <x v="2"/>
    <x v="1"/>
    <n v="438670"/>
    <n v="3.68"/>
    <n v="4"/>
  </r>
  <r>
    <x v="5"/>
    <s v="EQE"/>
    <x v="3"/>
    <x v="1"/>
    <n v="198768.13"/>
    <n v="55.6"/>
    <n v="194"/>
    <n v="83.6"/>
    <n v="5.28"/>
    <n v="170"/>
    <n v="1000"/>
    <n v="936"/>
    <s v="RWD"/>
    <n v="5"/>
    <x v="1"/>
    <n v="66.5"/>
    <n v="2382"/>
    <x v="1"/>
    <n v="1"/>
    <x v="0"/>
    <x v="0"/>
    <n v="77200"/>
    <n v="3.68"/>
    <n v="6"/>
  </r>
  <r>
    <x v="3"/>
    <s v="Picanto EV"/>
    <x v="2"/>
    <x v="4"/>
    <n v="32564.1"/>
    <n v="46.2"/>
    <n v="180"/>
    <n v="117.7"/>
    <n v="6.66"/>
    <n v="156"/>
    <n v="221"/>
    <n v="217"/>
    <s v="FWD"/>
    <n v="5"/>
    <x v="3"/>
    <n v="20.8"/>
    <n v="1510"/>
    <x v="0"/>
    <n v="0"/>
    <x v="3"/>
    <x v="3"/>
    <n v="123543"/>
    <n v="3.02"/>
    <n v="3"/>
  </r>
  <r>
    <x v="0"/>
    <s v="ID. Buzz"/>
    <x v="3"/>
    <x v="1"/>
    <n v="116578.08"/>
    <n v="55.4"/>
    <n v="182"/>
    <n v="112.5"/>
    <n v="7.11"/>
    <n v="147"/>
    <n v="1000"/>
    <n v="920"/>
    <s v="RWD"/>
    <n v="5"/>
    <x v="2"/>
    <n v="61.6"/>
    <n v="1580"/>
    <x v="2"/>
    <n v="2"/>
    <x v="0"/>
    <x v="0"/>
    <n v="202014"/>
    <n v="3.21"/>
    <n v="3"/>
  </r>
  <r>
    <x v="2"/>
    <s v="Bolt EV"/>
    <x v="1"/>
    <x v="3"/>
    <n v="44453.56"/>
    <n v="69.7"/>
    <n v="242"/>
    <n v="54.4"/>
    <n v="7.29"/>
    <n v="145"/>
    <n v="498"/>
    <n v="426"/>
    <s v="FWD"/>
    <n v="5"/>
    <x v="2"/>
    <n v="78"/>
    <n v="1500"/>
    <x v="1"/>
    <n v="1"/>
    <x v="2"/>
    <x v="1"/>
    <n v="19383"/>
    <n v="3.42"/>
    <n v="4"/>
  </r>
  <r>
    <x v="8"/>
    <s v="Ioniq"/>
    <x v="4"/>
    <x v="4"/>
    <n v="33847.360000000001"/>
    <n v="58.9"/>
    <n v="209"/>
    <n v="107.8"/>
    <n v="6.1"/>
    <n v="158"/>
    <n v="254"/>
    <n v="208"/>
    <s v="AWD"/>
    <n v="7"/>
    <x v="5"/>
    <n v="37"/>
    <n v="1766"/>
    <x v="2"/>
    <n v="0"/>
    <x v="3"/>
    <x v="3"/>
    <n v="145242"/>
    <n v="3.32"/>
    <n v="3"/>
  </r>
  <r>
    <x v="11"/>
    <s v="Q6 e-tron"/>
    <x v="2"/>
    <x v="3"/>
    <n v="51267.23"/>
    <n v="71.400000000000006"/>
    <n v="241"/>
    <n v="63.6"/>
    <n v="6"/>
    <n v="155"/>
    <n v="194"/>
    <n v="200"/>
    <s v="RWD"/>
    <n v="7"/>
    <x v="5"/>
    <n v="32.4"/>
    <n v="1704"/>
    <x v="0"/>
    <n v="1"/>
    <x v="0"/>
    <x v="1"/>
    <n v="64472"/>
    <n v="3.5"/>
    <n v="6"/>
  </r>
  <r>
    <x v="11"/>
    <s v="e-tron"/>
    <x v="3"/>
    <x v="4"/>
    <n v="77807.960000000006"/>
    <n v="46.7"/>
    <n v="186"/>
    <n v="100.6"/>
    <n v="7.48"/>
    <n v="131"/>
    <n v="428"/>
    <n v="409"/>
    <s v="FWD"/>
    <n v="5"/>
    <x v="2"/>
    <n v="70.099999999999994"/>
    <n v="1701"/>
    <x v="1"/>
    <n v="2"/>
    <x v="0"/>
    <x v="2"/>
    <n v="67104"/>
    <n v="3.14"/>
    <n v="5"/>
  </r>
  <r>
    <x v="0"/>
    <s v="ID.4"/>
    <x v="3"/>
    <x v="3"/>
    <n v="78903.539999999994"/>
    <n v="67.099999999999994"/>
    <n v="237"/>
    <n v="95"/>
    <n v="5.41"/>
    <n v="169"/>
    <n v="869"/>
    <n v="785"/>
    <s v="FWD"/>
    <n v="7"/>
    <x v="2"/>
    <n v="61.9"/>
    <n v="1553"/>
    <x v="1"/>
    <n v="0"/>
    <x v="0"/>
    <x v="2"/>
    <n v="283626"/>
    <n v="3.43"/>
    <n v="4"/>
  </r>
  <r>
    <x v="7"/>
    <s v="Leaf 50X"/>
    <x v="2"/>
    <x v="2"/>
    <n v="75118.039999999994"/>
    <n v="88.3"/>
    <n v="325"/>
    <n v="84.8"/>
    <n v="4.1399999999999997"/>
    <n v="189"/>
    <n v="840"/>
    <n v="797"/>
    <s v="FWD"/>
    <n v="5"/>
    <x v="5"/>
    <n v="32.200000000000003"/>
    <n v="1759"/>
    <x v="0"/>
    <n v="0"/>
    <x v="4"/>
    <x v="2"/>
    <n v="220772"/>
    <n v="3.68"/>
    <n v="3"/>
  </r>
  <r>
    <x v="3"/>
    <s v="EV9"/>
    <x v="0"/>
    <x v="0"/>
    <n v="76777.22"/>
    <n v="72.5"/>
    <n v="254"/>
    <n v="171.5"/>
    <n v="2.52"/>
    <n v="200"/>
    <n v="894"/>
    <n v="748"/>
    <s v="AWD"/>
    <n v="5"/>
    <x v="1"/>
    <n v="55.3"/>
    <n v="2179"/>
    <x v="0"/>
    <n v="0"/>
    <x v="3"/>
    <x v="2"/>
    <n v="99948"/>
    <n v="3.66"/>
    <n v="5"/>
  </r>
  <r>
    <x v="11"/>
    <s v="Q4 e-tron"/>
    <x v="3"/>
    <x v="4"/>
    <n v="119850.54"/>
    <n v="74.400000000000006"/>
    <n v="257"/>
    <n v="54.1"/>
    <n v="6.24"/>
    <n v="160"/>
    <n v="936"/>
    <n v="892"/>
    <s v="RWD"/>
    <n v="5"/>
    <x v="5"/>
    <n v="28.1"/>
    <n v="1635"/>
    <x v="1"/>
    <n v="2"/>
    <x v="0"/>
    <x v="0"/>
    <n v="48973"/>
    <n v="3.68"/>
    <n v="6"/>
  </r>
  <r>
    <x v="7"/>
    <s v="Atto 3"/>
    <x v="3"/>
    <x v="1"/>
    <n v="45553.77"/>
    <n v="71.900000000000006"/>
    <n v="240"/>
    <n v="73.900000000000006"/>
    <n v="7.84"/>
    <n v="134"/>
    <n v="460"/>
    <n v="455"/>
    <s v="AWD"/>
    <n v="5"/>
    <x v="1"/>
    <n v="43.8"/>
    <n v="2109"/>
    <x v="1"/>
    <n v="0"/>
    <x v="4"/>
    <x v="1"/>
    <n v="119429"/>
    <n v="3.24"/>
    <n v="5"/>
  </r>
  <r>
    <x v="10"/>
    <s v="i3"/>
    <x v="0"/>
    <x v="0"/>
    <n v="111495.73"/>
    <n v="82.7"/>
    <n v="283"/>
    <n v="247"/>
    <n v="4.09"/>
    <n v="188"/>
    <n v="953"/>
    <n v="813"/>
    <s v="RWD"/>
    <n v="5"/>
    <x v="4"/>
    <n v="24.4"/>
    <n v="1636"/>
    <x v="0"/>
    <n v="1"/>
    <x v="0"/>
    <x v="0"/>
    <n v="41408"/>
    <n v="3.72"/>
    <n v="6"/>
  </r>
  <r>
    <x v="10"/>
    <s v="iX"/>
    <x v="2"/>
    <x v="0"/>
    <n v="134617.67000000001"/>
    <n v="90.5"/>
    <n v="308"/>
    <n v="215.3"/>
    <n v="4.1500000000000004"/>
    <n v="190"/>
    <n v="1000"/>
    <n v="928"/>
    <s v="AWD"/>
    <n v="5"/>
    <x v="4"/>
    <n v="32.5"/>
    <n v="1939"/>
    <x v="1"/>
    <n v="2"/>
    <x v="0"/>
    <x v="0"/>
    <n v="68965"/>
    <n v="3.76"/>
    <n v="7"/>
  </r>
  <r>
    <x v="2"/>
    <s v="Bolt EV"/>
    <x v="2"/>
    <x v="2"/>
    <n v="55216.4"/>
    <n v="81.900000000000006"/>
    <n v="299"/>
    <n v="82.8"/>
    <n v="5.75"/>
    <n v="153"/>
    <n v="668"/>
    <n v="609"/>
    <s v="RWD"/>
    <n v="5"/>
    <x v="4"/>
    <n v="28.5"/>
    <n v="1500"/>
    <x v="1"/>
    <n v="1"/>
    <x v="2"/>
    <x v="1"/>
    <n v="805"/>
    <n v="3.76"/>
    <n v="3"/>
  </r>
  <r>
    <x v="4"/>
    <s v="Model S"/>
    <x v="0"/>
    <x v="1"/>
    <n v="163320.60999999999"/>
    <n v="72.8"/>
    <n v="240"/>
    <n v="346.7"/>
    <n v="6.75"/>
    <n v="147"/>
    <n v="1000"/>
    <n v="870"/>
    <s v="AWD"/>
    <n v="7"/>
    <x v="3"/>
    <n v="38.9"/>
    <n v="1689"/>
    <x v="0"/>
    <n v="2"/>
    <x v="2"/>
    <x v="0"/>
    <n v="220716"/>
    <n v="3.73"/>
    <n v="5"/>
  </r>
  <r>
    <x v="2"/>
    <s v="Bolt EUV"/>
    <x v="5"/>
    <x v="1"/>
    <n v="52994.74"/>
    <n v="63.4"/>
    <n v="206"/>
    <n v="127.9"/>
    <n v="7.67"/>
    <n v="130"/>
    <n v="679"/>
    <n v="612"/>
    <s v="AWD"/>
    <n v="5"/>
    <x v="0"/>
    <n v="64.7"/>
    <n v="2568"/>
    <x v="1"/>
    <n v="1"/>
    <x v="2"/>
    <x v="1"/>
    <n v="5490"/>
    <n v="3.27"/>
    <n v="3"/>
  </r>
  <r>
    <x v="11"/>
    <s v="e-tron"/>
    <x v="2"/>
    <x v="4"/>
    <n v="111572.71"/>
    <n v="71.599999999999994"/>
    <n v="265"/>
    <n v="61"/>
    <n v="7.14"/>
    <n v="144"/>
    <n v="835"/>
    <n v="749"/>
    <s v="FWD"/>
    <n v="5"/>
    <x v="3"/>
    <n v="26.3"/>
    <n v="1707"/>
    <x v="1"/>
    <n v="1"/>
    <x v="0"/>
    <x v="0"/>
    <n v="58813"/>
    <n v="3.28"/>
    <n v="8"/>
  </r>
  <r>
    <x v="4"/>
    <s v="Model X"/>
    <x v="2"/>
    <x v="0"/>
    <n v="79743.44"/>
    <n v="90.1"/>
    <n v="322"/>
    <n v="230.5"/>
    <n v="4.29"/>
    <n v="182"/>
    <n v="533"/>
    <n v="444"/>
    <s v="RWD"/>
    <n v="5"/>
    <x v="1"/>
    <n v="40.6"/>
    <n v="2108"/>
    <x v="1"/>
    <n v="3"/>
    <x v="2"/>
    <x v="2"/>
    <n v="136484"/>
    <n v="3.83"/>
    <n v="6"/>
  </r>
  <r>
    <x v="7"/>
    <s v="Atto 3"/>
    <x v="3"/>
    <x v="1"/>
    <n v="26326.68"/>
    <n v="42.7"/>
    <n v="150"/>
    <n v="61.8"/>
    <n v="6.28"/>
    <n v="152"/>
    <n v="265"/>
    <n v="221"/>
    <s v="RWD"/>
    <n v="5"/>
    <x v="2"/>
    <n v="75.900000000000006"/>
    <n v="1505"/>
    <x v="0"/>
    <n v="0"/>
    <x v="4"/>
    <x v="3"/>
    <n v="129109"/>
    <n v="3.09"/>
    <n v="4"/>
  </r>
  <r>
    <x v="6"/>
    <s v="Ocean"/>
    <x v="5"/>
    <x v="4"/>
    <n v="67825.009999999995"/>
    <n v="82.9"/>
    <n v="297"/>
    <n v="69.2"/>
    <n v="5.74"/>
    <n v="160"/>
    <n v="483"/>
    <n v="473"/>
    <s v="AWD"/>
    <n v="5"/>
    <x v="5"/>
    <n v="16"/>
    <n v="1500"/>
    <x v="1"/>
    <n v="0"/>
    <x v="2"/>
    <x v="2"/>
    <n v="26063"/>
    <n v="3.56"/>
    <n v="4"/>
  </r>
  <r>
    <x v="4"/>
    <s v="Model X"/>
    <x v="1"/>
    <x v="1"/>
    <n v="78153.08"/>
    <n v="79.8"/>
    <n v="277"/>
    <n v="278.10000000000002"/>
    <n v="7.96"/>
    <n v="130"/>
    <n v="554"/>
    <n v="483"/>
    <s v="AWD"/>
    <n v="5"/>
    <x v="3"/>
    <n v="37.4"/>
    <n v="1500"/>
    <x v="0"/>
    <n v="2"/>
    <x v="2"/>
    <x v="2"/>
    <n v="114033"/>
    <n v="3.63"/>
    <n v="4"/>
  </r>
  <r>
    <x v="5"/>
    <s v="GLE EV"/>
    <x v="1"/>
    <x v="1"/>
    <n v="93751.44"/>
    <n v="73.400000000000006"/>
    <n v="267"/>
    <n v="92.8"/>
    <n v="5.52"/>
    <n v="166"/>
    <n v="505"/>
    <n v="508"/>
    <s v="AWD"/>
    <n v="7"/>
    <x v="2"/>
    <n v="62.1"/>
    <n v="1800"/>
    <x v="1"/>
    <n v="1"/>
    <x v="0"/>
    <x v="2"/>
    <n v="32471"/>
    <n v="3.81"/>
    <n v="8"/>
  </r>
  <r>
    <x v="8"/>
    <s v="Kona Electric"/>
    <x v="5"/>
    <x v="4"/>
    <n v="68247.960000000006"/>
    <n v="73.099999999999994"/>
    <n v="240"/>
    <n v="121.2"/>
    <n v="6.35"/>
    <n v="151"/>
    <n v="876"/>
    <n v="791"/>
    <s v="FWD"/>
    <n v="5"/>
    <x v="3"/>
    <n v="25.8"/>
    <n v="1607"/>
    <x v="1"/>
    <n v="1"/>
    <x v="3"/>
    <x v="2"/>
    <n v="75804"/>
    <n v="3.31"/>
    <n v="3"/>
  </r>
  <r>
    <x v="7"/>
    <s v="Qin"/>
    <x v="0"/>
    <x v="0"/>
    <n v="89614.35"/>
    <n v="100.7"/>
    <n v="334"/>
    <n v="174.7"/>
    <n v="4.07"/>
    <n v="192"/>
    <n v="1000"/>
    <n v="911"/>
    <s v="AWD"/>
    <n v="5"/>
    <x v="3"/>
    <n v="19.7"/>
    <n v="1555"/>
    <x v="1"/>
    <n v="0"/>
    <x v="4"/>
    <x v="2"/>
    <n v="198687"/>
    <n v="4"/>
    <n v="3"/>
  </r>
  <r>
    <x v="5"/>
    <s v="EQC"/>
    <x v="5"/>
    <x v="0"/>
    <n v="185592.86"/>
    <n v="107.8"/>
    <n v="359"/>
    <n v="201.1"/>
    <n v="4.37"/>
    <n v="192"/>
    <n v="1000"/>
    <n v="953"/>
    <s v="FWD"/>
    <n v="7"/>
    <x v="4"/>
    <n v="26.6"/>
    <n v="1500"/>
    <x v="0"/>
    <n v="1"/>
    <x v="0"/>
    <x v="0"/>
    <n v="51560"/>
    <n v="3.97"/>
    <n v="7"/>
  </r>
  <r>
    <x v="0"/>
    <s v="ID. Aero"/>
    <x v="2"/>
    <x v="3"/>
    <n v="52450.92"/>
    <n v="70.3"/>
    <n v="257"/>
    <n v="112.6"/>
    <n v="7.73"/>
    <n v="135"/>
    <n v="452"/>
    <n v="424"/>
    <s v="AWD"/>
    <n v="5"/>
    <x v="1"/>
    <n v="47.3"/>
    <n v="2163"/>
    <x v="1"/>
    <n v="1"/>
    <x v="0"/>
    <x v="1"/>
    <n v="231690"/>
    <n v="3.59"/>
    <n v="4"/>
  </r>
  <r>
    <x v="8"/>
    <s v="i30"/>
    <x v="2"/>
    <x v="3"/>
    <n v="53836.77"/>
    <n v="69.5"/>
    <n v="265"/>
    <n v="98.2"/>
    <n v="7.64"/>
    <n v="135"/>
    <n v="563"/>
    <n v="541"/>
    <s v="FWD"/>
    <n v="7"/>
    <x v="5"/>
    <n v="22.6"/>
    <n v="1500"/>
    <x v="1"/>
    <n v="0"/>
    <x v="3"/>
    <x v="1"/>
    <n v="55119"/>
    <n v="3.5"/>
    <n v="5"/>
  </r>
  <r>
    <x v="0"/>
    <s v="ID. Aero"/>
    <x v="1"/>
    <x v="3"/>
    <n v="29912.83"/>
    <n v="40.5"/>
    <n v="150"/>
    <n v="50.1"/>
    <n v="6.74"/>
    <n v="140"/>
    <n v="150"/>
    <n v="200"/>
    <s v="AWD"/>
    <n v="5"/>
    <x v="2"/>
    <n v="69.599999999999994"/>
    <n v="1799"/>
    <x v="1"/>
    <n v="0"/>
    <x v="0"/>
    <x v="3"/>
    <n v="200434"/>
    <n v="3.19"/>
    <n v="5"/>
  </r>
  <r>
    <x v="3"/>
    <s v="Picanto EV"/>
    <x v="2"/>
    <x v="3"/>
    <n v="34300.06"/>
    <n v="68.3"/>
    <n v="242"/>
    <n v="105.5"/>
    <n v="5.23"/>
    <n v="165"/>
    <n v="188"/>
    <n v="200"/>
    <s v="FWD"/>
    <n v="5"/>
    <x v="2"/>
    <n v="69.599999999999994"/>
    <n v="1642"/>
    <x v="0"/>
    <n v="2"/>
    <x v="3"/>
    <x v="3"/>
    <n v="143619"/>
    <n v="3.26"/>
    <n v="4"/>
  </r>
  <r>
    <x v="4"/>
    <s v="Model 3"/>
    <x v="3"/>
    <x v="1"/>
    <n v="130541.56"/>
    <n v="71.2"/>
    <n v="238"/>
    <n v="296"/>
    <n v="6.85"/>
    <n v="152"/>
    <n v="1000"/>
    <n v="867"/>
    <s v="AWD"/>
    <n v="7"/>
    <x v="3"/>
    <n v="20.3"/>
    <n v="1630"/>
    <x v="0"/>
    <n v="2"/>
    <x v="2"/>
    <x v="0"/>
    <n v="190536"/>
    <n v="3.76"/>
    <n v="5"/>
  </r>
  <r>
    <x v="0"/>
    <s v="ID.4"/>
    <x v="5"/>
    <x v="3"/>
    <n v="49575.71"/>
    <n v="47.3"/>
    <n v="158"/>
    <n v="104.7"/>
    <n v="7.32"/>
    <n v="141"/>
    <n v="438"/>
    <n v="401"/>
    <s v="AWD"/>
    <n v="5"/>
    <x v="5"/>
    <n v="37.1"/>
    <n v="1759"/>
    <x v="0"/>
    <n v="1"/>
    <x v="0"/>
    <x v="1"/>
    <n v="295672"/>
    <n v="3.23"/>
    <n v="5"/>
  </r>
  <r>
    <x v="6"/>
    <s v="Ronin"/>
    <x v="3"/>
    <x v="3"/>
    <n v="60986.5"/>
    <n v="42.7"/>
    <n v="150"/>
    <n v="112"/>
    <n v="7.34"/>
    <n v="137"/>
    <n v="471"/>
    <n v="426"/>
    <s v="AWD"/>
    <n v="7"/>
    <x v="2"/>
    <n v="69.2"/>
    <n v="1757"/>
    <x v="1"/>
    <n v="0"/>
    <x v="2"/>
    <x v="1"/>
    <n v="2488"/>
    <n v="3.18"/>
    <n v="4"/>
  </r>
  <r>
    <x v="7"/>
    <s v="Leaf 50X"/>
    <x v="3"/>
    <x v="1"/>
    <n v="96175.42"/>
    <n v="50.5"/>
    <n v="159"/>
    <n v="144.6"/>
    <n v="5.51"/>
    <n v="164"/>
    <n v="1000"/>
    <n v="925"/>
    <s v="AWD"/>
    <n v="7"/>
    <x v="3"/>
    <n v="37"/>
    <n v="1619"/>
    <x v="2"/>
    <n v="1"/>
    <x v="4"/>
    <x v="2"/>
    <n v="232340"/>
    <n v="3.27"/>
    <n v="5"/>
  </r>
  <r>
    <x v="10"/>
    <s v="i7"/>
    <x v="3"/>
    <x v="0"/>
    <n v="162797.03"/>
    <n v="103.1"/>
    <n v="369"/>
    <n v="248.9"/>
    <n v="4.1399999999999997"/>
    <n v="193"/>
    <n v="1000"/>
    <n v="910"/>
    <s v="RWD"/>
    <n v="5"/>
    <x v="2"/>
    <n v="66.900000000000006"/>
    <n v="1847"/>
    <x v="1"/>
    <n v="2"/>
    <x v="0"/>
    <x v="0"/>
    <n v="27119"/>
    <n v="3.48"/>
    <n v="6"/>
  </r>
  <r>
    <x v="7"/>
    <s v="Max"/>
    <x v="0"/>
    <x v="0"/>
    <n v="102394.49"/>
    <n v="115.2"/>
    <n v="421"/>
    <n v="220.6"/>
    <n v="4.41"/>
    <n v="174"/>
    <n v="1000"/>
    <n v="925"/>
    <s v="AWD"/>
    <n v="7"/>
    <x v="0"/>
    <n v="67.099999999999994"/>
    <n v="2715"/>
    <x v="1"/>
    <n v="0"/>
    <x v="4"/>
    <x v="0"/>
    <n v="226612"/>
    <n v="3.99"/>
    <n v="4"/>
  </r>
  <r>
    <x v="9"/>
    <s v="Explorer EV"/>
    <x v="3"/>
    <x v="1"/>
    <n v="59495.32"/>
    <n v="76.8"/>
    <n v="282"/>
    <n v="58.9"/>
    <n v="5.94"/>
    <n v="161"/>
    <n v="592"/>
    <n v="477"/>
    <s v="RWD"/>
    <n v="5"/>
    <x v="0"/>
    <n v="54.1"/>
    <n v="2327"/>
    <x v="1"/>
    <n v="0"/>
    <x v="2"/>
    <x v="1"/>
    <n v="62617"/>
    <n v="3.81"/>
    <n v="5"/>
  </r>
  <r>
    <x v="4"/>
    <s v="Model 3"/>
    <x v="2"/>
    <x v="0"/>
    <n v="99778.09"/>
    <n v="102.4"/>
    <n v="352"/>
    <n v="231.4"/>
    <n v="2.58"/>
    <n v="200"/>
    <n v="751"/>
    <n v="684"/>
    <s v="AWD"/>
    <n v="5"/>
    <x v="0"/>
    <n v="53.4"/>
    <n v="2409"/>
    <x v="0"/>
    <n v="2"/>
    <x v="2"/>
    <x v="2"/>
    <n v="186712"/>
    <n v="4.18"/>
    <n v="5"/>
  </r>
  <r>
    <x v="6"/>
    <s v="Ocean"/>
    <x v="3"/>
    <x v="2"/>
    <n v="66660.45"/>
    <n v="93.7"/>
    <n v="290"/>
    <n v="139.69999999999999"/>
    <n v="4.1399999999999997"/>
    <n v="186"/>
    <n v="523"/>
    <n v="477"/>
    <s v="RWD"/>
    <n v="7"/>
    <x v="4"/>
    <n v="25.3"/>
    <n v="1773"/>
    <x v="1"/>
    <n v="1"/>
    <x v="2"/>
    <x v="2"/>
    <n v="12789"/>
    <n v="3.33"/>
    <n v="4"/>
  </r>
  <r>
    <x v="0"/>
    <s v="ID.4"/>
    <x v="0"/>
    <x v="1"/>
    <n v="78484.960000000006"/>
    <n v="48.2"/>
    <n v="168"/>
    <n v="65.900000000000006"/>
    <n v="6.73"/>
    <n v="144"/>
    <n v="867"/>
    <n v="845"/>
    <s v="AWD"/>
    <n v="5"/>
    <x v="5"/>
    <n v="22.4"/>
    <n v="1560"/>
    <x v="0"/>
    <n v="1"/>
    <x v="0"/>
    <x v="2"/>
    <n v="208905"/>
    <n v="3.41"/>
    <n v="4"/>
  </r>
  <r>
    <x v="7"/>
    <s v="Max"/>
    <x v="0"/>
    <x v="2"/>
    <n v="30609.19"/>
    <n v="78.599999999999994"/>
    <n v="268"/>
    <n v="75.5"/>
    <n v="4.4000000000000004"/>
    <n v="184"/>
    <n v="292"/>
    <n v="262"/>
    <s v="FWD"/>
    <n v="7"/>
    <x v="3"/>
    <n v="36.5"/>
    <n v="1560"/>
    <x v="1"/>
    <n v="0"/>
    <x v="4"/>
    <x v="3"/>
    <n v="111239"/>
    <n v="3.49"/>
    <n v="4"/>
  </r>
  <r>
    <x v="4"/>
    <s v="Model X"/>
    <x v="1"/>
    <x v="0"/>
    <n v="117706.38"/>
    <n v="71.400000000000006"/>
    <n v="249"/>
    <n v="304.3"/>
    <n v="4.12"/>
    <n v="189"/>
    <n v="885"/>
    <n v="771"/>
    <s v="RWD"/>
    <n v="5"/>
    <x v="0"/>
    <n v="67.599999999999994"/>
    <n v="2497"/>
    <x v="1"/>
    <n v="2"/>
    <x v="2"/>
    <x v="0"/>
    <n v="160982"/>
    <n v="3.75"/>
    <n v="4"/>
  </r>
  <r>
    <x v="4"/>
    <s v="Cybertruck"/>
    <x v="2"/>
    <x v="0"/>
    <n v="106068.73"/>
    <n v="114.9"/>
    <n v="357"/>
    <n v="318.10000000000002"/>
    <n v="3.04"/>
    <n v="200"/>
    <n v="766"/>
    <n v="686"/>
    <s v="RWD"/>
    <n v="7"/>
    <x v="0"/>
    <n v="52.7"/>
    <n v="2604"/>
    <x v="2"/>
    <n v="2"/>
    <x v="2"/>
    <x v="0"/>
    <n v="156874"/>
    <n v="4.08"/>
    <n v="5"/>
  </r>
  <r>
    <x v="8"/>
    <s v="i30"/>
    <x v="3"/>
    <x v="2"/>
    <n v="70681.91"/>
    <n v="86.7"/>
    <n v="309"/>
    <n v="50"/>
    <n v="4.66"/>
    <n v="176"/>
    <n v="861"/>
    <n v="735"/>
    <s v="FWD"/>
    <n v="7"/>
    <x v="1"/>
    <n v="54.6"/>
    <n v="2251"/>
    <x v="0"/>
    <n v="2"/>
    <x v="3"/>
    <x v="2"/>
    <n v="50014"/>
    <n v="3.59"/>
    <n v="4"/>
  </r>
  <r>
    <x v="7"/>
    <s v="Atto 3"/>
    <x v="2"/>
    <x v="2"/>
    <n v="41904.83"/>
    <n v="88.3"/>
    <n v="325"/>
    <n v="60.2"/>
    <n v="5.33"/>
    <n v="168"/>
    <n v="435"/>
    <n v="398"/>
    <s v="RWD"/>
    <n v="5"/>
    <x v="0"/>
    <n v="63.7"/>
    <n v="2686"/>
    <x v="2"/>
    <n v="1"/>
    <x v="4"/>
    <x v="1"/>
    <n v="239018"/>
    <n v="3.7"/>
    <n v="3"/>
  </r>
  <r>
    <x v="5"/>
    <s v="EQS"/>
    <x v="3"/>
    <x v="0"/>
    <n v="94342.22"/>
    <n v="95.8"/>
    <n v="324"/>
    <n v="184.3"/>
    <n v="3.79"/>
    <n v="192"/>
    <n v="446"/>
    <n v="356"/>
    <s v="AWD"/>
    <n v="5"/>
    <x v="1"/>
    <n v="38.200000000000003"/>
    <n v="1893"/>
    <x v="0"/>
    <n v="1"/>
    <x v="0"/>
    <x v="2"/>
    <n v="56423"/>
    <n v="3.88"/>
    <n v="7"/>
  </r>
  <r>
    <x v="0"/>
    <s v="ID. Aero"/>
    <x v="2"/>
    <x v="1"/>
    <n v="40586.730000000003"/>
    <n v="45"/>
    <n v="173"/>
    <n v="82.3"/>
    <n v="6.42"/>
    <n v="159"/>
    <n v="335"/>
    <n v="274"/>
    <s v="RWD"/>
    <n v="7"/>
    <x v="4"/>
    <n v="32.4"/>
    <n v="1615"/>
    <x v="0"/>
    <n v="1"/>
    <x v="0"/>
    <x v="1"/>
    <n v="268842"/>
    <n v="3.31"/>
    <n v="4"/>
  </r>
  <r>
    <x v="7"/>
    <s v="Atto 3"/>
    <x v="1"/>
    <x v="0"/>
    <n v="98782.03"/>
    <n v="77.8"/>
    <n v="278"/>
    <n v="211.2"/>
    <n v="3.71"/>
    <n v="192"/>
    <n v="1000"/>
    <n v="876"/>
    <s v="RWD"/>
    <n v="7"/>
    <x v="4"/>
    <n v="33.299999999999997"/>
    <n v="1500"/>
    <x v="0"/>
    <n v="0"/>
    <x v="4"/>
    <x v="2"/>
    <n v="130723"/>
    <n v="3.47"/>
    <n v="4"/>
  </r>
  <r>
    <x v="3"/>
    <s v="EV6"/>
    <x v="1"/>
    <x v="1"/>
    <n v="40060.04"/>
    <n v="63"/>
    <n v="235"/>
    <n v="90.5"/>
    <n v="6.78"/>
    <n v="153"/>
    <n v="281"/>
    <n v="246"/>
    <s v="RWD"/>
    <n v="7"/>
    <x v="5"/>
    <n v="28.9"/>
    <n v="1500"/>
    <x v="0"/>
    <n v="0"/>
    <x v="3"/>
    <x v="1"/>
    <n v="51025"/>
    <n v="3.4"/>
    <n v="5"/>
  </r>
  <r>
    <x v="2"/>
    <s v="Bolt EUV"/>
    <x v="0"/>
    <x v="0"/>
    <n v="73854.22"/>
    <n v="104.5"/>
    <n v="365"/>
    <n v="221.3"/>
    <n v="3.22"/>
    <n v="200"/>
    <n v="999"/>
    <n v="887"/>
    <s v="AWD"/>
    <n v="5"/>
    <x v="4"/>
    <n v="20.399999999999999"/>
    <n v="2090"/>
    <x v="0"/>
    <n v="1"/>
    <x v="2"/>
    <x v="2"/>
    <n v="27191"/>
    <n v="3.61"/>
    <n v="3"/>
  </r>
  <r>
    <x v="4"/>
    <s v="Model X"/>
    <x v="1"/>
    <x v="3"/>
    <n v="43328.14"/>
    <n v="65.3"/>
    <n v="226"/>
    <n v="244.2"/>
    <n v="7.71"/>
    <n v="134"/>
    <n v="305"/>
    <n v="255"/>
    <s v="RWD"/>
    <n v="5"/>
    <x v="2"/>
    <n v="63.8"/>
    <n v="1526"/>
    <x v="2"/>
    <n v="2"/>
    <x v="2"/>
    <x v="1"/>
    <n v="148395"/>
    <n v="3.64"/>
    <n v="6"/>
  </r>
  <r>
    <x v="4"/>
    <s v="Model X"/>
    <x v="3"/>
    <x v="2"/>
    <n v="100199.56"/>
    <n v="90.8"/>
    <n v="321"/>
    <n v="252.4"/>
    <n v="5.42"/>
    <n v="171"/>
    <n v="669"/>
    <n v="631"/>
    <s v="RWD"/>
    <n v="7"/>
    <x v="3"/>
    <n v="36.6"/>
    <n v="1849"/>
    <x v="0"/>
    <n v="3"/>
    <x v="2"/>
    <x v="0"/>
    <n v="197625"/>
    <n v="3.78"/>
    <n v="5"/>
  </r>
  <r>
    <x v="4"/>
    <s v="Model Y"/>
    <x v="3"/>
    <x v="0"/>
    <n v="135068.35"/>
    <n v="116.4"/>
    <n v="393"/>
    <n v="277.5"/>
    <n v="3.52"/>
    <n v="193"/>
    <n v="1000"/>
    <n v="870"/>
    <s v="AWD"/>
    <n v="7"/>
    <x v="5"/>
    <n v="19.2"/>
    <n v="1500"/>
    <x v="1"/>
    <n v="3"/>
    <x v="2"/>
    <x v="0"/>
    <n v="419874"/>
    <n v="4.32"/>
    <n v="6"/>
  </r>
  <r>
    <x v="2"/>
    <s v="Silverado EV"/>
    <x v="5"/>
    <x v="4"/>
    <n v="64854.51"/>
    <n v="76"/>
    <n v="264"/>
    <n v="124.2"/>
    <n v="5.66"/>
    <n v="158"/>
    <n v="863"/>
    <n v="753"/>
    <s v="RWD"/>
    <n v="7"/>
    <x v="2"/>
    <n v="66.599999999999994"/>
    <n v="1781"/>
    <x v="0"/>
    <n v="2"/>
    <x v="2"/>
    <x v="1"/>
    <n v="16372"/>
    <n v="3.34"/>
    <n v="5"/>
  </r>
  <r>
    <x v="10"/>
    <s v="i4"/>
    <x v="1"/>
    <x v="0"/>
    <n v="102335.06"/>
    <n v="106.5"/>
    <n v="365"/>
    <n v="241.1"/>
    <n v="2.73"/>
    <n v="200"/>
    <n v="873"/>
    <n v="817"/>
    <s v="AWD"/>
    <n v="7"/>
    <x v="3"/>
    <n v="31.3"/>
    <n v="1526"/>
    <x v="1"/>
    <n v="1"/>
    <x v="0"/>
    <x v="0"/>
    <n v="57345"/>
    <n v="3.89"/>
    <n v="5"/>
  </r>
  <r>
    <x v="8"/>
    <s v="Kona Electric"/>
    <x v="5"/>
    <x v="1"/>
    <n v="78808.06"/>
    <n v="83.8"/>
    <n v="310"/>
    <n v="141.6"/>
    <n v="5.71"/>
    <n v="163"/>
    <n v="989"/>
    <n v="868"/>
    <s v="AWD"/>
    <n v="7"/>
    <x v="0"/>
    <n v="78.400000000000006"/>
    <n v="2368"/>
    <x v="0"/>
    <n v="2"/>
    <x v="3"/>
    <x v="2"/>
    <n v="79142"/>
    <n v="3.33"/>
    <n v="3"/>
  </r>
  <r>
    <x v="5"/>
    <s v="EQC"/>
    <x v="5"/>
    <x v="1"/>
    <n v="89766.7"/>
    <n v="44.8"/>
    <n v="150"/>
    <n v="131.6"/>
    <n v="7.04"/>
    <n v="131"/>
    <n v="402"/>
    <n v="345"/>
    <s v="AWD"/>
    <n v="5"/>
    <x v="5"/>
    <n v="33.200000000000003"/>
    <n v="1697"/>
    <x v="0"/>
    <n v="1"/>
    <x v="0"/>
    <x v="2"/>
    <n v="44745"/>
    <n v="3.43"/>
    <n v="7"/>
  </r>
  <r>
    <x v="9"/>
    <s v="Explorer EV"/>
    <x v="2"/>
    <x v="3"/>
    <n v="54161.53"/>
    <n v="80.099999999999994"/>
    <n v="289"/>
    <n v="75.900000000000006"/>
    <n v="7.58"/>
    <n v="137"/>
    <n v="517"/>
    <n v="412"/>
    <s v="AWD"/>
    <n v="7"/>
    <x v="3"/>
    <n v="22"/>
    <n v="1624"/>
    <x v="0"/>
    <n v="0"/>
    <x v="2"/>
    <x v="1"/>
    <n v="26655"/>
    <n v="3.51"/>
    <n v="4"/>
  </r>
  <r>
    <x v="3"/>
    <s v="Sportage EV"/>
    <x v="1"/>
    <x v="4"/>
    <n v="38543.18"/>
    <n v="45.8"/>
    <n v="159"/>
    <n v="126.3"/>
    <n v="5.27"/>
    <n v="175"/>
    <n v="312"/>
    <n v="260"/>
    <s v="FWD"/>
    <n v="5"/>
    <x v="1"/>
    <n v="41.4"/>
    <n v="1872"/>
    <x v="1"/>
    <n v="0"/>
    <x v="3"/>
    <x v="1"/>
    <n v="117943"/>
    <n v="3.08"/>
    <n v="3"/>
  </r>
  <r>
    <x v="5"/>
    <s v="EQE"/>
    <x v="0"/>
    <x v="0"/>
    <n v="91688.58"/>
    <n v="90.5"/>
    <n v="311"/>
    <n v="240.9"/>
    <n v="4.2300000000000004"/>
    <n v="192"/>
    <n v="427"/>
    <n v="373"/>
    <s v="RWD"/>
    <n v="5"/>
    <x v="2"/>
    <n v="78.099999999999994"/>
    <n v="1713"/>
    <x v="1"/>
    <n v="2"/>
    <x v="0"/>
    <x v="2"/>
    <n v="45385"/>
    <n v="4.0599999999999996"/>
    <n v="5"/>
  </r>
  <r>
    <x v="7"/>
    <s v="Atto 3"/>
    <x v="0"/>
    <x v="1"/>
    <n v="72252.78"/>
    <n v="40.799999999999997"/>
    <n v="150"/>
    <n v="132.5"/>
    <n v="6.07"/>
    <n v="162"/>
    <n v="772"/>
    <n v="689"/>
    <s v="RWD"/>
    <n v="5"/>
    <x v="3"/>
    <n v="38.799999999999997"/>
    <n v="1553"/>
    <x v="0"/>
    <n v="0"/>
    <x v="4"/>
    <x v="2"/>
    <n v="245833"/>
    <n v="3.12"/>
    <n v="3"/>
  </r>
  <r>
    <x v="4"/>
    <s v="Model Y"/>
    <x v="3"/>
    <x v="4"/>
    <n v="28188.639999999999"/>
    <n v="40.299999999999997"/>
    <n v="150"/>
    <n v="268.7"/>
    <n v="6.76"/>
    <n v="141"/>
    <n v="157"/>
    <n v="200"/>
    <s v="AWD"/>
    <n v="7"/>
    <x v="1"/>
    <n v="48.1"/>
    <n v="1677"/>
    <x v="2"/>
    <n v="2"/>
    <x v="2"/>
    <x v="3"/>
    <n v="412935"/>
    <n v="3.53"/>
    <n v="4"/>
  </r>
  <r>
    <x v="7"/>
    <s v="Yuan Plus"/>
    <x v="3"/>
    <x v="4"/>
    <n v="32633.03"/>
    <n v="80"/>
    <n v="279"/>
    <n v="131.69999999999999"/>
    <n v="6.72"/>
    <n v="144"/>
    <n v="320"/>
    <n v="282"/>
    <s v="RWD"/>
    <n v="5"/>
    <x v="0"/>
    <n v="53.4"/>
    <n v="2335"/>
    <x v="1"/>
    <n v="1"/>
    <x v="4"/>
    <x v="3"/>
    <n v="106393"/>
    <n v="3.6"/>
    <n v="5"/>
  </r>
  <r>
    <x v="4"/>
    <s v="Model S"/>
    <x v="3"/>
    <x v="0"/>
    <n v="61791.69"/>
    <n v="82"/>
    <n v="283"/>
    <n v="322.8"/>
    <n v="3.07"/>
    <n v="200"/>
    <n v="416"/>
    <n v="357"/>
    <s v="AWD"/>
    <n v="5"/>
    <x v="5"/>
    <n v="16.600000000000001"/>
    <n v="1663"/>
    <x v="1"/>
    <n v="2"/>
    <x v="2"/>
    <x v="1"/>
    <n v="214239"/>
    <n v="3.64"/>
    <n v="6"/>
  </r>
  <r>
    <x v="8"/>
    <s v="Ioniq 5"/>
    <x v="3"/>
    <x v="0"/>
    <n v="97448.38"/>
    <n v="102"/>
    <n v="335"/>
    <n v="186.2"/>
    <n v="4.32"/>
    <n v="187"/>
    <n v="1000"/>
    <n v="874"/>
    <s v="RWD"/>
    <n v="5"/>
    <x v="4"/>
    <n v="15.7"/>
    <n v="1500"/>
    <x v="2"/>
    <n v="1"/>
    <x v="3"/>
    <x v="2"/>
    <n v="81695"/>
    <n v="3.65"/>
    <n v="3"/>
  </r>
  <r>
    <x v="12"/>
    <s v="ET6"/>
    <x v="3"/>
    <x v="3"/>
    <n v="75082.66"/>
    <n v="69"/>
    <n v="236"/>
    <n v="113.7"/>
    <n v="5.3"/>
    <n v="173"/>
    <n v="685"/>
    <n v="654"/>
    <s v="AWD"/>
    <n v="5"/>
    <x v="5"/>
    <n v="15.2"/>
    <n v="1800"/>
    <x v="1"/>
    <n v="0"/>
    <x v="4"/>
    <x v="2"/>
    <n v="6090"/>
    <n v="3.63"/>
    <n v="4"/>
  </r>
  <r>
    <x v="4"/>
    <s v="Model Y"/>
    <x v="3"/>
    <x v="1"/>
    <n v="56042.12"/>
    <n v="66.900000000000006"/>
    <n v="222"/>
    <n v="343.9"/>
    <n v="6.66"/>
    <n v="139"/>
    <n v="381"/>
    <n v="308"/>
    <s v="AWD"/>
    <n v="5"/>
    <x v="4"/>
    <n v="24"/>
    <n v="1801"/>
    <x v="0"/>
    <n v="3"/>
    <x v="2"/>
    <x v="1"/>
    <n v="439817"/>
    <n v="3.53"/>
    <n v="4"/>
  </r>
  <r>
    <x v="4"/>
    <s v="Model Y"/>
    <x v="3"/>
    <x v="3"/>
    <n v="102064.68"/>
    <n v="49.3"/>
    <n v="183"/>
    <n v="218.6"/>
    <n v="5.76"/>
    <n v="163"/>
    <n v="752"/>
    <n v="628"/>
    <s v="FWD"/>
    <n v="5"/>
    <x v="1"/>
    <n v="46.7"/>
    <n v="1950"/>
    <x v="1"/>
    <n v="2"/>
    <x v="2"/>
    <x v="0"/>
    <n v="469259"/>
    <n v="3.73"/>
    <n v="4"/>
  </r>
  <r>
    <x v="0"/>
    <s v="ID. Aero"/>
    <x v="2"/>
    <x v="0"/>
    <n v="92355.03"/>
    <n v="70.8"/>
    <n v="243"/>
    <n v="217.8"/>
    <n v="3.65"/>
    <n v="193"/>
    <n v="1000"/>
    <n v="926"/>
    <s v="RWD"/>
    <n v="5"/>
    <x v="0"/>
    <n v="54"/>
    <n v="2436"/>
    <x v="0"/>
    <n v="1"/>
    <x v="0"/>
    <x v="2"/>
    <n v="216375"/>
    <n v="3.43"/>
    <n v="5"/>
  </r>
  <r>
    <x v="13"/>
    <s v="R3"/>
    <x v="3"/>
    <x v="2"/>
    <n v="105185.41"/>
    <n v="109.2"/>
    <n v="352"/>
    <n v="76.3"/>
    <n v="4.17"/>
    <n v="187"/>
    <n v="1000"/>
    <n v="900"/>
    <s v="FWD"/>
    <n v="5"/>
    <x v="3"/>
    <n v="25.5"/>
    <n v="1527"/>
    <x v="0"/>
    <n v="1"/>
    <x v="2"/>
    <x v="0"/>
    <n v="20140"/>
    <n v="3.46"/>
    <n v="5"/>
  </r>
  <r>
    <x v="7"/>
    <s v="Max"/>
    <x v="0"/>
    <x v="3"/>
    <n v="20788.8"/>
    <n v="46.9"/>
    <n v="161"/>
    <n v="93.6"/>
    <n v="6.51"/>
    <n v="150"/>
    <n v="150"/>
    <n v="200"/>
    <s v="RWD"/>
    <n v="5"/>
    <x v="2"/>
    <n v="79.400000000000006"/>
    <n v="1923"/>
    <x v="0"/>
    <n v="1"/>
    <x v="4"/>
    <x v="3"/>
    <n v="208014"/>
    <n v="3.15"/>
    <n v="4"/>
  </r>
  <r>
    <x v="8"/>
    <s v="Ioniq 6"/>
    <x v="2"/>
    <x v="0"/>
    <n v="97949.17"/>
    <n v="88.6"/>
    <n v="324"/>
    <n v="170.9"/>
    <n v="2.96"/>
    <n v="200"/>
    <n v="1000"/>
    <n v="850"/>
    <s v="AWD"/>
    <n v="5"/>
    <x v="3"/>
    <n v="19.7"/>
    <n v="1500"/>
    <x v="1"/>
    <n v="1"/>
    <x v="3"/>
    <x v="2"/>
    <n v="105426"/>
    <n v="3.83"/>
    <n v="4"/>
  </r>
  <r>
    <x v="4"/>
    <s v="Cybertruck"/>
    <x v="2"/>
    <x v="1"/>
    <n v="112719.54"/>
    <n v="67.5"/>
    <n v="240"/>
    <n v="242.8"/>
    <n v="5.41"/>
    <n v="170"/>
    <n v="810"/>
    <n v="732"/>
    <s v="AWD"/>
    <n v="5"/>
    <x v="0"/>
    <n v="56.2"/>
    <n v="2564"/>
    <x v="1"/>
    <n v="2"/>
    <x v="2"/>
    <x v="0"/>
    <n v="138409"/>
    <n v="3.94"/>
    <n v="5"/>
  </r>
  <r>
    <x v="4"/>
    <s v="Model X"/>
    <x v="3"/>
    <x v="1"/>
    <n v="155604.37"/>
    <n v="46.7"/>
    <n v="150"/>
    <n v="305.39999999999998"/>
    <n v="5.0599999999999996"/>
    <n v="177"/>
    <n v="1000"/>
    <n v="909"/>
    <s v="AWD"/>
    <n v="7"/>
    <x v="2"/>
    <n v="78.099999999999994"/>
    <n v="1625"/>
    <x v="0"/>
    <n v="2"/>
    <x v="2"/>
    <x v="0"/>
    <n v="240825"/>
    <n v="3.17"/>
    <n v="6"/>
  </r>
  <r>
    <x v="14"/>
    <s v="Macan Electric"/>
    <x v="0"/>
    <x v="4"/>
    <n v="107490.34"/>
    <n v="61.7"/>
    <n v="224"/>
    <n v="251.6"/>
    <n v="6.15"/>
    <n v="161"/>
    <n v="337"/>
    <n v="320"/>
    <s v="AWD"/>
    <n v="5"/>
    <x v="1"/>
    <n v="39.700000000000003"/>
    <n v="1666"/>
    <x v="0"/>
    <n v="2"/>
    <x v="0"/>
    <x v="0"/>
    <n v="2249"/>
    <n v="3.5"/>
    <n v="8"/>
  </r>
  <r>
    <x v="6"/>
    <s v="Ocean"/>
    <x v="0"/>
    <x v="1"/>
    <n v="100837.22"/>
    <n v="71.599999999999994"/>
    <n v="259"/>
    <n v="138.19999999999999"/>
    <n v="5.42"/>
    <n v="163"/>
    <n v="841"/>
    <n v="735"/>
    <s v="AWD"/>
    <n v="5"/>
    <x v="5"/>
    <n v="36.700000000000003"/>
    <n v="1500"/>
    <x v="1"/>
    <n v="0"/>
    <x v="2"/>
    <x v="0"/>
    <n v="27700"/>
    <n v="3.3"/>
    <n v="5"/>
  </r>
  <r>
    <x v="4"/>
    <s v="Cybertruck"/>
    <x v="2"/>
    <x v="3"/>
    <n v="112537.97"/>
    <n v="73.400000000000006"/>
    <n v="256"/>
    <n v="247.7"/>
    <n v="7.93"/>
    <n v="125"/>
    <n v="851"/>
    <n v="715"/>
    <s v="FWD"/>
    <n v="5"/>
    <x v="0"/>
    <n v="69.8"/>
    <n v="2742"/>
    <x v="0"/>
    <n v="3"/>
    <x v="2"/>
    <x v="0"/>
    <n v="200169"/>
    <n v="3.59"/>
    <n v="5"/>
  </r>
  <r>
    <x v="1"/>
    <s v="bZ4X"/>
    <x v="2"/>
    <x v="4"/>
    <n v="65164.24"/>
    <n v="66"/>
    <n v="218"/>
    <n v="67.5"/>
    <n v="6.6"/>
    <n v="152"/>
    <n v="771"/>
    <n v="727"/>
    <s v="FWD"/>
    <n v="5"/>
    <x v="1"/>
    <n v="41.6"/>
    <n v="2093"/>
    <x v="1"/>
    <n v="0"/>
    <x v="1"/>
    <x v="2"/>
    <n v="21633"/>
    <n v="3.39"/>
    <n v="5"/>
  </r>
  <r>
    <x v="10"/>
    <s v="i4"/>
    <x v="3"/>
    <x v="1"/>
    <n v="134002.07"/>
    <n v="78.3"/>
    <n v="245"/>
    <n v="120.2"/>
    <n v="7.71"/>
    <n v="132"/>
    <n v="1000"/>
    <n v="918"/>
    <s v="AWD"/>
    <n v="7"/>
    <x v="4"/>
    <n v="16"/>
    <n v="1795"/>
    <x v="1"/>
    <n v="1"/>
    <x v="0"/>
    <x v="0"/>
    <n v="54751"/>
    <n v="3.42"/>
    <n v="8"/>
  </r>
  <r>
    <x v="5"/>
    <s v="EQE"/>
    <x v="3"/>
    <x v="3"/>
    <n v="125283.58"/>
    <n v="75.599999999999994"/>
    <n v="264"/>
    <n v="123.7"/>
    <n v="7.57"/>
    <n v="138"/>
    <n v="747"/>
    <n v="634"/>
    <s v="FWD"/>
    <n v="7"/>
    <x v="0"/>
    <n v="74.400000000000006"/>
    <n v="2720"/>
    <x v="0"/>
    <n v="1"/>
    <x v="0"/>
    <x v="0"/>
    <n v="50741"/>
    <n v="4.1900000000000004"/>
    <n v="7"/>
  </r>
  <r>
    <x v="0"/>
    <s v="ID.3"/>
    <x v="1"/>
    <x v="3"/>
    <n v="53614.66"/>
    <n v="63.7"/>
    <n v="213"/>
    <n v="138.19999999999999"/>
    <n v="5.95"/>
    <n v="160"/>
    <n v="530"/>
    <n v="526"/>
    <s v="FWD"/>
    <n v="5"/>
    <x v="1"/>
    <n v="44.8"/>
    <n v="2264"/>
    <x v="0"/>
    <n v="0"/>
    <x v="0"/>
    <x v="1"/>
    <n v="208794"/>
    <n v="3.39"/>
    <n v="4"/>
  </r>
  <r>
    <x v="8"/>
    <s v="Ioniq"/>
    <x v="4"/>
    <x v="0"/>
    <n v="54289.29"/>
    <n v="101.8"/>
    <n v="323"/>
    <n v="214.9"/>
    <n v="3.67"/>
    <n v="196"/>
    <n v="603"/>
    <n v="568"/>
    <s v="FWD"/>
    <n v="7"/>
    <x v="3"/>
    <n v="17.8"/>
    <n v="1707"/>
    <x v="0"/>
    <n v="1"/>
    <x v="3"/>
    <x v="1"/>
    <n v="110889"/>
    <n v="3.69"/>
    <n v="4"/>
  </r>
  <r>
    <x v="8"/>
    <s v="Ioniq"/>
    <x v="0"/>
    <x v="0"/>
    <n v="69817.039999999994"/>
    <n v="113.2"/>
    <n v="415"/>
    <n v="171.3"/>
    <n v="3.01"/>
    <n v="198"/>
    <n v="899"/>
    <n v="830"/>
    <s v="AWD"/>
    <n v="5"/>
    <x v="2"/>
    <n v="62"/>
    <n v="1643"/>
    <x v="1"/>
    <n v="1"/>
    <x v="3"/>
    <x v="2"/>
    <n v="127527"/>
    <n v="3.55"/>
    <n v="4"/>
  </r>
  <r>
    <x v="10"/>
    <s v="i4"/>
    <x v="2"/>
    <x v="3"/>
    <n v="47596.94"/>
    <n v="81.099999999999994"/>
    <n v="287"/>
    <n v="123"/>
    <n v="7.53"/>
    <n v="135"/>
    <n v="169"/>
    <n v="200"/>
    <s v="FWD"/>
    <n v="7"/>
    <x v="5"/>
    <n v="15.4"/>
    <n v="1577"/>
    <x v="1"/>
    <n v="1"/>
    <x v="0"/>
    <x v="1"/>
    <n v="22877"/>
    <n v="3.56"/>
    <n v="7"/>
  </r>
  <r>
    <x v="4"/>
    <s v="Model Y"/>
    <x v="2"/>
    <x v="2"/>
    <n v="50416.800000000003"/>
    <n v="92.4"/>
    <n v="336"/>
    <n v="349.4"/>
    <n v="5.31"/>
    <n v="170"/>
    <n v="355"/>
    <n v="348"/>
    <s v="RWD"/>
    <n v="5"/>
    <x v="5"/>
    <n v="24.1"/>
    <n v="1587"/>
    <x v="0"/>
    <n v="2"/>
    <x v="2"/>
    <x v="1"/>
    <n v="444988"/>
    <n v="3.8"/>
    <n v="5"/>
  </r>
  <r>
    <x v="4"/>
    <s v="Model 3"/>
    <x v="3"/>
    <x v="1"/>
    <n v="127858.88"/>
    <n v="71.8"/>
    <n v="285"/>
    <n v="260.5"/>
    <n v="7.39"/>
    <n v="142"/>
    <n v="928"/>
    <n v="848"/>
    <s v="FWD"/>
    <n v="5"/>
    <x v="1"/>
    <n v="61.8"/>
    <n v="2152"/>
    <x v="1"/>
    <n v="2"/>
    <x v="2"/>
    <x v="0"/>
    <n v="125874"/>
    <n v="3.89"/>
    <n v="4"/>
  </r>
  <r>
    <x v="7"/>
    <s v="Dolphin"/>
    <x v="5"/>
    <x v="3"/>
    <n v="27881.47"/>
    <n v="60.3"/>
    <n v="202"/>
    <n v="109.7"/>
    <n v="5.27"/>
    <n v="169"/>
    <n v="272"/>
    <n v="248"/>
    <s v="RWD"/>
    <n v="5"/>
    <x v="2"/>
    <n v="68.900000000000006"/>
    <n v="1867"/>
    <x v="0"/>
    <n v="1"/>
    <x v="4"/>
    <x v="3"/>
    <n v="131662"/>
    <n v="3.35"/>
    <n v="5"/>
  </r>
  <r>
    <x v="2"/>
    <s v="Bolt EUV"/>
    <x v="2"/>
    <x v="0"/>
    <n v="98117.57"/>
    <n v="90.3"/>
    <n v="335"/>
    <n v="227.3"/>
    <n v="3.97"/>
    <n v="195"/>
    <n v="1000"/>
    <n v="866"/>
    <s v="FWD"/>
    <n v="5"/>
    <x v="5"/>
    <n v="17.100000000000001"/>
    <n v="1500"/>
    <x v="1"/>
    <n v="0"/>
    <x v="2"/>
    <x v="2"/>
    <n v="23127"/>
    <n v="3.63"/>
    <n v="4"/>
  </r>
  <r>
    <x v="4"/>
    <s v="Cybertruck"/>
    <x v="3"/>
    <x v="4"/>
    <n v="114028.98"/>
    <n v="65.3"/>
    <n v="249"/>
    <n v="327.3"/>
    <n v="7.5"/>
    <n v="137"/>
    <n v="815"/>
    <n v="721"/>
    <s v="AWD"/>
    <n v="7"/>
    <x v="0"/>
    <n v="60.4"/>
    <n v="2681"/>
    <x v="1"/>
    <n v="2"/>
    <x v="2"/>
    <x v="0"/>
    <n v="169238"/>
    <n v="3.54"/>
    <n v="4"/>
  </r>
  <r>
    <x v="10"/>
    <s v="i7"/>
    <x v="4"/>
    <x v="3"/>
    <n v="76431.360000000001"/>
    <n v="47"/>
    <n v="150"/>
    <n v="90.1"/>
    <n v="6.06"/>
    <n v="160"/>
    <n v="524"/>
    <n v="510"/>
    <s v="RWD"/>
    <n v="7"/>
    <x v="5"/>
    <n v="34.1"/>
    <n v="1776"/>
    <x v="0"/>
    <n v="2"/>
    <x v="0"/>
    <x v="2"/>
    <n v="30267"/>
    <n v="3.08"/>
    <n v="5"/>
  </r>
  <r>
    <x v="6"/>
    <s v="Ocean"/>
    <x v="3"/>
    <x v="4"/>
    <n v="47756.59"/>
    <n v="60.7"/>
    <n v="225"/>
    <n v="136.4"/>
    <n v="6.02"/>
    <n v="158"/>
    <n v="298"/>
    <n v="265"/>
    <s v="AWD"/>
    <n v="7"/>
    <x v="5"/>
    <n v="16.100000000000001"/>
    <n v="1812"/>
    <x v="0"/>
    <n v="1"/>
    <x v="2"/>
    <x v="1"/>
    <n v="6983"/>
    <n v="3.23"/>
    <n v="3"/>
  </r>
  <r>
    <x v="4"/>
    <s v="Model S"/>
    <x v="0"/>
    <x v="2"/>
    <n v="122960.47"/>
    <n v="98.5"/>
    <n v="350"/>
    <n v="323"/>
    <n v="4.9000000000000004"/>
    <n v="178"/>
    <n v="897"/>
    <n v="749"/>
    <s v="FWD"/>
    <n v="5"/>
    <x v="1"/>
    <n v="55.8"/>
    <n v="2239"/>
    <x v="0"/>
    <n v="2"/>
    <x v="2"/>
    <x v="0"/>
    <n v="114585"/>
    <n v="4.09"/>
    <n v="4"/>
  </r>
  <r>
    <x v="10"/>
    <s v="i5"/>
    <x v="2"/>
    <x v="4"/>
    <n v="91502.74"/>
    <n v="75.2"/>
    <n v="250"/>
    <n v="75.7"/>
    <n v="5.77"/>
    <n v="161"/>
    <n v="650"/>
    <n v="613"/>
    <s v="RWD"/>
    <n v="7"/>
    <x v="4"/>
    <n v="32.6"/>
    <n v="1500"/>
    <x v="1"/>
    <n v="1"/>
    <x v="0"/>
    <x v="2"/>
    <n v="64217"/>
    <n v="3.55"/>
    <n v="6"/>
  </r>
  <r>
    <x v="0"/>
    <s v="ID. Buzz"/>
    <x v="5"/>
    <x v="3"/>
    <n v="77633.039999999994"/>
    <n v="74"/>
    <n v="273"/>
    <n v="79.5"/>
    <n v="5.33"/>
    <n v="165"/>
    <n v="818"/>
    <n v="753"/>
    <s v="AWD"/>
    <n v="5"/>
    <x v="0"/>
    <n v="55.8"/>
    <n v="2544"/>
    <x v="1"/>
    <n v="2"/>
    <x v="0"/>
    <x v="2"/>
    <n v="203039"/>
    <n v="3.53"/>
    <n v="5"/>
  </r>
  <r>
    <x v="5"/>
    <s v="EQG"/>
    <x v="1"/>
    <x v="2"/>
    <n v="74524.3"/>
    <n v="84.1"/>
    <n v="298"/>
    <n v="141.9"/>
    <n v="4.8899999999999997"/>
    <n v="180"/>
    <n v="277"/>
    <n v="271"/>
    <s v="AWD"/>
    <n v="5"/>
    <x v="3"/>
    <n v="23.3"/>
    <n v="1690"/>
    <x v="1"/>
    <n v="2"/>
    <x v="0"/>
    <x v="2"/>
    <n v="75343"/>
    <n v="3.85"/>
    <n v="7"/>
  </r>
  <r>
    <x v="4"/>
    <s v="Model X"/>
    <x v="5"/>
    <x v="3"/>
    <n v="27570.57"/>
    <n v="44.6"/>
    <n v="153"/>
    <n v="215"/>
    <n v="7.41"/>
    <n v="137"/>
    <n v="161"/>
    <n v="200"/>
    <s v="AWD"/>
    <n v="5"/>
    <x v="4"/>
    <n v="36.9"/>
    <n v="1682"/>
    <x v="1"/>
    <n v="2"/>
    <x v="2"/>
    <x v="3"/>
    <n v="203167"/>
    <n v="3.2"/>
    <n v="5"/>
  </r>
  <r>
    <x v="2"/>
    <s v="Silverado EV"/>
    <x v="0"/>
    <x v="0"/>
    <n v="42948.13"/>
    <n v="93.8"/>
    <n v="328"/>
    <n v="156.4"/>
    <n v="2.96"/>
    <n v="200"/>
    <n v="422"/>
    <n v="385"/>
    <s v="AWD"/>
    <n v="5"/>
    <x v="5"/>
    <n v="31.4"/>
    <n v="1903"/>
    <x v="0"/>
    <n v="2"/>
    <x v="2"/>
    <x v="1"/>
    <n v="14040"/>
    <n v="3.76"/>
    <n v="4"/>
  </r>
  <r>
    <x v="5"/>
    <s v="GLE EV"/>
    <x v="1"/>
    <x v="2"/>
    <n v="100017.14"/>
    <n v="108.6"/>
    <n v="382"/>
    <n v="123.5"/>
    <n v="5.74"/>
    <n v="157"/>
    <n v="539"/>
    <n v="494"/>
    <s v="FWD"/>
    <n v="5"/>
    <x v="3"/>
    <n v="33.799999999999997"/>
    <n v="1500"/>
    <x v="1"/>
    <n v="2"/>
    <x v="0"/>
    <x v="0"/>
    <n v="39100"/>
    <n v="3.99"/>
    <n v="8"/>
  </r>
  <r>
    <x v="1"/>
    <s v="bZ4X"/>
    <x v="5"/>
    <x v="0"/>
    <n v="108712.63"/>
    <n v="111.4"/>
    <n v="366"/>
    <n v="193.2"/>
    <n v="3.3"/>
    <n v="195"/>
    <n v="1000"/>
    <n v="924"/>
    <s v="RWD"/>
    <n v="5"/>
    <x v="5"/>
    <n v="37.5"/>
    <n v="1549"/>
    <x v="0"/>
    <n v="0"/>
    <x v="1"/>
    <x v="0"/>
    <n v="12763"/>
    <n v="3.93"/>
    <n v="4"/>
  </r>
  <r>
    <x v="10"/>
    <s v="i7"/>
    <x v="5"/>
    <x v="0"/>
    <n v="96474.96"/>
    <n v="76.8"/>
    <n v="250"/>
    <n v="236"/>
    <n v="3.59"/>
    <n v="200"/>
    <n v="757"/>
    <n v="661"/>
    <s v="AWD"/>
    <n v="7"/>
    <x v="2"/>
    <n v="70.599999999999994"/>
    <n v="1639"/>
    <x v="1"/>
    <n v="1"/>
    <x v="0"/>
    <x v="2"/>
    <n v="54809"/>
    <n v="3.45"/>
    <n v="7"/>
  </r>
  <r>
    <x v="8"/>
    <s v="i30"/>
    <x v="3"/>
    <x v="4"/>
    <n v="33127.96"/>
    <n v="41.6"/>
    <n v="164"/>
    <n v="118.9"/>
    <n v="7.91"/>
    <n v="129"/>
    <n v="245"/>
    <n v="205"/>
    <s v="AWD"/>
    <n v="5"/>
    <x v="1"/>
    <n v="62.9"/>
    <n v="2024"/>
    <x v="1"/>
    <n v="2"/>
    <x v="3"/>
    <x v="3"/>
    <n v="138439"/>
    <n v="3.06"/>
    <n v="5"/>
  </r>
  <r>
    <x v="3"/>
    <s v="Niro EV"/>
    <x v="3"/>
    <x v="1"/>
    <n v="52664.7"/>
    <n v="45"/>
    <n v="151"/>
    <n v="107.3"/>
    <n v="7.64"/>
    <n v="133"/>
    <n v="568"/>
    <n v="443"/>
    <s v="AWD"/>
    <n v="5"/>
    <x v="1"/>
    <n v="49.3"/>
    <n v="1711"/>
    <x v="1"/>
    <n v="2"/>
    <x v="3"/>
    <x v="1"/>
    <n v="62015"/>
    <n v="3.3"/>
    <n v="3"/>
  </r>
  <r>
    <x v="5"/>
    <s v="EQC"/>
    <x v="1"/>
    <x v="2"/>
    <n v="117361.83"/>
    <n v="91.3"/>
    <n v="335"/>
    <n v="136"/>
    <n v="5.26"/>
    <n v="158"/>
    <n v="673"/>
    <n v="601"/>
    <s v="AWD"/>
    <n v="7"/>
    <x v="1"/>
    <n v="68.400000000000006"/>
    <n v="1923"/>
    <x v="0"/>
    <n v="1"/>
    <x v="0"/>
    <x v="0"/>
    <n v="75929"/>
    <n v="3.88"/>
    <n v="5"/>
  </r>
  <r>
    <x v="3"/>
    <s v="Picanto EV"/>
    <x v="2"/>
    <x v="1"/>
    <n v="91917.06"/>
    <n v="68.900000000000006"/>
    <n v="237"/>
    <n v="140.80000000000001"/>
    <n v="6.23"/>
    <n v="166"/>
    <n v="1000"/>
    <n v="904"/>
    <s v="FWD"/>
    <n v="5"/>
    <x v="2"/>
    <n v="79.400000000000006"/>
    <n v="1684"/>
    <x v="0"/>
    <n v="1"/>
    <x v="3"/>
    <x v="2"/>
    <n v="124978"/>
    <n v="3.57"/>
    <n v="5"/>
  </r>
  <r>
    <x v="4"/>
    <s v="Model 3"/>
    <x v="0"/>
    <x v="4"/>
    <n v="128698.36"/>
    <n v="60.8"/>
    <n v="240"/>
    <n v="203"/>
    <n v="6.56"/>
    <n v="154"/>
    <n v="923"/>
    <n v="819"/>
    <s v="RWD"/>
    <n v="5"/>
    <x v="0"/>
    <n v="73.7"/>
    <n v="2335"/>
    <x v="1"/>
    <n v="2"/>
    <x v="2"/>
    <x v="0"/>
    <n v="132614"/>
    <n v="3.6"/>
    <n v="5"/>
  </r>
  <r>
    <x v="13"/>
    <s v="R2"/>
    <x v="3"/>
    <x v="1"/>
    <n v="100224.89"/>
    <n v="43.2"/>
    <n v="157"/>
    <n v="106.2"/>
    <n v="6.8"/>
    <n v="137"/>
    <n v="1000"/>
    <n v="909"/>
    <s v="RWD"/>
    <n v="5"/>
    <x v="5"/>
    <n v="33.5"/>
    <n v="1592"/>
    <x v="0"/>
    <n v="1"/>
    <x v="2"/>
    <x v="0"/>
    <n v="10726"/>
    <n v="3"/>
    <n v="6"/>
  </r>
  <r>
    <x v="10"/>
    <s v="i4"/>
    <x v="3"/>
    <x v="3"/>
    <n v="66795.11"/>
    <n v="65"/>
    <n v="246"/>
    <n v="73.400000000000006"/>
    <n v="5.68"/>
    <n v="171"/>
    <n v="358"/>
    <n v="333"/>
    <s v="RWD"/>
    <n v="7"/>
    <x v="4"/>
    <n v="33"/>
    <n v="1861"/>
    <x v="1"/>
    <n v="1"/>
    <x v="0"/>
    <x v="2"/>
    <n v="50876"/>
    <n v="3.34"/>
    <n v="6"/>
  </r>
  <r>
    <x v="10"/>
    <s v="i3"/>
    <x v="3"/>
    <x v="2"/>
    <n v="102396.37"/>
    <n v="96.6"/>
    <n v="340"/>
    <n v="102"/>
    <n v="4.37"/>
    <n v="184"/>
    <n v="852"/>
    <n v="737"/>
    <s v="FWD"/>
    <n v="5"/>
    <x v="3"/>
    <n v="18.7"/>
    <n v="1822"/>
    <x v="1"/>
    <n v="2"/>
    <x v="0"/>
    <x v="0"/>
    <n v="35285"/>
    <n v="3.65"/>
    <n v="5"/>
  </r>
  <r>
    <x v="7"/>
    <s v="Seagull"/>
    <x v="3"/>
    <x v="2"/>
    <n v="53276.57"/>
    <n v="102.1"/>
    <n v="367"/>
    <n v="72.599999999999994"/>
    <n v="4.72"/>
    <n v="177"/>
    <n v="518"/>
    <n v="453"/>
    <s v="RWD"/>
    <n v="5"/>
    <x v="4"/>
    <n v="36.5"/>
    <n v="1807"/>
    <x v="0"/>
    <n v="1"/>
    <x v="4"/>
    <x v="1"/>
    <n v="242908"/>
    <n v="4.26"/>
    <n v="3"/>
  </r>
  <r>
    <x v="10"/>
    <s v="i5"/>
    <x v="3"/>
    <x v="3"/>
    <n v="102104.07"/>
    <n v="55.1"/>
    <n v="174"/>
    <n v="128.9"/>
    <n v="5.42"/>
    <n v="165"/>
    <n v="817"/>
    <n v="704"/>
    <s v="FWD"/>
    <n v="5"/>
    <x v="1"/>
    <n v="58.4"/>
    <n v="2165"/>
    <x v="2"/>
    <n v="2"/>
    <x v="0"/>
    <x v="0"/>
    <n v="30235"/>
    <n v="3.27"/>
    <n v="6"/>
  </r>
  <r>
    <x v="0"/>
    <s v="ID.3"/>
    <x v="3"/>
    <x v="4"/>
    <n v="62840.41"/>
    <n v="71.400000000000006"/>
    <n v="268"/>
    <n v="73.900000000000006"/>
    <n v="6.29"/>
    <n v="159"/>
    <n v="621"/>
    <n v="524"/>
    <s v="RWD"/>
    <n v="7"/>
    <x v="3"/>
    <n v="18.600000000000001"/>
    <n v="1960"/>
    <x v="1"/>
    <n v="0"/>
    <x v="0"/>
    <x v="1"/>
    <n v="242781"/>
    <n v="3.79"/>
    <n v="4"/>
  </r>
  <r>
    <x v="10"/>
    <s v="i5"/>
    <x v="2"/>
    <x v="0"/>
    <n v="131247.26"/>
    <n v="113.3"/>
    <n v="405"/>
    <n v="155.80000000000001"/>
    <n v="2.74"/>
    <n v="200"/>
    <n v="1000"/>
    <n v="891"/>
    <s v="AWD"/>
    <n v="5"/>
    <x v="0"/>
    <n v="65.400000000000006"/>
    <n v="2302"/>
    <x v="0"/>
    <n v="2"/>
    <x v="0"/>
    <x v="0"/>
    <n v="65041"/>
    <n v="3.91"/>
    <n v="8"/>
  </r>
  <r>
    <x v="4"/>
    <s v="Model S"/>
    <x v="3"/>
    <x v="1"/>
    <n v="84149.31"/>
    <n v="75.3"/>
    <n v="252"/>
    <n v="335.6"/>
    <n v="7.31"/>
    <n v="143"/>
    <n v="552"/>
    <n v="524"/>
    <s v="RWD"/>
    <n v="5"/>
    <x v="5"/>
    <n v="36.5"/>
    <n v="1606"/>
    <x v="0"/>
    <n v="3"/>
    <x v="2"/>
    <x v="2"/>
    <n v="224851"/>
    <n v="3.64"/>
    <n v="6"/>
  </r>
  <r>
    <x v="10"/>
    <s v="iX"/>
    <x v="3"/>
    <x v="4"/>
    <n v="71216.91"/>
    <n v="62.4"/>
    <n v="239"/>
    <n v="72.7"/>
    <n v="5.38"/>
    <n v="171"/>
    <n v="396"/>
    <n v="355"/>
    <s v="FWD"/>
    <n v="5"/>
    <x v="2"/>
    <n v="74.400000000000006"/>
    <n v="1623"/>
    <x v="0"/>
    <n v="1"/>
    <x v="0"/>
    <x v="2"/>
    <n v="70121"/>
    <n v="3.47"/>
    <n v="7"/>
  </r>
  <r>
    <x v="17"/>
    <s v="e"/>
    <x v="1"/>
    <x v="1"/>
    <n v="60662.04"/>
    <n v="67.2"/>
    <n v="242"/>
    <n v="144.9"/>
    <n v="6.09"/>
    <n v="154"/>
    <n v="943"/>
    <n v="887"/>
    <s v="AWD"/>
    <n v="5"/>
    <x v="1"/>
    <n v="36.4"/>
    <n v="1943"/>
    <x v="0"/>
    <n v="2"/>
    <x v="1"/>
    <x v="1"/>
    <n v="10748"/>
    <n v="3.54"/>
    <n v="3"/>
  </r>
  <r>
    <x v="4"/>
    <s v="Model X"/>
    <x v="2"/>
    <x v="1"/>
    <n v="46217.919999999998"/>
    <n v="55.9"/>
    <n v="205"/>
    <n v="259.60000000000002"/>
    <n v="6.69"/>
    <n v="151"/>
    <n v="293"/>
    <n v="270"/>
    <s v="AWD"/>
    <n v="7"/>
    <x v="0"/>
    <n v="68.2"/>
    <n v="2198"/>
    <x v="0"/>
    <n v="2"/>
    <x v="2"/>
    <x v="1"/>
    <n v="108494"/>
    <n v="3.65"/>
    <n v="5"/>
  </r>
  <r>
    <x v="16"/>
    <s v="Air"/>
    <x v="5"/>
    <x v="1"/>
    <n v="225594.15"/>
    <n v="63.1"/>
    <n v="216"/>
    <n v="285.89999999999998"/>
    <n v="8"/>
    <n v="125"/>
    <n v="1000"/>
    <n v="889"/>
    <s v="RWD"/>
    <n v="7"/>
    <x v="2"/>
    <n v="62.9"/>
    <n v="1500"/>
    <x v="1"/>
    <n v="0"/>
    <x v="2"/>
    <x v="0"/>
    <n v="21994"/>
    <n v="3.37"/>
    <n v="5"/>
  </r>
  <r>
    <x v="0"/>
    <s v="ID. Buzz"/>
    <x v="3"/>
    <x v="4"/>
    <n v="87726.28"/>
    <n v="40.6"/>
    <n v="161"/>
    <n v="79.3"/>
    <n v="6.58"/>
    <n v="133"/>
    <n v="1000"/>
    <n v="936"/>
    <s v="AWD"/>
    <n v="7"/>
    <x v="2"/>
    <n v="76.400000000000006"/>
    <n v="1646"/>
    <x v="1"/>
    <n v="1"/>
    <x v="0"/>
    <x v="2"/>
    <n v="253183"/>
    <n v="3.49"/>
    <n v="3"/>
  </r>
  <r>
    <x v="5"/>
    <s v="EQE"/>
    <x v="2"/>
    <x v="1"/>
    <n v="146623.72"/>
    <n v="69.099999999999994"/>
    <n v="262"/>
    <n v="117.9"/>
    <n v="5.33"/>
    <n v="176"/>
    <n v="935"/>
    <n v="806"/>
    <s v="AWD"/>
    <n v="7"/>
    <x v="4"/>
    <n v="16.8"/>
    <n v="1586"/>
    <x v="0"/>
    <n v="2"/>
    <x v="0"/>
    <x v="0"/>
    <n v="43244"/>
    <n v="3.61"/>
    <n v="7"/>
  </r>
  <r>
    <x v="9"/>
    <s v="Mustang Mach-E"/>
    <x v="1"/>
    <x v="3"/>
    <n v="64696.27"/>
    <n v="51.7"/>
    <n v="165"/>
    <n v="60.6"/>
    <n v="6.94"/>
    <n v="144"/>
    <n v="704"/>
    <n v="642"/>
    <s v="RWD"/>
    <n v="5"/>
    <x v="2"/>
    <n v="67.400000000000006"/>
    <n v="1771"/>
    <x v="0"/>
    <n v="1"/>
    <x v="2"/>
    <x v="1"/>
    <n v="37967"/>
    <n v="3.06"/>
    <n v="4"/>
  </r>
  <r>
    <x v="3"/>
    <s v="Picanto EV"/>
    <x v="2"/>
    <x v="3"/>
    <n v="26810.33"/>
    <n v="75.599999999999994"/>
    <n v="247"/>
    <n v="71.5"/>
    <n v="5.79"/>
    <n v="166"/>
    <n v="174"/>
    <n v="223"/>
    <s v="AWD"/>
    <n v="7"/>
    <x v="1"/>
    <n v="48.7"/>
    <n v="2204"/>
    <x v="1"/>
    <n v="1"/>
    <x v="3"/>
    <x v="3"/>
    <n v="138862"/>
    <n v="3.48"/>
    <n v="5"/>
  </r>
  <r>
    <x v="2"/>
    <s v="Blazer EV"/>
    <x v="2"/>
    <x v="1"/>
    <n v="45723.03"/>
    <n v="55"/>
    <n v="207"/>
    <n v="69.5"/>
    <n v="6.64"/>
    <n v="148"/>
    <n v="515"/>
    <n v="479"/>
    <s v="RWD"/>
    <n v="5"/>
    <x v="1"/>
    <n v="68.5"/>
    <n v="1728"/>
    <x v="1"/>
    <n v="0"/>
    <x v="2"/>
    <x v="1"/>
    <n v="19610"/>
    <n v="3.43"/>
    <n v="4"/>
  </r>
  <r>
    <x v="11"/>
    <s v="Q6 e-tron"/>
    <x v="3"/>
    <x v="0"/>
    <n v="99175.33"/>
    <n v="93.3"/>
    <n v="334"/>
    <n v="217"/>
    <n v="3.73"/>
    <n v="185"/>
    <n v="706"/>
    <n v="646"/>
    <s v="FWD"/>
    <n v="5"/>
    <x v="4"/>
    <n v="31.9"/>
    <n v="1897"/>
    <x v="1"/>
    <n v="2"/>
    <x v="0"/>
    <x v="2"/>
    <n v="77677"/>
    <n v="3.68"/>
    <n v="6"/>
  </r>
  <r>
    <x v="0"/>
    <s v="ID. Aero"/>
    <x v="3"/>
    <x v="4"/>
    <n v="87997.46"/>
    <n v="42.5"/>
    <n v="150"/>
    <n v="88.7"/>
    <n v="7.75"/>
    <n v="129"/>
    <n v="1000"/>
    <n v="893"/>
    <s v="FWD"/>
    <n v="7"/>
    <x v="1"/>
    <n v="63.2"/>
    <n v="1931"/>
    <x v="0"/>
    <n v="2"/>
    <x v="0"/>
    <x v="2"/>
    <n v="228031"/>
    <n v="3.16"/>
    <n v="4"/>
  </r>
  <r>
    <x v="7"/>
    <s v="Leaf 50X"/>
    <x v="3"/>
    <x v="3"/>
    <n v="25853.85"/>
    <n v="83.7"/>
    <n v="278"/>
    <n v="69.900000000000006"/>
    <n v="6.22"/>
    <n v="157"/>
    <n v="204"/>
    <n v="200"/>
    <s v="AWD"/>
    <n v="7"/>
    <x v="0"/>
    <n v="74.599999999999994"/>
    <n v="2589"/>
    <x v="1"/>
    <n v="0"/>
    <x v="4"/>
    <x v="3"/>
    <n v="106382"/>
    <n v="3.56"/>
    <n v="4"/>
  </r>
  <r>
    <x v="10"/>
    <s v="i3"/>
    <x v="3"/>
    <x v="2"/>
    <n v="66806.73"/>
    <n v="104.8"/>
    <n v="353"/>
    <n v="86.3"/>
    <n v="5"/>
    <n v="170"/>
    <n v="376"/>
    <n v="398"/>
    <s v="RWD"/>
    <n v="5"/>
    <x v="4"/>
    <n v="25.6"/>
    <n v="1736"/>
    <x v="0"/>
    <n v="1"/>
    <x v="0"/>
    <x v="2"/>
    <n v="37357"/>
    <n v="3.74"/>
    <n v="7"/>
  </r>
  <r>
    <x v="9"/>
    <s v="F-150 Lightning"/>
    <x v="2"/>
    <x v="4"/>
    <n v="38587"/>
    <n v="78"/>
    <n v="278"/>
    <n v="149.30000000000001"/>
    <n v="6.77"/>
    <n v="145"/>
    <n v="282"/>
    <n v="248"/>
    <s v="FWD"/>
    <n v="2"/>
    <x v="0"/>
    <n v="77.3"/>
    <n v="2728"/>
    <x v="1"/>
    <n v="2"/>
    <x v="2"/>
    <x v="1"/>
    <n v="66132"/>
    <n v="3.55"/>
    <n v="5"/>
  </r>
  <r>
    <x v="9"/>
    <s v="Explorer EV"/>
    <x v="2"/>
    <x v="0"/>
    <n v="61417.24"/>
    <n v="107.1"/>
    <n v="370"/>
    <n v="237.9"/>
    <n v="3.91"/>
    <n v="189"/>
    <n v="606"/>
    <n v="524"/>
    <s v="AWD"/>
    <n v="5"/>
    <x v="4"/>
    <n v="31.7"/>
    <n v="1689"/>
    <x v="1"/>
    <n v="0"/>
    <x v="2"/>
    <x v="1"/>
    <n v="29374"/>
    <n v="3.68"/>
    <n v="3"/>
  </r>
  <r>
    <x v="9"/>
    <s v="F-150 Lightning"/>
    <x v="5"/>
    <x v="1"/>
    <n v="73146.64"/>
    <n v="40.1"/>
    <n v="150"/>
    <n v="143.80000000000001"/>
    <n v="6.78"/>
    <n v="157"/>
    <n v="837"/>
    <n v="763"/>
    <s v="AWD"/>
    <n v="2"/>
    <x v="0"/>
    <n v="68.599999999999994"/>
    <n v="2484"/>
    <x v="1"/>
    <n v="2"/>
    <x v="2"/>
    <x v="2"/>
    <n v="26454"/>
    <n v="3.22"/>
    <n v="4"/>
  </r>
  <r>
    <x v="0"/>
    <s v="ID.4"/>
    <x v="2"/>
    <x v="0"/>
    <n v="80127.240000000005"/>
    <n v="106.2"/>
    <n v="352"/>
    <n v="207.6"/>
    <n v="3.59"/>
    <n v="193"/>
    <n v="890"/>
    <n v="825"/>
    <s v="AWD"/>
    <n v="7"/>
    <x v="1"/>
    <n v="68"/>
    <n v="2269"/>
    <x v="1"/>
    <n v="0"/>
    <x v="0"/>
    <x v="2"/>
    <n v="267416"/>
    <n v="3.45"/>
    <n v="4"/>
  </r>
  <r>
    <x v="9"/>
    <s v="F-150 Lightning"/>
    <x v="3"/>
    <x v="2"/>
    <n v="69759.03"/>
    <n v="87.5"/>
    <n v="324"/>
    <n v="69.5"/>
    <n v="5.88"/>
    <n v="162"/>
    <n v="803"/>
    <n v="740"/>
    <s v="FWD"/>
    <n v="4"/>
    <x v="0"/>
    <n v="75.3"/>
    <n v="2664"/>
    <x v="0"/>
    <n v="0"/>
    <x v="2"/>
    <x v="2"/>
    <n v="57497"/>
    <n v="3.67"/>
    <n v="4"/>
  </r>
  <r>
    <x v="4"/>
    <s v="Model 3"/>
    <x v="0"/>
    <x v="4"/>
    <n v="68205.179999999993"/>
    <n v="50.5"/>
    <n v="178"/>
    <n v="305.39999999999998"/>
    <n v="7.89"/>
    <n v="121"/>
    <n v="492"/>
    <n v="417"/>
    <s v="AWD"/>
    <n v="5"/>
    <x v="2"/>
    <n v="79.599999999999994"/>
    <n v="1512"/>
    <x v="0"/>
    <n v="3"/>
    <x v="2"/>
    <x v="2"/>
    <n v="179048"/>
    <n v="3.64"/>
    <n v="4"/>
  </r>
  <r>
    <x v="3"/>
    <s v="EV9"/>
    <x v="5"/>
    <x v="4"/>
    <n v="52324.87"/>
    <n v="44.4"/>
    <n v="154"/>
    <n v="84.3"/>
    <n v="6.34"/>
    <n v="158"/>
    <n v="517"/>
    <n v="461"/>
    <s v="AWD"/>
    <n v="5"/>
    <x v="1"/>
    <n v="41.9"/>
    <n v="2334"/>
    <x v="1"/>
    <n v="0"/>
    <x v="3"/>
    <x v="1"/>
    <n v="142095"/>
    <n v="3.03"/>
    <n v="5"/>
  </r>
  <r>
    <x v="4"/>
    <s v="Model X"/>
    <x v="3"/>
    <x v="2"/>
    <n v="119926.96"/>
    <n v="80.900000000000006"/>
    <n v="277"/>
    <n v="248.9"/>
    <n v="4.9800000000000004"/>
    <n v="177"/>
    <n v="912"/>
    <n v="883"/>
    <s v="AWD"/>
    <n v="5"/>
    <x v="2"/>
    <n v="77.400000000000006"/>
    <n v="1826"/>
    <x v="0"/>
    <n v="2"/>
    <x v="2"/>
    <x v="0"/>
    <n v="137895"/>
    <n v="4.12"/>
    <n v="5"/>
  </r>
  <r>
    <x v="7"/>
    <s v="Max"/>
    <x v="1"/>
    <x v="4"/>
    <n v="59138.53"/>
    <n v="43.2"/>
    <n v="160"/>
    <n v="81.3"/>
    <n v="7.03"/>
    <n v="141"/>
    <n v="665"/>
    <n v="586"/>
    <s v="FWD"/>
    <n v="7"/>
    <x v="5"/>
    <n v="19.899999999999999"/>
    <n v="1666"/>
    <x v="0"/>
    <n v="2"/>
    <x v="4"/>
    <x v="1"/>
    <n v="241442"/>
    <n v="3.15"/>
    <n v="4"/>
  </r>
  <r>
    <x v="0"/>
    <s v="ID.3"/>
    <x v="3"/>
    <x v="3"/>
    <n v="73427.05"/>
    <n v="43.7"/>
    <n v="150"/>
    <n v="145.80000000000001"/>
    <n v="5.35"/>
    <n v="164"/>
    <n v="778"/>
    <n v="730"/>
    <s v="AWD"/>
    <n v="7"/>
    <x v="3"/>
    <n v="20.9"/>
    <n v="1532"/>
    <x v="0"/>
    <n v="0"/>
    <x v="0"/>
    <x v="2"/>
    <n v="258880"/>
    <n v="3.26"/>
    <n v="4"/>
  </r>
  <r>
    <x v="0"/>
    <s v="ID.4"/>
    <x v="4"/>
    <x v="1"/>
    <n v="105115.96"/>
    <n v="73.099999999999994"/>
    <n v="242"/>
    <n v="57.4"/>
    <n v="7.41"/>
    <n v="143"/>
    <n v="1000"/>
    <n v="918"/>
    <s v="RWD"/>
    <n v="5"/>
    <x v="0"/>
    <n v="76.900000000000006"/>
    <n v="2408"/>
    <x v="0"/>
    <n v="1"/>
    <x v="0"/>
    <x v="0"/>
    <n v="297514"/>
    <n v="3.44"/>
    <n v="5"/>
  </r>
  <r>
    <x v="2"/>
    <s v="Bolt EV"/>
    <x v="2"/>
    <x v="0"/>
    <n v="54375.97"/>
    <n v="88.9"/>
    <n v="299"/>
    <n v="200.1"/>
    <n v="2.85"/>
    <n v="200"/>
    <n v="612"/>
    <n v="507"/>
    <s v="AWD"/>
    <n v="7"/>
    <x v="5"/>
    <n v="31.1"/>
    <n v="1654"/>
    <x v="1"/>
    <n v="0"/>
    <x v="2"/>
    <x v="1"/>
    <n v="24792"/>
    <n v="3.55"/>
    <n v="3"/>
  </r>
  <r>
    <x v="0"/>
    <s v="ID. Aero"/>
    <x v="3"/>
    <x v="2"/>
    <n v="61721.97"/>
    <n v="88.9"/>
    <n v="293"/>
    <n v="121"/>
    <n v="4.49"/>
    <n v="174"/>
    <n v="611"/>
    <n v="538"/>
    <s v="FWD"/>
    <n v="5"/>
    <x v="1"/>
    <n v="38.9"/>
    <n v="2029"/>
    <x v="0"/>
    <n v="1"/>
    <x v="0"/>
    <x v="1"/>
    <n v="292808"/>
    <n v="3.65"/>
    <n v="3"/>
  </r>
  <r>
    <x v="0"/>
    <s v="ID.4"/>
    <x v="3"/>
    <x v="3"/>
    <n v="70848.39"/>
    <n v="47.9"/>
    <n v="178"/>
    <n v="115.1"/>
    <n v="6.3"/>
    <n v="160"/>
    <n v="723"/>
    <n v="644"/>
    <s v="FWD"/>
    <n v="7"/>
    <x v="3"/>
    <n v="21.5"/>
    <n v="1500"/>
    <x v="0"/>
    <n v="1"/>
    <x v="0"/>
    <x v="2"/>
    <n v="282558"/>
    <n v="3.33"/>
    <n v="4"/>
  </r>
  <r>
    <x v="7"/>
    <s v="Seagull"/>
    <x v="2"/>
    <x v="2"/>
    <n v="51370.62"/>
    <n v="105.7"/>
    <n v="403"/>
    <n v="99.6"/>
    <n v="4.91"/>
    <n v="177"/>
    <n v="534"/>
    <n v="505"/>
    <s v="AWD"/>
    <n v="7"/>
    <x v="4"/>
    <n v="28.1"/>
    <n v="1598"/>
    <x v="1"/>
    <n v="1"/>
    <x v="4"/>
    <x v="1"/>
    <n v="177642"/>
    <n v="3.76"/>
    <n v="4"/>
  </r>
  <r>
    <x v="0"/>
    <s v="ID.5"/>
    <x v="4"/>
    <x v="2"/>
    <n v="44741.31"/>
    <n v="93.3"/>
    <n v="312"/>
    <n v="57.6"/>
    <n v="4.33"/>
    <n v="186"/>
    <n v="326"/>
    <n v="304"/>
    <s v="AWD"/>
    <n v="7"/>
    <x v="5"/>
    <n v="24.9"/>
    <n v="1689"/>
    <x v="1"/>
    <n v="2"/>
    <x v="0"/>
    <x v="1"/>
    <n v="254746"/>
    <n v="3.41"/>
    <n v="4"/>
  </r>
  <r>
    <x v="7"/>
    <s v="Qin"/>
    <x v="4"/>
    <x v="3"/>
    <n v="25493.200000000001"/>
    <n v="79"/>
    <n v="290"/>
    <n v="50.3"/>
    <n v="6.89"/>
    <n v="147"/>
    <n v="244"/>
    <n v="200"/>
    <s v="RWD"/>
    <n v="5"/>
    <x v="1"/>
    <n v="59.6"/>
    <n v="1716"/>
    <x v="0"/>
    <n v="0"/>
    <x v="4"/>
    <x v="3"/>
    <n v="203716"/>
    <n v="3.59"/>
    <n v="3"/>
  </r>
  <r>
    <x v="4"/>
    <s v="Model Y"/>
    <x v="3"/>
    <x v="2"/>
    <n v="139788.5"/>
    <n v="103.7"/>
    <n v="335"/>
    <n v="289.7"/>
    <n v="5.62"/>
    <n v="164"/>
    <n v="990"/>
    <n v="941"/>
    <s v="FWD"/>
    <n v="5"/>
    <x v="4"/>
    <n v="36.9"/>
    <n v="1711"/>
    <x v="0"/>
    <n v="2"/>
    <x v="2"/>
    <x v="0"/>
    <n v="402120"/>
    <n v="3.78"/>
    <n v="5"/>
  </r>
  <r>
    <x v="3"/>
    <s v="EV6"/>
    <x v="6"/>
    <x v="4"/>
    <n v="29338.85"/>
    <n v="40.5"/>
    <n v="157"/>
    <n v="85.7"/>
    <n v="6.13"/>
    <n v="165"/>
    <n v="185"/>
    <n v="200"/>
    <s v="FWD"/>
    <n v="5"/>
    <x v="1"/>
    <n v="68.7"/>
    <n v="2266"/>
    <x v="0"/>
    <n v="1"/>
    <x v="3"/>
    <x v="3"/>
    <n v="61921"/>
    <n v="3.18"/>
    <n v="3"/>
  </r>
  <r>
    <x v="10"/>
    <s v="iX"/>
    <x v="2"/>
    <x v="2"/>
    <n v="73854.83"/>
    <n v="96.9"/>
    <n v="322"/>
    <n v="135.19999999999999"/>
    <n v="4.66"/>
    <n v="181"/>
    <n v="435"/>
    <n v="336"/>
    <s v="FWD"/>
    <n v="5"/>
    <x v="3"/>
    <n v="24.9"/>
    <n v="1829"/>
    <x v="1"/>
    <n v="2"/>
    <x v="0"/>
    <x v="2"/>
    <n v="33084"/>
    <n v="3.64"/>
    <n v="8"/>
  </r>
  <r>
    <x v="10"/>
    <s v="i3"/>
    <x v="3"/>
    <x v="1"/>
    <n v="108403.17"/>
    <n v="84.9"/>
    <n v="286"/>
    <n v="52.2"/>
    <n v="5.55"/>
    <n v="165"/>
    <n v="939"/>
    <n v="836"/>
    <s v="AWD"/>
    <n v="7"/>
    <x v="0"/>
    <n v="72.3"/>
    <n v="2516"/>
    <x v="1"/>
    <n v="2"/>
    <x v="0"/>
    <x v="0"/>
    <n v="60610"/>
    <n v="3.5"/>
    <n v="8"/>
  </r>
  <r>
    <x v="8"/>
    <s v="Kona Electric"/>
    <x v="2"/>
    <x v="0"/>
    <n v="50241.81"/>
    <n v="101.5"/>
    <n v="340"/>
    <n v="152.69999999999999"/>
    <n v="3.86"/>
    <n v="193"/>
    <n v="556"/>
    <n v="549"/>
    <s v="RWD"/>
    <n v="5"/>
    <x v="1"/>
    <n v="41.1"/>
    <n v="2084"/>
    <x v="1"/>
    <n v="0"/>
    <x v="3"/>
    <x v="1"/>
    <n v="106270"/>
    <n v="3.67"/>
    <n v="3"/>
  </r>
  <r>
    <x v="0"/>
    <s v="ID. Aero"/>
    <x v="0"/>
    <x v="1"/>
    <n v="107650.74"/>
    <n v="66"/>
    <n v="238"/>
    <n v="70.599999999999994"/>
    <n v="5.43"/>
    <n v="169"/>
    <n v="1000"/>
    <n v="931"/>
    <s v="AWD"/>
    <n v="5"/>
    <x v="3"/>
    <n v="31.9"/>
    <n v="1500"/>
    <x v="0"/>
    <n v="1"/>
    <x v="0"/>
    <x v="0"/>
    <n v="215531"/>
    <n v="3.43"/>
    <n v="4"/>
  </r>
  <r>
    <x v="5"/>
    <s v="GLE EV"/>
    <x v="5"/>
    <x v="2"/>
    <n v="89516.61"/>
    <n v="78.7"/>
    <n v="296"/>
    <n v="115.6"/>
    <n v="4.2300000000000004"/>
    <n v="185"/>
    <n v="381"/>
    <n v="309"/>
    <s v="FWD"/>
    <n v="5"/>
    <x v="2"/>
    <n v="62"/>
    <n v="1692"/>
    <x v="0"/>
    <n v="1"/>
    <x v="0"/>
    <x v="2"/>
    <n v="50182"/>
    <n v="4.07"/>
    <n v="5"/>
  </r>
  <r>
    <x v="8"/>
    <s v="Ioniq 6"/>
    <x v="2"/>
    <x v="0"/>
    <n v="106647.79"/>
    <n v="98.5"/>
    <n v="363"/>
    <n v="152.4"/>
    <n v="2.76"/>
    <n v="200"/>
    <n v="1000"/>
    <n v="921"/>
    <s v="AWD"/>
    <n v="7"/>
    <x v="4"/>
    <n v="36.4"/>
    <n v="1549"/>
    <x v="1"/>
    <n v="1"/>
    <x v="3"/>
    <x v="0"/>
    <n v="149654"/>
    <n v="3.94"/>
    <n v="5"/>
  </r>
  <r>
    <x v="8"/>
    <s v="Ioniq"/>
    <x v="0"/>
    <x v="2"/>
    <n v="85387.82"/>
    <n v="78.5"/>
    <n v="251"/>
    <n v="130.4"/>
    <n v="5.18"/>
    <n v="178"/>
    <n v="1000"/>
    <n v="899"/>
    <s v="AWD"/>
    <n v="5"/>
    <x v="5"/>
    <n v="26.9"/>
    <n v="1500"/>
    <x v="0"/>
    <n v="2"/>
    <x v="3"/>
    <x v="2"/>
    <n v="131774"/>
    <n v="3.48"/>
    <n v="3"/>
  </r>
  <r>
    <x v="4"/>
    <s v="Model S"/>
    <x v="0"/>
    <x v="1"/>
    <n v="84622.11"/>
    <n v="73.7"/>
    <n v="264"/>
    <n v="297"/>
    <n v="7.3"/>
    <n v="143"/>
    <n v="599"/>
    <n v="590"/>
    <s v="AWD"/>
    <n v="5"/>
    <x v="1"/>
    <n v="44.8"/>
    <n v="1922"/>
    <x v="0"/>
    <n v="2"/>
    <x v="2"/>
    <x v="2"/>
    <n v="193331"/>
    <n v="3.64"/>
    <n v="5"/>
  </r>
  <r>
    <x v="7"/>
    <s v="Atto 3"/>
    <x v="3"/>
    <x v="2"/>
    <n v="28903.55"/>
    <n v="96.2"/>
    <n v="330"/>
    <n v="61.7"/>
    <n v="4.7300000000000004"/>
    <n v="180"/>
    <n v="255"/>
    <n v="210"/>
    <s v="AWD"/>
    <n v="5"/>
    <x v="3"/>
    <n v="34.4"/>
    <n v="1559"/>
    <x v="0"/>
    <n v="1"/>
    <x v="4"/>
    <x v="3"/>
    <n v="225650"/>
    <n v="3.6"/>
    <n v="3"/>
  </r>
  <r>
    <x v="0"/>
    <s v="ID. Buzz"/>
    <x v="3"/>
    <x v="1"/>
    <n v="88650.96"/>
    <n v="83.9"/>
    <n v="297"/>
    <n v="85.7"/>
    <n v="6.87"/>
    <n v="146"/>
    <n v="1000"/>
    <n v="880"/>
    <s v="RWD"/>
    <n v="7"/>
    <x v="5"/>
    <n v="32.200000000000003"/>
    <n v="1768"/>
    <x v="0"/>
    <n v="0"/>
    <x v="0"/>
    <x v="2"/>
    <n v="243258"/>
    <n v="3.56"/>
    <n v="5"/>
  </r>
  <r>
    <x v="0"/>
    <s v="ID.4"/>
    <x v="2"/>
    <x v="2"/>
    <n v="69709.16"/>
    <n v="99.7"/>
    <n v="349"/>
    <n v="60.9"/>
    <n v="4.74"/>
    <n v="184"/>
    <n v="662"/>
    <n v="636"/>
    <s v="AWD"/>
    <n v="5"/>
    <x v="0"/>
    <n v="61.1"/>
    <n v="2597"/>
    <x v="1"/>
    <n v="0"/>
    <x v="0"/>
    <x v="2"/>
    <n v="273314"/>
    <n v="3.79"/>
    <n v="4"/>
  </r>
  <r>
    <x v="3"/>
    <s v="EV6"/>
    <x v="0"/>
    <x v="2"/>
    <n v="68881.259999999995"/>
    <n v="85.2"/>
    <n v="297"/>
    <n v="97.4"/>
    <n v="4.5999999999999996"/>
    <n v="172"/>
    <n v="787"/>
    <n v="717"/>
    <s v="AWD"/>
    <n v="5"/>
    <x v="1"/>
    <n v="36.4"/>
    <n v="1755"/>
    <x v="0"/>
    <n v="0"/>
    <x v="3"/>
    <x v="2"/>
    <n v="85490"/>
    <n v="3.48"/>
    <n v="4"/>
  </r>
  <r>
    <x v="8"/>
    <s v="Ioniq 5"/>
    <x v="5"/>
    <x v="0"/>
    <n v="46435.85"/>
    <n v="100.4"/>
    <n v="359"/>
    <n v="204.9"/>
    <n v="3.97"/>
    <n v="189"/>
    <n v="429"/>
    <n v="426"/>
    <s v="RWD"/>
    <n v="7"/>
    <x v="1"/>
    <n v="52.7"/>
    <n v="2075"/>
    <x v="0"/>
    <n v="0"/>
    <x v="3"/>
    <x v="1"/>
    <n v="73520"/>
    <n v="3.68"/>
    <n v="4"/>
  </r>
  <r>
    <x v="3"/>
    <s v="Niro EV"/>
    <x v="0"/>
    <x v="3"/>
    <n v="53627.18"/>
    <n v="75.2"/>
    <n v="266"/>
    <n v="132.80000000000001"/>
    <n v="6.62"/>
    <n v="154"/>
    <n v="573"/>
    <n v="518"/>
    <s v="FWD"/>
    <n v="5"/>
    <x v="5"/>
    <n v="16.600000000000001"/>
    <n v="1500"/>
    <x v="2"/>
    <n v="0"/>
    <x v="3"/>
    <x v="1"/>
    <n v="65815"/>
    <n v="3.66"/>
    <n v="4"/>
  </r>
  <r>
    <x v="9"/>
    <s v="Explorer EV"/>
    <x v="3"/>
    <x v="3"/>
    <n v="31999.38"/>
    <n v="73.5"/>
    <n v="219"/>
    <n v="63"/>
    <n v="6.24"/>
    <n v="163"/>
    <n v="192"/>
    <n v="210"/>
    <s v="AWD"/>
    <n v="5"/>
    <x v="0"/>
    <n v="74.2"/>
    <n v="2364"/>
    <x v="0"/>
    <n v="1"/>
    <x v="2"/>
    <x v="3"/>
    <n v="25220"/>
    <n v="3.43"/>
    <n v="4"/>
  </r>
  <r>
    <x v="9"/>
    <s v="E-Transit"/>
    <x v="3"/>
    <x v="2"/>
    <n v="97440.5"/>
    <n v="95"/>
    <n v="331"/>
    <n v="63.3"/>
    <n v="5.16"/>
    <n v="173"/>
    <n v="1000"/>
    <n v="897"/>
    <s v="RWD"/>
    <n v="5"/>
    <x v="4"/>
    <n v="18.100000000000001"/>
    <n v="1680"/>
    <x v="0"/>
    <n v="1"/>
    <x v="2"/>
    <x v="2"/>
    <n v="26936"/>
    <n v="3.72"/>
    <n v="4"/>
  </r>
  <r>
    <x v="2"/>
    <s v="Equinox EV"/>
    <x v="1"/>
    <x v="3"/>
    <n v="33771.620000000003"/>
    <n v="73.400000000000006"/>
    <n v="250"/>
    <n v="77.5"/>
    <n v="5.72"/>
    <n v="157"/>
    <n v="262"/>
    <n v="240"/>
    <s v="RWD"/>
    <n v="5"/>
    <x v="1"/>
    <n v="64"/>
    <n v="2124"/>
    <x v="0"/>
    <n v="0"/>
    <x v="2"/>
    <x v="3"/>
    <n v="22698"/>
    <n v="3.33"/>
    <n v="4"/>
  </r>
  <r>
    <x v="1"/>
    <s v="bZ Compact SUV"/>
    <x v="0"/>
    <x v="2"/>
    <n v="79916.17"/>
    <n v="85.7"/>
    <n v="295"/>
    <n v="79.3"/>
    <n v="4.43"/>
    <n v="176"/>
    <n v="1000"/>
    <n v="898"/>
    <s v="FWD"/>
    <n v="5"/>
    <x v="1"/>
    <n v="44.3"/>
    <n v="2030"/>
    <x v="0"/>
    <n v="1"/>
    <x v="1"/>
    <x v="2"/>
    <n v="29619"/>
    <n v="3.47"/>
    <n v="3"/>
  </r>
  <r>
    <x v="4"/>
    <s v="Model X"/>
    <x v="3"/>
    <x v="1"/>
    <n v="133807.79999999999"/>
    <n v="41.7"/>
    <n v="150"/>
    <n v="336.7"/>
    <n v="5.38"/>
    <n v="161"/>
    <n v="994"/>
    <n v="865"/>
    <s v="AWD"/>
    <n v="7"/>
    <x v="0"/>
    <n v="52.9"/>
    <n v="2540"/>
    <x v="0"/>
    <n v="2"/>
    <x v="2"/>
    <x v="0"/>
    <n v="225294"/>
    <n v="3.41"/>
    <n v="5"/>
  </r>
  <r>
    <x v="4"/>
    <s v="Model S"/>
    <x v="3"/>
    <x v="2"/>
    <n v="43022.879999999997"/>
    <n v="101.7"/>
    <n v="396"/>
    <n v="299.8"/>
    <n v="5"/>
    <n v="178"/>
    <n v="286"/>
    <n v="363"/>
    <s v="FWD"/>
    <n v="7"/>
    <x v="4"/>
    <n v="37.5"/>
    <n v="1723"/>
    <x v="1"/>
    <n v="2"/>
    <x v="2"/>
    <x v="1"/>
    <n v="177801"/>
    <n v="4.2"/>
    <n v="6"/>
  </r>
  <r>
    <x v="4"/>
    <s v="Model X"/>
    <x v="5"/>
    <x v="1"/>
    <n v="88927.83"/>
    <n v="60.1"/>
    <n v="213"/>
    <n v="331.3"/>
    <n v="7.27"/>
    <n v="143"/>
    <n v="671"/>
    <n v="574"/>
    <s v="AWD"/>
    <n v="5"/>
    <x v="1"/>
    <n v="56.9"/>
    <n v="1899"/>
    <x v="0"/>
    <n v="3"/>
    <x v="2"/>
    <x v="2"/>
    <n v="116766"/>
    <n v="3.76"/>
    <n v="4"/>
  </r>
  <r>
    <x v="10"/>
    <s v="i5"/>
    <x v="3"/>
    <x v="2"/>
    <n v="119539.21"/>
    <n v="109.1"/>
    <n v="391"/>
    <n v="54.4"/>
    <n v="4.24"/>
    <n v="183"/>
    <n v="1000"/>
    <n v="900"/>
    <s v="RWD"/>
    <n v="5"/>
    <x v="5"/>
    <n v="38.6"/>
    <n v="1669"/>
    <x v="2"/>
    <n v="2"/>
    <x v="0"/>
    <x v="0"/>
    <n v="49676"/>
    <n v="3.74"/>
    <n v="6"/>
  </r>
  <r>
    <x v="11"/>
    <s v="e-tron"/>
    <x v="3"/>
    <x v="3"/>
    <n v="71446.39"/>
    <n v="60.1"/>
    <n v="202"/>
    <n v="146.6"/>
    <n v="6.43"/>
    <n v="150"/>
    <n v="451"/>
    <n v="409"/>
    <s v="FWD"/>
    <n v="5"/>
    <x v="5"/>
    <n v="19.100000000000001"/>
    <n v="1500"/>
    <x v="1"/>
    <n v="2"/>
    <x v="0"/>
    <x v="2"/>
    <n v="60589"/>
    <n v="3.47"/>
    <n v="5"/>
  </r>
  <r>
    <x v="7"/>
    <s v="Max"/>
    <x v="0"/>
    <x v="0"/>
    <n v="93434.880000000005"/>
    <n v="89.1"/>
    <n v="321"/>
    <n v="249.5"/>
    <n v="2.9"/>
    <n v="200"/>
    <n v="1000"/>
    <n v="912"/>
    <s v="AWD"/>
    <n v="5"/>
    <x v="2"/>
    <n v="68.599999999999994"/>
    <n v="1500"/>
    <x v="1"/>
    <n v="0"/>
    <x v="4"/>
    <x v="2"/>
    <n v="220329"/>
    <n v="3.35"/>
    <n v="4"/>
  </r>
  <r>
    <x v="13"/>
    <s v="R2"/>
    <x v="2"/>
    <x v="2"/>
    <n v="96777.2"/>
    <n v="98.9"/>
    <n v="341"/>
    <n v="130.19999999999999"/>
    <n v="4.47"/>
    <n v="179"/>
    <n v="1000"/>
    <n v="896"/>
    <s v="FWD"/>
    <n v="7"/>
    <x v="3"/>
    <n v="36.700000000000003"/>
    <n v="1807"/>
    <x v="1"/>
    <n v="0"/>
    <x v="2"/>
    <x v="2"/>
    <n v="20918"/>
    <n v="3.83"/>
    <n v="6"/>
  </r>
  <r>
    <x v="4"/>
    <s v="Model 3"/>
    <x v="2"/>
    <x v="0"/>
    <n v="142117.21"/>
    <n v="102.9"/>
    <n v="353"/>
    <n v="265.10000000000002"/>
    <n v="3.97"/>
    <n v="184"/>
    <n v="1000"/>
    <n v="906"/>
    <s v="AWD"/>
    <n v="5"/>
    <x v="1"/>
    <n v="39.700000000000003"/>
    <n v="1870"/>
    <x v="1"/>
    <n v="2"/>
    <x v="2"/>
    <x v="0"/>
    <n v="232616"/>
    <n v="3.85"/>
    <n v="4"/>
  </r>
  <r>
    <x v="12"/>
    <s v="EL8"/>
    <x v="2"/>
    <x v="2"/>
    <n v="119324.89"/>
    <n v="90.9"/>
    <n v="308"/>
    <n v="123.3"/>
    <n v="5.39"/>
    <n v="168"/>
    <n v="1000"/>
    <n v="871"/>
    <s v="FWD"/>
    <n v="5"/>
    <x v="0"/>
    <n v="63.8"/>
    <n v="2732"/>
    <x v="1"/>
    <n v="0"/>
    <x v="4"/>
    <x v="0"/>
    <n v="11219"/>
    <n v="3.72"/>
    <n v="5"/>
  </r>
  <r>
    <x v="7"/>
    <s v="Atto 3"/>
    <x v="3"/>
    <x v="3"/>
    <n v="61646.7"/>
    <n v="48.1"/>
    <n v="150"/>
    <n v="66.900000000000006"/>
    <n v="6.74"/>
    <n v="145"/>
    <n v="651"/>
    <n v="520"/>
    <s v="AWD"/>
    <n v="7"/>
    <x v="0"/>
    <n v="74.400000000000006"/>
    <n v="2640"/>
    <x v="0"/>
    <n v="1"/>
    <x v="4"/>
    <x v="1"/>
    <n v="115977"/>
    <n v="3.16"/>
    <n v="4"/>
  </r>
  <r>
    <x v="4"/>
    <s v="Model 3"/>
    <x v="3"/>
    <x v="2"/>
    <n v="112948.48"/>
    <n v="78.099999999999994"/>
    <n v="261"/>
    <n v="325.7"/>
    <n v="5.89"/>
    <n v="169"/>
    <n v="787"/>
    <n v="637"/>
    <s v="FWD"/>
    <n v="5"/>
    <x v="0"/>
    <n v="79.900000000000006"/>
    <n v="2409"/>
    <x v="1"/>
    <n v="2"/>
    <x v="2"/>
    <x v="0"/>
    <n v="130244"/>
    <n v="3.47"/>
    <n v="4"/>
  </r>
  <r>
    <x v="8"/>
    <s v="Kona Electric"/>
    <x v="3"/>
    <x v="0"/>
    <n v="91101"/>
    <n v="93.1"/>
    <n v="300"/>
    <n v="167.8"/>
    <n v="3.9"/>
    <n v="193"/>
    <n v="1000"/>
    <n v="880"/>
    <s v="AWD"/>
    <n v="7"/>
    <x v="2"/>
    <n v="70.099999999999994"/>
    <n v="1500"/>
    <x v="1"/>
    <n v="1"/>
    <x v="3"/>
    <x v="2"/>
    <n v="95350"/>
    <n v="3.54"/>
    <n v="4"/>
  </r>
  <r>
    <x v="7"/>
    <s v="Qin"/>
    <x v="1"/>
    <x v="3"/>
    <n v="30225.18"/>
    <n v="54.4"/>
    <n v="172"/>
    <n v="86.1"/>
    <n v="5.71"/>
    <n v="162"/>
    <n v="266"/>
    <n v="255"/>
    <s v="RWD"/>
    <n v="5"/>
    <x v="4"/>
    <n v="22.3"/>
    <n v="1704"/>
    <x v="0"/>
    <n v="0"/>
    <x v="4"/>
    <x v="3"/>
    <n v="237770"/>
    <n v="3.36"/>
    <n v="4"/>
  </r>
  <r>
    <x v="7"/>
    <s v="Atto 3"/>
    <x v="3"/>
    <x v="2"/>
    <n v="104231.93"/>
    <n v="79.599999999999994"/>
    <n v="254"/>
    <n v="106.6"/>
    <n v="4.1900000000000004"/>
    <n v="186"/>
    <n v="1000"/>
    <n v="903"/>
    <s v="FWD"/>
    <n v="5"/>
    <x v="2"/>
    <n v="62.5"/>
    <n v="1649"/>
    <x v="0"/>
    <n v="2"/>
    <x v="4"/>
    <x v="0"/>
    <n v="190907"/>
    <n v="3.49"/>
    <n v="4"/>
  </r>
  <r>
    <x v="7"/>
    <s v="Leaf 50X"/>
    <x v="2"/>
    <x v="3"/>
    <n v="45940.66"/>
    <n v="72.5"/>
    <n v="255"/>
    <n v="76.400000000000006"/>
    <n v="5.42"/>
    <n v="176"/>
    <n v="484"/>
    <n v="435"/>
    <s v="AWD"/>
    <n v="5"/>
    <x v="0"/>
    <n v="76"/>
    <n v="2531"/>
    <x v="1"/>
    <n v="2"/>
    <x v="4"/>
    <x v="1"/>
    <n v="114800"/>
    <n v="3.48"/>
    <n v="3"/>
  </r>
  <r>
    <x v="9"/>
    <s v="Mustang Mach-E"/>
    <x v="3"/>
    <x v="4"/>
    <n v="68547.740000000005"/>
    <n v="40.5"/>
    <n v="153"/>
    <n v="104"/>
    <n v="5.31"/>
    <n v="168"/>
    <n v="738"/>
    <n v="635"/>
    <s v="RWD"/>
    <n v="5"/>
    <x v="4"/>
    <n v="22"/>
    <n v="1696"/>
    <x v="1"/>
    <n v="1"/>
    <x v="2"/>
    <x v="2"/>
    <n v="25642"/>
    <n v="3.34"/>
    <n v="5"/>
  </r>
  <r>
    <x v="3"/>
    <s v="EV6"/>
    <x v="3"/>
    <x v="2"/>
    <n v="46513"/>
    <n v="99"/>
    <n v="349"/>
    <n v="87.7"/>
    <n v="4.41"/>
    <n v="182"/>
    <n v="443"/>
    <n v="412"/>
    <s v="FWD"/>
    <n v="5"/>
    <x v="0"/>
    <n v="75.099999999999994"/>
    <n v="2677"/>
    <x v="0"/>
    <n v="2"/>
    <x v="3"/>
    <x v="1"/>
    <n v="124966"/>
    <n v="3.94"/>
    <n v="4"/>
  </r>
  <r>
    <x v="7"/>
    <s v="Max"/>
    <x v="1"/>
    <x v="4"/>
    <n v="72612.58"/>
    <n v="73.400000000000006"/>
    <n v="257"/>
    <n v="112.5"/>
    <n v="7.56"/>
    <n v="142"/>
    <n v="793"/>
    <n v="668"/>
    <s v="FWD"/>
    <n v="7"/>
    <x v="2"/>
    <n v="64.3"/>
    <n v="1500"/>
    <x v="0"/>
    <n v="1"/>
    <x v="4"/>
    <x v="2"/>
    <n v="232843"/>
    <n v="3.32"/>
    <n v="4"/>
  </r>
  <r>
    <x v="3"/>
    <s v="Niro EV"/>
    <x v="1"/>
    <x v="3"/>
    <n v="34817.25"/>
    <n v="56.3"/>
    <n v="207"/>
    <n v="107.7"/>
    <n v="5.43"/>
    <n v="173"/>
    <n v="236"/>
    <n v="242"/>
    <s v="RWD"/>
    <n v="7"/>
    <x v="0"/>
    <n v="56.4"/>
    <n v="2426"/>
    <x v="0"/>
    <n v="1"/>
    <x v="3"/>
    <x v="3"/>
    <n v="109878"/>
    <n v="3.27"/>
    <n v="4"/>
  </r>
  <r>
    <x v="2"/>
    <s v="Bolt EV"/>
    <x v="3"/>
    <x v="3"/>
    <n v="34507.25"/>
    <n v="66.400000000000006"/>
    <n v="230"/>
    <n v="125.8"/>
    <n v="6.28"/>
    <n v="167"/>
    <n v="291"/>
    <n v="200"/>
    <s v="RWD"/>
    <n v="7"/>
    <x v="0"/>
    <n v="64.599999999999994"/>
    <n v="2166"/>
    <x v="1"/>
    <n v="1"/>
    <x v="2"/>
    <x v="3"/>
    <n v="18832"/>
    <n v="3.2"/>
    <n v="4"/>
  </r>
  <r>
    <x v="7"/>
    <s v="Qin"/>
    <x v="0"/>
    <x v="2"/>
    <n v="27057.77"/>
    <n v="108.5"/>
    <n v="385"/>
    <n v="77.2"/>
    <n v="5.89"/>
    <n v="162"/>
    <n v="295"/>
    <n v="278"/>
    <s v="AWD"/>
    <n v="5"/>
    <x v="5"/>
    <n v="31.5"/>
    <n v="1500"/>
    <x v="0"/>
    <n v="1"/>
    <x v="4"/>
    <x v="3"/>
    <n v="176350"/>
    <n v="3.6"/>
    <n v="4"/>
  </r>
  <r>
    <x v="0"/>
    <s v="ID.4"/>
    <x v="6"/>
    <x v="1"/>
    <n v="48608.56"/>
    <n v="41.4"/>
    <n v="163"/>
    <n v="71.099999999999994"/>
    <n v="5.45"/>
    <n v="175"/>
    <n v="443"/>
    <n v="450"/>
    <s v="AWD"/>
    <n v="5"/>
    <x v="0"/>
    <n v="57.3"/>
    <n v="2188"/>
    <x v="1"/>
    <n v="1"/>
    <x v="0"/>
    <x v="1"/>
    <n v="221203"/>
    <n v="3.43"/>
    <n v="4"/>
  </r>
  <r>
    <x v="4"/>
    <s v="Model X"/>
    <x v="3"/>
    <x v="3"/>
    <n v="30686.17"/>
    <n v="65.2"/>
    <n v="245"/>
    <n v="343.2"/>
    <n v="7.58"/>
    <n v="138"/>
    <n v="162"/>
    <n v="200"/>
    <s v="AWD"/>
    <n v="5"/>
    <x v="5"/>
    <n v="24.8"/>
    <n v="1533"/>
    <x v="1"/>
    <n v="2"/>
    <x v="2"/>
    <x v="3"/>
    <n v="248383"/>
    <n v="3.55"/>
    <n v="4"/>
  </r>
  <r>
    <x v="4"/>
    <s v="Cybertruck"/>
    <x v="0"/>
    <x v="0"/>
    <n v="56003.28"/>
    <n v="108.7"/>
    <n v="392"/>
    <n v="231.2"/>
    <n v="3.88"/>
    <n v="192"/>
    <n v="391"/>
    <n v="330"/>
    <s v="AWD"/>
    <n v="5"/>
    <x v="0"/>
    <n v="60"/>
    <n v="2669"/>
    <x v="0"/>
    <n v="3"/>
    <x v="2"/>
    <x v="1"/>
    <n v="102435"/>
    <n v="4.04"/>
    <n v="4"/>
  </r>
  <r>
    <x v="10"/>
    <s v="i3"/>
    <x v="3"/>
    <x v="4"/>
    <n v="75699.03"/>
    <n v="67.400000000000006"/>
    <n v="240"/>
    <n v="129"/>
    <n v="5.37"/>
    <n v="172"/>
    <n v="482"/>
    <n v="447"/>
    <s v="FWD"/>
    <n v="5"/>
    <x v="5"/>
    <n v="19.899999999999999"/>
    <n v="1537"/>
    <x v="1"/>
    <n v="1"/>
    <x v="0"/>
    <x v="2"/>
    <n v="23009"/>
    <n v="3.46"/>
    <n v="6"/>
  </r>
  <r>
    <x v="4"/>
    <s v="Model S"/>
    <x v="3"/>
    <x v="1"/>
    <n v="102510.62"/>
    <n v="40.799999999999997"/>
    <n v="150"/>
    <n v="229.2"/>
    <n v="7.08"/>
    <n v="140"/>
    <n v="755"/>
    <n v="692"/>
    <s v="AWD"/>
    <n v="5"/>
    <x v="4"/>
    <n v="25.9"/>
    <n v="1648"/>
    <x v="0"/>
    <n v="2"/>
    <x v="2"/>
    <x v="0"/>
    <n v="206373"/>
    <n v="3.59"/>
    <n v="6"/>
  </r>
  <r>
    <x v="8"/>
    <s v="Ioniq"/>
    <x v="1"/>
    <x v="4"/>
    <n v="39241.19"/>
    <n v="62.3"/>
    <n v="205"/>
    <n v="97.7"/>
    <n v="5.35"/>
    <n v="173"/>
    <n v="416"/>
    <n v="406"/>
    <s v="FWD"/>
    <n v="5"/>
    <x v="1"/>
    <n v="51.8"/>
    <n v="1948"/>
    <x v="1"/>
    <n v="0"/>
    <x v="3"/>
    <x v="1"/>
    <n v="50222"/>
    <n v="3.32"/>
    <n v="4"/>
  </r>
  <r>
    <x v="2"/>
    <s v="Bolt EUV"/>
    <x v="3"/>
    <x v="2"/>
    <n v="74596.820000000007"/>
    <n v="94.2"/>
    <n v="323"/>
    <n v="59.2"/>
    <n v="5.24"/>
    <n v="178"/>
    <n v="1000"/>
    <n v="902"/>
    <s v="AWD"/>
    <n v="7"/>
    <x v="0"/>
    <n v="74.099999999999994"/>
    <n v="2456"/>
    <x v="0"/>
    <n v="0"/>
    <x v="2"/>
    <x v="2"/>
    <n v="14842"/>
    <n v="3.62"/>
    <n v="5"/>
  </r>
  <r>
    <x v="4"/>
    <s v="Model S"/>
    <x v="2"/>
    <x v="0"/>
    <n v="62920.59"/>
    <n v="91"/>
    <n v="352"/>
    <n v="239.9"/>
    <n v="4.04"/>
    <n v="184"/>
    <n v="443"/>
    <n v="372"/>
    <s v="RWD"/>
    <n v="5"/>
    <x v="2"/>
    <n v="71.7"/>
    <n v="1500"/>
    <x v="0"/>
    <n v="2"/>
    <x v="2"/>
    <x v="1"/>
    <n v="248485"/>
    <n v="4.42"/>
    <n v="4"/>
  </r>
  <r>
    <x v="3"/>
    <s v="EV9"/>
    <x v="0"/>
    <x v="2"/>
    <n v="62846.87"/>
    <n v="96.2"/>
    <n v="339"/>
    <n v="123.1"/>
    <n v="4.6900000000000004"/>
    <n v="186"/>
    <n v="698"/>
    <n v="598"/>
    <s v="FWD"/>
    <n v="7"/>
    <x v="1"/>
    <n v="47"/>
    <n v="1905"/>
    <x v="1"/>
    <n v="0"/>
    <x v="3"/>
    <x v="1"/>
    <n v="73090"/>
    <n v="3.76"/>
    <n v="4"/>
  </r>
  <r>
    <x v="7"/>
    <s v="Yuan Plus"/>
    <x v="0"/>
    <x v="1"/>
    <n v="44973.03"/>
    <n v="70.2"/>
    <n v="272"/>
    <n v="98.7"/>
    <n v="6.41"/>
    <n v="156"/>
    <n v="493"/>
    <n v="472"/>
    <s v="RWD"/>
    <n v="5"/>
    <x v="3"/>
    <n v="36.299999999999997"/>
    <n v="2102"/>
    <x v="0"/>
    <n v="1"/>
    <x v="4"/>
    <x v="1"/>
    <n v="163237"/>
    <n v="3.63"/>
    <n v="4"/>
  </r>
  <r>
    <x v="1"/>
    <s v="bZ Compact SUV"/>
    <x v="5"/>
    <x v="2"/>
    <n v="86892.09"/>
    <n v="84.1"/>
    <n v="298"/>
    <n v="115.8"/>
    <n v="4.2300000000000004"/>
    <n v="186"/>
    <n v="1000"/>
    <n v="879"/>
    <s v="FWD"/>
    <n v="7"/>
    <x v="1"/>
    <n v="44.6"/>
    <n v="1924"/>
    <x v="0"/>
    <n v="1"/>
    <x v="1"/>
    <x v="2"/>
    <n v="27998"/>
    <n v="3.62"/>
    <n v="4"/>
  </r>
  <r>
    <x v="8"/>
    <s v="Ioniq 6"/>
    <x v="1"/>
    <x v="0"/>
    <n v="56768.4"/>
    <n v="117.3"/>
    <n v="400"/>
    <n v="156.69999999999999"/>
    <n v="3.2"/>
    <n v="200"/>
    <n v="588"/>
    <n v="539"/>
    <s v="RWD"/>
    <n v="5"/>
    <x v="4"/>
    <n v="29.7"/>
    <n v="1611"/>
    <x v="1"/>
    <n v="1"/>
    <x v="3"/>
    <x v="1"/>
    <n v="141874"/>
    <n v="4.18"/>
    <n v="4"/>
  </r>
  <r>
    <x v="9"/>
    <s v="Explorer EV"/>
    <x v="1"/>
    <x v="2"/>
    <n v="86649.72"/>
    <n v="78.8"/>
    <n v="301"/>
    <n v="125"/>
    <n v="5.18"/>
    <n v="175"/>
    <n v="1000"/>
    <n v="889"/>
    <s v="RWD"/>
    <n v="5"/>
    <x v="0"/>
    <n v="74.400000000000006"/>
    <n v="2525"/>
    <x v="1"/>
    <n v="2"/>
    <x v="2"/>
    <x v="2"/>
    <n v="45060"/>
    <n v="3.95"/>
    <n v="4"/>
  </r>
  <r>
    <x v="3"/>
    <s v="Picanto EV"/>
    <x v="0"/>
    <x v="0"/>
    <n v="84710.91"/>
    <n v="95.4"/>
    <n v="364"/>
    <n v="187.7"/>
    <n v="4.0599999999999996"/>
    <n v="192"/>
    <n v="1000"/>
    <n v="925"/>
    <s v="AWD"/>
    <n v="7"/>
    <x v="5"/>
    <n v="29.6"/>
    <n v="1715"/>
    <x v="0"/>
    <n v="0"/>
    <x v="3"/>
    <x v="2"/>
    <n v="109134"/>
    <n v="3.67"/>
    <n v="4"/>
  </r>
  <r>
    <x v="4"/>
    <s v="Model S"/>
    <x v="3"/>
    <x v="3"/>
    <n v="93767.76"/>
    <n v="58.4"/>
    <n v="202"/>
    <n v="247.1"/>
    <n v="7.71"/>
    <n v="133"/>
    <n v="685"/>
    <n v="615"/>
    <s v="FWD"/>
    <n v="5"/>
    <x v="5"/>
    <n v="38.9"/>
    <n v="1585"/>
    <x v="0"/>
    <n v="2"/>
    <x v="2"/>
    <x v="2"/>
    <n v="129076"/>
    <n v="3.36"/>
    <n v="4"/>
  </r>
  <r>
    <x v="10"/>
    <s v="iX"/>
    <x v="3"/>
    <x v="1"/>
    <n v="133858.15"/>
    <n v="74.7"/>
    <n v="287"/>
    <n v="88.7"/>
    <n v="5.3"/>
    <n v="169"/>
    <n v="1000"/>
    <n v="890"/>
    <s v="AWD"/>
    <n v="5"/>
    <x v="1"/>
    <n v="50.4"/>
    <n v="2012"/>
    <x v="1"/>
    <n v="1"/>
    <x v="0"/>
    <x v="0"/>
    <n v="27376"/>
    <n v="3.39"/>
    <n v="8"/>
  </r>
  <r>
    <x v="1"/>
    <s v="bZ4X"/>
    <x v="5"/>
    <x v="1"/>
    <n v="73010.399999999994"/>
    <n v="55.3"/>
    <n v="213"/>
    <n v="72.3"/>
    <n v="6.41"/>
    <n v="152"/>
    <n v="910"/>
    <n v="807"/>
    <s v="AWD"/>
    <n v="5"/>
    <x v="5"/>
    <n v="17.100000000000001"/>
    <n v="1595"/>
    <x v="0"/>
    <n v="0"/>
    <x v="1"/>
    <x v="2"/>
    <n v="9198"/>
    <n v="3.03"/>
    <n v="4"/>
  </r>
  <r>
    <x v="3"/>
    <s v="Picanto EV"/>
    <x v="5"/>
    <x v="2"/>
    <n v="53569.81"/>
    <n v="105.4"/>
    <n v="370"/>
    <n v="145.4"/>
    <n v="5.36"/>
    <n v="168"/>
    <n v="550"/>
    <n v="484"/>
    <s v="FWD"/>
    <n v="7"/>
    <x v="4"/>
    <n v="23.4"/>
    <n v="1883"/>
    <x v="1"/>
    <n v="1"/>
    <x v="3"/>
    <x v="1"/>
    <n v="112650"/>
    <n v="3.77"/>
    <n v="4"/>
  </r>
  <r>
    <x v="9"/>
    <s v="Mustang Mach-E"/>
    <x v="0"/>
    <x v="4"/>
    <n v="61247.58"/>
    <n v="43"/>
    <n v="150"/>
    <n v="103.3"/>
    <n v="6.46"/>
    <n v="145"/>
    <n v="643"/>
    <n v="633"/>
    <s v="RWD"/>
    <n v="5"/>
    <x v="3"/>
    <n v="34"/>
    <n v="1664"/>
    <x v="0"/>
    <n v="0"/>
    <x v="2"/>
    <x v="1"/>
    <n v="76286"/>
    <n v="3.13"/>
    <n v="5"/>
  </r>
  <r>
    <x v="11"/>
    <s v="Q4 e-tron"/>
    <x v="2"/>
    <x v="1"/>
    <n v="130055.6"/>
    <n v="60.1"/>
    <n v="232"/>
    <n v="124.6"/>
    <n v="5.56"/>
    <n v="169"/>
    <n v="1000"/>
    <n v="860"/>
    <s v="AWD"/>
    <n v="5"/>
    <x v="5"/>
    <n v="29.1"/>
    <n v="1715"/>
    <x v="0"/>
    <n v="1"/>
    <x v="0"/>
    <x v="0"/>
    <n v="44054"/>
    <n v="3.23"/>
    <n v="7"/>
  </r>
  <r>
    <x v="7"/>
    <s v="Qin"/>
    <x v="1"/>
    <x v="1"/>
    <n v="39142.51"/>
    <n v="67.400000000000006"/>
    <n v="236"/>
    <n v="120.8"/>
    <n v="6.39"/>
    <n v="159"/>
    <n v="376"/>
    <n v="323"/>
    <s v="FWD"/>
    <n v="7"/>
    <x v="3"/>
    <n v="20.6"/>
    <n v="1500"/>
    <x v="2"/>
    <n v="0"/>
    <x v="4"/>
    <x v="1"/>
    <n v="143146"/>
    <n v="3.46"/>
    <n v="3"/>
  </r>
  <r>
    <x v="7"/>
    <s v="Max"/>
    <x v="0"/>
    <x v="4"/>
    <n v="26581.17"/>
    <n v="76.3"/>
    <n v="257"/>
    <n v="72"/>
    <n v="7.24"/>
    <n v="143"/>
    <n v="211"/>
    <n v="200"/>
    <s v="RWD"/>
    <n v="5"/>
    <x v="1"/>
    <n v="35.9"/>
    <n v="1699"/>
    <x v="1"/>
    <n v="0"/>
    <x v="4"/>
    <x v="3"/>
    <n v="206659"/>
    <n v="3.36"/>
    <n v="4"/>
  </r>
  <r>
    <x v="3"/>
    <s v="Sportage EV"/>
    <x v="0"/>
    <x v="0"/>
    <n v="92527.86"/>
    <n v="110.6"/>
    <n v="404"/>
    <n v="196.5"/>
    <n v="2.7"/>
    <n v="200"/>
    <n v="1000"/>
    <n v="936"/>
    <s v="RWD"/>
    <n v="7"/>
    <x v="1"/>
    <n v="54.6"/>
    <n v="2003"/>
    <x v="0"/>
    <n v="0"/>
    <x v="3"/>
    <x v="2"/>
    <n v="118664"/>
    <n v="3.6"/>
    <n v="4"/>
  </r>
  <r>
    <x v="0"/>
    <s v="ID. Aero"/>
    <x v="1"/>
    <x v="2"/>
    <n v="73265.41"/>
    <n v="102.2"/>
    <n v="363"/>
    <n v="88.3"/>
    <n v="4.82"/>
    <n v="187"/>
    <n v="722"/>
    <n v="624"/>
    <s v="FWD"/>
    <n v="5"/>
    <x v="0"/>
    <n v="50.8"/>
    <n v="2433"/>
    <x v="2"/>
    <n v="1"/>
    <x v="0"/>
    <x v="2"/>
    <n v="255210"/>
    <n v="3.55"/>
    <n v="4"/>
  </r>
  <r>
    <x v="5"/>
    <s v="EQS"/>
    <x v="1"/>
    <x v="2"/>
    <n v="178840.11"/>
    <n v="102.1"/>
    <n v="380"/>
    <n v="97.5"/>
    <n v="4.62"/>
    <n v="182"/>
    <n v="1000"/>
    <n v="855"/>
    <s v="AWD"/>
    <n v="5"/>
    <x v="0"/>
    <n v="52.1"/>
    <n v="2548"/>
    <x v="1"/>
    <n v="1"/>
    <x v="0"/>
    <x v="0"/>
    <n v="49341"/>
    <n v="4.26"/>
    <n v="6"/>
  </r>
  <r>
    <x v="11"/>
    <s v="Q6 e-tron"/>
    <x v="2"/>
    <x v="4"/>
    <n v="55700.85"/>
    <n v="69.099999999999994"/>
    <n v="229"/>
    <n v="110.1"/>
    <n v="5.42"/>
    <n v="173"/>
    <n v="224"/>
    <n v="200"/>
    <s v="RWD"/>
    <n v="5"/>
    <x v="1"/>
    <n v="54.8"/>
    <n v="2094"/>
    <x v="0"/>
    <n v="1"/>
    <x v="0"/>
    <x v="1"/>
    <n v="52734"/>
    <n v="3.21"/>
    <n v="8"/>
  </r>
  <r>
    <x v="7"/>
    <s v="Dolphin"/>
    <x v="2"/>
    <x v="2"/>
    <n v="75079.649999999994"/>
    <n v="88.3"/>
    <n v="299"/>
    <n v="135.6"/>
    <n v="5.98"/>
    <n v="157"/>
    <n v="836"/>
    <n v="754"/>
    <s v="FWD"/>
    <n v="7"/>
    <x v="5"/>
    <n v="20.8"/>
    <n v="1791"/>
    <x v="2"/>
    <n v="2"/>
    <x v="4"/>
    <x v="2"/>
    <n v="149633"/>
    <n v="3.65"/>
    <n v="5"/>
  </r>
  <r>
    <x v="7"/>
    <s v="Qin"/>
    <x v="1"/>
    <x v="3"/>
    <n v="46766.53"/>
    <n v="44.5"/>
    <n v="150"/>
    <n v="53.5"/>
    <n v="6.3"/>
    <n v="162"/>
    <n v="484"/>
    <n v="431"/>
    <s v="AWD"/>
    <n v="5"/>
    <x v="5"/>
    <n v="24.2"/>
    <n v="1500"/>
    <x v="2"/>
    <n v="1"/>
    <x v="4"/>
    <x v="1"/>
    <n v="150601"/>
    <n v="3.18"/>
    <n v="4"/>
  </r>
  <r>
    <x v="9"/>
    <s v="Mustang Mach-E"/>
    <x v="5"/>
    <x v="3"/>
    <n v="43574.22"/>
    <n v="67.2"/>
    <n v="237"/>
    <n v="107.9"/>
    <n v="5.55"/>
    <n v="159"/>
    <n v="376"/>
    <n v="361"/>
    <s v="RWD"/>
    <n v="5"/>
    <x v="1"/>
    <n v="46.9"/>
    <n v="1834"/>
    <x v="1"/>
    <n v="2"/>
    <x v="2"/>
    <x v="1"/>
    <n v="55997"/>
    <n v="3.06"/>
    <n v="5"/>
  </r>
  <r>
    <x v="7"/>
    <s v="Leaf 50X"/>
    <x v="3"/>
    <x v="1"/>
    <n v="71227.02"/>
    <n v="54.5"/>
    <n v="216"/>
    <n v="96.7"/>
    <n v="5.05"/>
    <n v="174"/>
    <n v="851"/>
    <n v="788"/>
    <s v="RWD"/>
    <n v="5"/>
    <x v="5"/>
    <n v="18.600000000000001"/>
    <n v="1500"/>
    <x v="0"/>
    <n v="0"/>
    <x v="4"/>
    <x v="2"/>
    <n v="114165"/>
    <n v="3.2"/>
    <n v="3"/>
  </r>
  <r>
    <x v="5"/>
    <s v="EQS"/>
    <x v="2"/>
    <x v="3"/>
    <n v="126359.58"/>
    <n v="40.6"/>
    <n v="150"/>
    <n v="112.6"/>
    <n v="7.47"/>
    <n v="135"/>
    <n v="711"/>
    <n v="582"/>
    <s v="AWD"/>
    <n v="5"/>
    <x v="4"/>
    <n v="34.700000000000003"/>
    <n v="1760"/>
    <x v="1"/>
    <n v="1"/>
    <x v="0"/>
    <x v="0"/>
    <n v="31657"/>
    <n v="3.57"/>
    <n v="6"/>
  </r>
  <r>
    <x v="0"/>
    <s v="ID. Buzz"/>
    <x v="4"/>
    <x v="2"/>
    <n v="35869.49"/>
    <n v="82.6"/>
    <n v="267"/>
    <n v="132.5"/>
    <n v="5.38"/>
    <n v="165"/>
    <n v="224"/>
    <n v="235"/>
    <s v="FWD"/>
    <n v="5"/>
    <x v="0"/>
    <n v="58.6"/>
    <n v="2542"/>
    <x v="2"/>
    <n v="0"/>
    <x v="0"/>
    <x v="1"/>
    <n v="202031"/>
    <n v="3.79"/>
    <n v="3"/>
  </r>
  <r>
    <x v="10"/>
    <s v="i4"/>
    <x v="3"/>
    <x v="4"/>
    <n v="84568.67"/>
    <n v="83.7"/>
    <n v="285"/>
    <n v="96.2"/>
    <n v="6.92"/>
    <n v="143"/>
    <n v="627"/>
    <n v="638"/>
    <s v="RWD"/>
    <n v="7"/>
    <x v="5"/>
    <n v="31.5"/>
    <n v="1500"/>
    <x v="0"/>
    <n v="1"/>
    <x v="0"/>
    <x v="2"/>
    <n v="62828"/>
    <n v="3.51"/>
    <n v="5"/>
  </r>
  <r>
    <x v="4"/>
    <s v="Model Y"/>
    <x v="0"/>
    <x v="3"/>
    <n v="106611.48"/>
    <n v="81.099999999999994"/>
    <n v="298"/>
    <n v="228"/>
    <n v="6.34"/>
    <n v="153"/>
    <n v="834"/>
    <n v="823"/>
    <s v="RWD"/>
    <n v="5"/>
    <x v="3"/>
    <n v="21"/>
    <n v="1582"/>
    <x v="1"/>
    <n v="2"/>
    <x v="2"/>
    <x v="0"/>
    <n v="481578"/>
    <n v="4.09"/>
    <n v="4"/>
  </r>
  <r>
    <x v="10"/>
    <s v="i4"/>
    <x v="2"/>
    <x v="0"/>
    <n v="82827.92"/>
    <n v="98.2"/>
    <n v="348"/>
    <n v="182.7"/>
    <n v="4.0599999999999996"/>
    <n v="195"/>
    <n v="550"/>
    <n v="495"/>
    <s v="AWD"/>
    <n v="5"/>
    <x v="3"/>
    <n v="35.200000000000003"/>
    <n v="1572"/>
    <x v="0"/>
    <n v="1"/>
    <x v="0"/>
    <x v="2"/>
    <n v="59167"/>
    <n v="3.9"/>
    <n v="6"/>
  </r>
  <r>
    <x v="0"/>
    <s v="ID.3"/>
    <x v="2"/>
    <x v="4"/>
    <n v="38832.160000000003"/>
    <n v="66.3"/>
    <n v="221"/>
    <n v="134.4"/>
    <n v="7.31"/>
    <n v="145"/>
    <n v="247"/>
    <n v="221"/>
    <s v="RWD"/>
    <n v="7"/>
    <x v="1"/>
    <n v="68.7"/>
    <n v="1808"/>
    <x v="1"/>
    <n v="2"/>
    <x v="0"/>
    <x v="1"/>
    <n v="256517"/>
    <n v="3.43"/>
    <n v="3"/>
  </r>
  <r>
    <x v="3"/>
    <s v="Niro EV"/>
    <x v="3"/>
    <x v="0"/>
    <n v="52082.5"/>
    <n v="92.9"/>
    <n v="337"/>
    <n v="235.5"/>
    <n v="3.28"/>
    <n v="200"/>
    <n v="501"/>
    <n v="445"/>
    <s v="RWD"/>
    <n v="5"/>
    <x v="3"/>
    <n v="33.700000000000003"/>
    <n v="1630"/>
    <x v="1"/>
    <n v="0"/>
    <x v="3"/>
    <x v="1"/>
    <n v="99623"/>
    <n v="3.84"/>
    <n v="4"/>
  </r>
  <r>
    <x v="4"/>
    <s v="Cybertruck"/>
    <x v="2"/>
    <x v="4"/>
    <n v="125176.94"/>
    <n v="68.400000000000006"/>
    <n v="258"/>
    <n v="217.3"/>
    <n v="6.57"/>
    <n v="154"/>
    <n v="910"/>
    <n v="830"/>
    <s v="AWD"/>
    <n v="7"/>
    <x v="0"/>
    <n v="56.6"/>
    <n v="2263"/>
    <x v="1"/>
    <n v="2"/>
    <x v="2"/>
    <x v="0"/>
    <n v="162760"/>
    <n v="3.82"/>
    <n v="5"/>
  </r>
  <r>
    <x v="2"/>
    <s v="Blazer EV"/>
    <x v="2"/>
    <x v="2"/>
    <n v="46760.47"/>
    <n v="102.4"/>
    <n v="343"/>
    <n v="59.7"/>
    <n v="4"/>
    <n v="195"/>
    <n v="478"/>
    <n v="443"/>
    <s v="AWD"/>
    <n v="5"/>
    <x v="4"/>
    <n v="32.200000000000003"/>
    <n v="1592"/>
    <x v="0"/>
    <n v="0"/>
    <x v="2"/>
    <x v="1"/>
    <n v="22048"/>
    <n v="3.73"/>
    <n v="4"/>
  </r>
  <r>
    <x v="5"/>
    <s v="GLE EV"/>
    <x v="2"/>
    <x v="1"/>
    <n v="134953.72"/>
    <n v="64.8"/>
    <n v="248"/>
    <n v="76.7"/>
    <n v="5.51"/>
    <n v="167"/>
    <n v="801"/>
    <n v="766"/>
    <s v="RWD"/>
    <n v="7"/>
    <x v="2"/>
    <n v="61.4"/>
    <n v="1736"/>
    <x v="1"/>
    <n v="1"/>
    <x v="0"/>
    <x v="0"/>
    <n v="76804"/>
    <n v="3.93"/>
    <n v="6"/>
  </r>
  <r>
    <x v="7"/>
    <s v="Qin"/>
    <x v="0"/>
    <x v="1"/>
    <n v="33832.39"/>
    <n v="82.8"/>
    <n v="276"/>
    <n v="148.1"/>
    <n v="7.96"/>
    <n v="128"/>
    <n v="343"/>
    <n v="302"/>
    <s v="AWD"/>
    <n v="7"/>
    <x v="1"/>
    <n v="67.7"/>
    <n v="1930"/>
    <x v="0"/>
    <n v="0"/>
    <x v="4"/>
    <x v="3"/>
    <n v="177176"/>
    <n v="3.68"/>
    <n v="4"/>
  </r>
  <r>
    <x v="4"/>
    <s v="Model S"/>
    <x v="4"/>
    <x v="1"/>
    <n v="143043.07999999999"/>
    <n v="60"/>
    <n v="222"/>
    <n v="229.1"/>
    <n v="6.27"/>
    <n v="153"/>
    <n v="1000"/>
    <n v="781"/>
    <s v="FWD"/>
    <n v="5"/>
    <x v="1"/>
    <n v="41.9"/>
    <n v="2265"/>
    <x v="1"/>
    <n v="2"/>
    <x v="2"/>
    <x v="0"/>
    <n v="139115"/>
    <n v="3.55"/>
    <n v="5"/>
  </r>
  <r>
    <x v="4"/>
    <s v="Model X"/>
    <x v="4"/>
    <x v="3"/>
    <n v="66814.080000000002"/>
    <n v="57.8"/>
    <n v="194"/>
    <n v="347.5"/>
    <n v="7.17"/>
    <n v="136"/>
    <n v="493"/>
    <n v="397"/>
    <s v="AWD"/>
    <n v="7"/>
    <x v="0"/>
    <n v="79.2"/>
    <n v="2428"/>
    <x v="0"/>
    <n v="2"/>
    <x v="2"/>
    <x v="2"/>
    <n v="228985"/>
    <n v="3.76"/>
    <n v="6"/>
  </r>
  <r>
    <x v="10"/>
    <s v="iX"/>
    <x v="3"/>
    <x v="2"/>
    <n v="135695.35"/>
    <n v="105.1"/>
    <n v="363"/>
    <n v="94.7"/>
    <n v="4.24"/>
    <n v="192"/>
    <n v="1000"/>
    <n v="868"/>
    <s v="AWD"/>
    <n v="5"/>
    <x v="3"/>
    <n v="33.799999999999997"/>
    <n v="1687"/>
    <x v="0"/>
    <n v="2"/>
    <x v="0"/>
    <x v="0"/>
    <n v="36974"/>
    <n v="3.78"/>
    <n v="6"/>
  </r>
  <r>
    <x v="3"/>
    <s v="Niro EV"/>
    <x v="3"/>
    <x v="1"/>
    <n v="65977.95"/>
    <n v="56"/>
    <n v="198"/>
    <n v="88.6"/>
    <n v="7.95"/>
    <n v="130"/>
    <n v="810"/>
    <n v="733"/>
    <s v="RWD"/>
    <n v="7"/>
    <x v="4"/>
    <n v="15.8"/>
    <n v="1625"/>
    <x v="0"/>
    <n v="0"/>
    <x v="3"/>
    <x v="2"/>
    <n v="91348"/>
    <n v="3.44"/>
    <n v="5"/>
  </r>
  <r>
    <x v="3"/>
    <s v="EV6"/>
    <x v="5"/>
    <x v="1"/>
    <n v="95775.65"/>
    <n v="51.6"/>
    <n v="194"/>
    <n v="149.5"/>
    <n v="5.63"/>
    <n v="155"/>
    <n v="1000"/>
    <n v="870"/>
    <s v="RWD"/>
    <n v="7"/>
    <x v="2"/>
    <n v="77.7"/>
    <n v="1877"/>
    <x v="1"/>
    <n v="1"/>
    <x v="3"/>
    <x v="2"/>
    <n v="81075"/>
    <n v="3.4"/>
    <n v="4"/>
  </r>
  <r>
    <x v="7"/>
    <s v="Qin"/>
    <x v="5"/>
    <x v="1"/>
    <n v="79542.78"/>
    <n v="81.099999999999994"/>
    <n v="295"/>
    <n v="110.9"/>
    <n v="7.2"/>
    <n v="137"/>
    <n v="912"/>
    <n v="788"/>
    <s v="AWD"/>
    <n v="7"/>
    <x v="2"/>
    <n v="71.2"/>
    <n v="1565"/>
    <x v="1"/>
    <n v="1"/>
    <x v="4"/>
    <x v="2"/>
    <n v="153987"/>
    <n v="3.28"/>
    <n v="5"/>
  </r>
  <r>
    <x v="0"/>
    <s v="ID.3"/>
    <x v="0"/>
    <x v="1"/>
    <n v="92433.279999999999"/>
    <n v="70.099999999999994"/>
    <n v="250"/>
    <n v="74.900000000000006"/>
    <n v="5.51"/>
    <n v="162"/>
    <n v="1000"/>
    <n v="906"/>
    <s v="AWD"/>
    <n v="5"/>
    <x v="4"/>
    <n v="17.8"/>
    <n v="1765"/>
    <x v="0"/>
    <n v="2"/>
    <x v="0"/>
    <x v="2"/>
    <n v="212147"/>
    <n v="3.39"/>
    <n v="3"/>
  </r>
  <r>
    <x v="3"/>
    <s v="Niro EV"/>
    <x v="2"/>
    <x v="2"/>
    <n v="56059.51"/>
    <n v="98"/>
    <n v="327"/>
    <n v="74.8"/>
    <n v="5.86"/>
    <n v="163"/>
    <n v="599"/>
    <n v="511"/>
    <s v="RWD"/>
    <n v="5"/>
    <x v="4"/>
    <n v="20.6"/>
    <n v="1542"/>
    <x v="1"/>
    <n v="1"/>
    <x v="3"/>
    <x v="1"/>
    <n v="117679"/>
    <n v="3.63"/>
    <n v="5"/>
  </r>
  <r>
    <x v="8"/>
    <s v="Ioniq 5"/>
    <x v="2"/>
    <x v="4"/>
    <n v="60016.36"/>
    <n v="71"/>
    <n v="273"/>
    <n v="53"/>
    <n v="5.77"/>
    <n v="164"/>
    <n v="706"/>
    <n v="655"/>
    <s v="AWD"/>
    <n v="5"/>
    <x v="4"/>
    <n v="31"/>
    <n v="1925"/>
    <x v="1"/>
    <n v="0"/>
    <x v="3"/>
    <x v="1"/>
    <n v="80671"/>
    <n v="3.31"/>
    <n v="3"/>
  </r>
  <r>
    <x v="14"/>
    <s v="Macan Electric"/>
    <x v="2"/>
    <x v="1"/>
    <n v="184202.43"/>
    <n v="79.3"/>
    <n v="290"/>
    <n v="299.2"/>
    <n v="5.84"/>
    <n v="154"/>
    <n v="1000"/>
    <n v="849"/>
    <s v="AWD"/>
    <n v="7"/>
    <x v="4"/>
    <n v="20.399999999999999"/>
    <n v="1714"/>
    <x v="1"/>
    <n v="1"/>
    <x v="0"/>
    <x v="0"/>
    <n v="14726"/>
    <n v="3.66"/>
    <n v="6"/>
  </r>
  <r>
    <x v="4"/>
    <s v="Cybertruck"/>
    <x v="1"/>
    <x v="0"/>
    <n v="57537.68"/>
    <n v="103.2"/>
    <n v="386"/>
    <n v="238.5"/>
    <n v="3.15"/>
    <n v="199"/>
    <n v="393"/>
    <n v="380"/>
    <s v="FWD"/>
    <n v="5"/>
    <x v="0"/>
    <n v="55.4"/>
    <n v="2484"/>
    <x v="1"/>
    <n v="3"/>
    <x v="2"/>
    <x v="1"/>
    <n v="194936"/>
    <n v="4.0599999999999996"/>
    <n v="6"/>
  </r>
  <r>
    <x v="2"/>
    <s v="Bolt EV"/>
    <x v="4"/>
    <x v="0"/>
    <n v="47454.86"/>
    <n v="102.7"/>
    <n v="354"/>
    <n v="232.6"/>
    <n v="2.76"/>
    <n v="200"/>
    <n v="521"/>
    <n v="455"/>
    <s v="FWD"/>
    <n v="5"/>
    <x v="2"/>
    <n v="77.5"/>
    <n v="1612"/>
    <x v="0"/>
    <n v="0"/>
    <x v="2"/>
    <x v="1"/>
    <n v="7468"/>
    <n v="3.83"/>
    <n v="3"/>
  </r>
  <r>
    <x v="0"/>
    <s v="ID.5"/>
    <x v="2"/>
    <x v="2"/>
    <n v="52456.57"/>
    <n v="106.8"/>
    <n v="377"/>
    <n v="127.6"/>
    <n v="4.43"/>
    <n v="177"/>
    <n v="470"/>
    <n v="420"/>
    <s v="RWD"/>
    <n v="5"/>
    <x v="1"/>
    <n v="64.099999999999994"/>
    <n v="1885"/>
    <x v="0"/>
    <n v="0"/>
    <x v="0"/>
    <x v="1"/>
    <n v="214608"/>
    <n v="3.82"/>
    <n v="4"/>
  </r>
  <r>
    <x v="0"/>
    <s v="ID.5"/>
    <x v="1"/>
    <x v="3"/>
    <n v="27966.77"/>
    <n v="59.8"/>
    <n v="195"/>
    <n v="146.4"/>
    <n v="5.04"/>
    <n v="172"/>
    <n v="150"/>
    <n v="200"/>
    <s v="AWD"/>
    <n v="7"/>
    <x v="5"/>
    <n v="31"/>
    <n v="1750"/>
    <x v="1"/>
    <n v="1"/>
    <x v="0"/>
    <x v="3"/>
    <n v="258777"/>
    <n v="3.29"/>
    <n v="3"/>
  </r>
  <r>
    <x v="2"/>
    <s v="Equinox EV"/>
    <x v="4"/>
    <x v="2"/>
    <n v="61755.21"/>
    <n v="79.099999999999994"/>
    <n v="270"/>
    <n v="148.6"/>
    <n v="5.83"/>
    <n v="165"/>
    <n v="846"/>
    <n v="793"/>
    <s v="FWD"/>
    <n v="5"/>
    <x v="1"/>
    <n v="47.3"/>
    <n v="2033"/>
    <x v="1"/>
    <n v="1"/>
    <x v="2"/>
    <x v="1"/>
    <n v="9557"/>
    <n v="3.66"/>
    <n v="3"/>
  </r>
  <r>
    <x v="2"/>
    <s v="Bolt EUV"/>
    <x v="3"/>
    <x v="4"/>
    <n v="36433.269999999997"/>
    <n v="44.4"/>
    <n v="150"/>
    <n v="74.5"/>
    <n v="5.63"/>
    <n v="161"/>
    <n v="349"/>
    <n v="331"/>
    <s v="FWD"/>
    <n v="5"/>
    <x v="3"/>
    <n v="23.6"/>
    <n v="1500"/>
    <x v="1"/>
    <n v="0"/>
    <x v="2"/>
    <x v="1"/>
    <n v="27128"/>
    <n v="3.23"/>
    <n v="3"/>
  </r>
  <r>
    <x v="15"/>
    <s v="XC40 Recharge"/>
    <x v="5"/>
    <x v="0"/>
    <n v="111533.26"/>
    <n v="116.5"/>
    <n v="422"/>
    <n v="153.5"/>
    <n v="2.98"/>
    <n v="200"/>
    <n v="1000"/>
    <n v="882"/>
    <s v="AWD"/>
    <n v="5"/>
    <x v="1"/>
    <n v="54.6"/>
    <n v="1917"/>
    <x v="0"/>
    <n v="1"/>
    <x v="5"/>
    <x v="0"/>
    <n v="29548"/>
    <n v="3.71"/>
    <n v="5"/>
  </r>
  <r>
    <x v="4"/>
    <s v="Model S"/>
    <x v="5"/>
    <x v="4"/>
    <n v="81673.279999999999"/>
    <n v="69.3"/>
    <n v="252"/>
    <n v="299"/>
    <n v="6.12"/>
    <n v="153"/>
    <n v="595"/>
    <n v="529"/>
    <s v="AWD"/>
    <n v="5"/>
    <x v="1"/>
    <n v="69.8"/>
    <n v="2107"/>
    <x v="0"/>
    <n v="2"/>
    <x v="2"/>
    <x v="2"/>
    <n v="117880"/>
    <n v="3.75"/>
    <n v="6"/>
  </r>
  <r>
    <x v="4"/>
    <s v="Cybertruck"/>
    <x v="5"/>
    <x v="3"/>
    <n v="55329.7"/>
    <n v="56.6"/>
    <n v="217"/>
    <n v="328.7"/>
    <n v="6.63"/>
    <n v="151"/>
    <n v="378"/>
    <n v="320"/>
    <s v="RWD"/>
    <n v="7"/>
    <x v="0"/>
    <n v="69.8"/>
    <n v="2635"/>
    <x v="0"/>
    <n v="2"/>
    <x v="2"/>
    <x v="1"/>
    <n v="211999"/>
    <n v="3.34"/>
    <n v="5"/>
  </r>
  <r>
    <x v="2"/>
    <s v="Equinox EV"/>
    <x v="3"/>
    <x v="2"/>
    <n v="49790.46"/>
    <n v="91.9"/>
    <n v="322"/>
    <n v="83.7"/>
    <n v="4.58"/>
    <n v="180"/>
    <n v="538"/>
    <n v="549"/>
    <s v="RWD"/>
    <n v="5"/>
    <x v="1"/>
    <n v="67.400000000000006"/>
    <n v="2327"/>
    <x v="1"/>
    <n v="2"/>
    <x v="2"/>
    <x v="1"/>
    <n v="29595"/>
    <n v="3.76"/>
    <n v="4"/>
  </r>
  <r>
    <x v="3"/>
    <s v="Niro EV"/>
    <x v="2"/>
    <x v="2"/>
    <n v="82833.740000000005"/>
    <n v="107.6"/>
    <n v="375"/>
    <n v="81.5"/>
    <n v="4.71"/>
    <n v="173"/>
    <n v="1000"/>
    <n v="897"/>
    <s v="AWD"/>
    <n v="5"/>
    <x v="0"/>
    <n v="70"/>
    <n v="2631"/>
    <x v="0"/>
    <n v="0"/>
    <x v="3"/>
    <x v="2"/>
    <n v="98307"/>
    <n v="3.67"/>
    <n v="5"/>
  </r>
  <r>
    <x v="7"/>
    <s v="Dolphin"/>
    <x v="2"/>
    <x v="1"/>
    <n v="104505.82"/>
    <n v="41.7"/>
    <n v="159"/>
    <n v="125.5"/>
    <n v="6.37"/>
    <n v="153"/>
    <n v="1000"/>
    <n v="919"/>
    <s v="FWD"/>
    <n v="5"/>
    <x v="3"/>
    <n v="19.899999999999999"/>
    <n v="1790"/>
    <x v="1"/>
    <n v="1"/>
    <x v="4"/>
    <x v="0"/>
    <n v="111020"/>
    <n v="3.1"/>
    <n v="4"/>
  </r>
  <r>
    <x v="4"/>
    <s v="Model Y"/>
    <x v="1"/>
    <x v="2"/>
    <n v="45169.5"/>
    <n v="98.8"/>
    <n v="340"/>
    <n v="234.2"/>
    <n v="5.08"/>
    <n v="170"/>
    <n v="274"/>
    <n v="233"/>
    <s v="RWD"/>
    <n v="5"/>
    <x v="2"/>
    <n v="71.7"/>
    <n v="1563"/>
    <x v="0"/>
    <n v="2"/>
    <x v="2"/>
    <x v="1"/>
    <n v="416114"/>
    <n v="4.22"/>
    <n v="5"/>
  </r>
  <r>
    <x v="4"/>
    <s v="Model S"/>
    <x v="3"/>
    <x v="1"/>
    <n v="135056.97"/>
    <n v="63"/>
    <n v="231"/>
    <n v="263.39999999999998"/>
    <n v="7.57"/>
    <n v="135"/>
    <n v="1000"/>
    <n v="916"/>
    <s v="RWD"/>
    <n v="7"/>
    <x v="1"/>
    <n v="36.799999999999997"/>
    <n v="2017"/>
    <x v="1"/>
    <n v="3"/>
    <x v="2"/>
    <x v="0"/>
    <n v="107596"/>
    <n v="3.88"/>
    <n v="5"/>
  </r>
  <r>
    <x v="11"/>
    <s v="Q6 e-tron"/>
    <x v="5"/>
    <x v="0"/>
    <n v="79000.66"/>
    <n v="102.5"/>
    <n v="355"/>
    <n v="167.1"/>
    <n v="2.94"/>
    <n v="200"/>
    <n v="441"/>
    <n v="398"/>
    <s v="AWD"/>
    <n v="7"/>
    <x v="4"/>
    <n v="34.9"/>
    <n v="1660"/>
    <x v="1"/>
    <n v="2"/>
    <x v="0"/>
    <x v="2"/>
    <n v="72672"/>
    <n v="4.03"/>
    <n v="7"/>
  </r>
  <r>
    <x v="4"/>
    <s v="Model 3"/>
    <x v="3"/>
    <x v="3"/>
    <n v="50205.39"/>
    <n v="40.299999999999997"/>
    <n v="150"/>
    <n v="296.39999999999998"/>
    <n v="5.86"/>
    <n v="169"/>
    <n v="355"/>
    <n v="293"/>
    <s v="FWD"/>
    <n v="5"/>
    <x v="2"/>
    <n v="68.2"/>
    <n v="1641"/>
    <x v="2"/>
    <n v="3"/>
    <x v="2"/>
    <x v="1"/>
    <n v="169041"/>
    <n v="3.2"/>
    <n v="4"/>
  </r>
  <r>
    <x v="7"/>
    <s v="Max"/>
    <x v="3"/>
    <x v="3"/>
    <n v="24481.15"/>
    <n v="41.9"/>
    <n v="150"/>
    <n v="94.6"/>
    <n v="7.37"/>
    <n v="137"/>
    <n v="236"/>
    <n v="200"/>
    <s v="AWD"/>
    <n v="5"/>
    <x v="5"/>
    <n v="17.399999999999999"/>
    <n v="1500"/>
    <x v="2"/>
    <n v="1"/>
    <x v="4"/>
    <x v="3"/>
    <n v="176238"/>
    <n v="3.06"/>
    <n v="3"/>
  </r>
  <r>
    <x v="7"/>
    <s v="Dolphin"/>
    <x v="2"/>
    <x v="2"/>
    <n v="51538.03"/>
    <n v="99.3"/>
    <n v="365"/>
    <n v="74.400000000000006"/>
    <n v="4.53"/>
    <n v="175"/>
    <n v="546"/>
    <n v="469"/>
    <s v="FWD"/>
    <n v="7"/>
    <x v="1"/>
    <n v="55.2"/>
    <n v="1948"/>
    <x v="1"/>
    <n v="2"/>
    <x v="4"/>
    <x v="1"/>
    <n v="188274"/>
    <n v="3.73"/>
    <n v="4"/>
  </r>
  <r>
    <x v="7"/>
    <s v="Atto 3"/>
    <x v="2"/>
    <x v="3"/>
    <n v="19083.54"/>
    <n v="44.4"/>
    <n v="151"/>
    <n v="90.6"/>
    <n v="7.76"/>
    <n v="141"/>
    <n v="150"/>
    <n v="200"/>
    <s v="AWD"/>
    <n v="7"/>
    <x v="0"/>
    <n v="59.3"/>
    <n v="2431"/>
    <x v="0"/>
    <n v="0"/>
    <x v="4"/>
    <x v="3"/>
    <n v="216310"/>
    <n v="3.28"/>
    <n v="3"/>
  </r>
  <r>
    <x v="4"/>
    <s v="Model Y"/>
    <x v="2"/>
    <x v="0"/>
    <n v="37255.18"/>
    <n v="113.7"/>
    <n v="383"/>
    <n v="346.6"/>
    <n v="2.62"/>
    <n v="200"/>
    <n v="272"/>
    <n v="218"/>
    <s v="RWD"/>
    <n v="7"/>
    <x v="1"/>
    <n v="62.3"/>
    <n v="1904"/>
    <x v="1"/>
    <n v="2"/>
    <x v="2"/>
    <x v="1"/>
    <n v="451073"/>
    <n v="4.2300000000000004"/>
    <n v="5"/>
  </r>
  <r>
    <x v="8"/>
    <s v="Ioniq"/>
    <x v="1"/>
    <x v="3"/>
    <n v="28093.63"/>
    <n v="47.2"/>
    <n v="167"/>
    <n v="85.3"/>
    <n v="7.79"/>
    <n v="139"/>
    <n v="150"/>
    <n v="200"/>
    <s v="RWD"/>
    <n v="7"/>
    <x v="2"/>
    <n v="68.5"/>
    <n v="1572"/>
    <x v="2"/>
    <n v="0"/>
    <x v="3"/>
    <x v="3"/>
    <n v="119899"/>
    <n v="3.25"/>
    <n v="4"/>
  </r>
  <r>
    <x v="4"/>
    <s v="Cybertruck"/>
    <x v="3"/>
    <x v="3"/>
    <n v="88007.74"/>
    <n v="64.2"/>
    <n v="223"/>
    <n v="282.7"/>
    <n v="5.25"/>
    <n v="171"/>
    <n v="578"/>
    <n v="464"/>
    <s v="FWD"/>
    <n v="5"/>
    <x v="0"/>
    <n v="56.1"/>
    <n v="2585"/>
    <x v="0"/>
    <n v="2"/>
    <x v="2"/>
    <x v="2"/>
    <n v="102752"/>
    <n v="3.5"/>
    <n v="6"/>
  </r>
  <r>
    <x v="9"/>
    <s v="Explorer EV"/>
    <x v="3"/>
    <x v="0"/>
    <n v="75193.899999999994"/>
    <n v="76.099999999999994"/>
    <n v="227"/>
    <n v="192"/>
    <n v="3.26"/>
    <n v="193"/>
    <n v="849"/>
    <n v="764"/>
    <s v="AWD"/>
    <n v="5"/>
    <x v="5"/>
    <n v="38.200000000000003"/>
    <n v="1687"/>
    <x v="0"/>
    <n v="1"/>
    <x v="2"/>
    <x v="2"/>
    <n v="31804"/>
    <n v="3.45"/>
    <n v="3"/>
  </r>
  <r>
    <x v="7"/>
    <s v="Yuan Plus"/>
    <x v="5"/>
    <x v="4"/>
    <n v="90374.6"/>
    <n v="57.6"/>
    <n v="191"/>
    <n v="101.5"/>
    <n v="6.82"/>
    <n v="145"/>
    <n v="944"/>
    <n v="832"/>
    <s v="AWD"/>
    <n v="5"/>
    <x v="3"/>
    <n v="19.7"/>
    <n v="1540"/>
    <x v="1"/>
    <n v="0"/>
    <x v="4"/>
    <x v="2"/>
    <n v="232416"/>
    <n v="3.5"/>
    <n v="4"/>
  </r>
  <r>
    <x v="3"/>
    <s v="Niro EV"/>
    <x v="3"/>
    <x v="0"/>
    <n v="111745.56"/>
    <n v="82.5"/>
    <n v="289"/>
    <n v="172.9"/>
    <n v="4.0999999999999996"/>
    <n v="183"/>
    <n v="1000"/>
    <n v="855"/>
    <s v="FWD"/>
    <n v="7"/>
    <x v="0"/>
    <n v="72.099999999999994"/>
    <n v="2484"/>
    <x v="0"/>
    <n v="0"/>
    <x v="3"/>
    <x v="0"/>
    <n v="96875"/>
    <n v="3.43"/>
    <n v="3"/>
  </r>
  <r>
    <x v="11"/>
    <s v="Q4 e-tron"/>
    <x v="1"/>
    <x v="1"/>
    <n v="144615.75"/>
    <n v="49.5"/>
    <n v="161"/>
    <n v="72.5"/>
    <n v="6"/>
    <n v="152"/>
    <n v="1000"/>
    <n v="883"/>
    <s v="AWD"/>
    <n v="5"/>
    <x v="1"/>
    <n v="56.2"/>
    <n v="2232"/>
    <x v="1"/>
    <n v="2"/>
    <x v="0"/>
    <x v="0"/>
    <n v="57074"/>
    <n v="3.06"/>
    <n v="6"/>
  </r>
  <r>
    <x v="10"/>
    <s v="i5"/>
    <x v="3"/>
    <x v="4"/>
    <n v="69328.91"/>
    <n v="57.6"/>
    <n v="225"/>
    <n v="75.8"/>
    <n v="7.24"/>
    <n v="142"/>
    <n v="351"/>
    <n v="366"/>
    <s v="RWD"/>
    <n v="5"/>
    <x v="1"/>
    <n v="39"/>
    <n v="2137"/>
    <x v="1"/>
    <n v="1"/>
    <x v="0"/>
    <x v="2"/>
    <n v="73975"/>
    <n v="3.26"/>
    <n v="8"/>
  </r>
  <r>
    <x v="8"/>
    <s v="Ioniq 5"/>
    <x v="1"/>
    <x v="1"/>
    <n v="39046.61"/>
    <n v="54.4"/>
    <n v="178"/>
    <n v="104.9"/>
    <n v="6.75"/>
    <n v="148"/>
    <n v="312"/>
    <n v="289"/>
    <s v="AWD"/>
    <n v="7"/>
    <x v="4"/>
    <n v="19.3"/>
    <n v="1718"/>
    <x v="0"/>
    <n v="1"/>
    <x v="3"/>
    <x v="1"/>
    <n v="57836"/>
    <n v="3.14"/>
    <n v="3"/>
  </r>
  <r>
    <x v="7"/>
    <s v="Seagull"/>
    <x v="3"/>
    <x v="2"/>
    <n v="79832.09"/>
    <n v="92"/>
    <n v="328"/>
    <n v="103.3"/>
    <n v="5.19"/>
    <n v="171"/>
    <n v="875"/>
    <n v="790"/>
    <s v="FWD"/>
    <n v="7"/>
    <x v="1"/>
    <n v="70"/>
    <n v="2024"/>
    <x v="1"/>
    <n v="0"/>
    <x v="4"/>
    <x v="2"/>
    <n v="242291"/>
    <n v="3.55"/>
    <n v="4"/>
  </r>
  <r>
    <x v="7"/>
    <s v="Seagull"/>
    <x v="2"/>
    <x v="1"/>
    <n v="51226.67"/>
    <n v="79.599999999999994"/>
    <n v="271"/>
    <n v="64.5"/>
    <n v="5.31"/>
    <n v="167"/>
    <n v="544"/>
    <n v="486"/>
    <s v="AWD"/>
    <n v="7"/>
    <x v="5"/>
    <n v="38.700000000000003"/>
    <n v="1756"/>
    <x v="1"/>
    <n v="2"/>
    <x v="4"/>
    <x v="1"/>
    <n v="143773"/>
    <n v="3.5"/>
    <n v="4"/>
  </r>
  <r>
    <x v="10"/>
    <s v="i5"/>
    <x v="2"/>
    <x v="4"/>
    <n v="70389.460000000006"/>
    <n v="59.8"/>
    <n v="217"/>
    <n v="138.4"/>
    <n v="6.79"/>
    <n v="142"/>
    <n v="464"/>
    <n v="410"/>
    <s v="RWD"/>
    <n v="5"/>
    <x v="4"/>
    <n v="19.899999999999999"/>
    <n v="1815"/>
    <x v="1"/>
    <n v="2"/>
    <x v="0"/>
    <x v="2"/>
    <n v="76685"/>
    <n v="3.38"/>
    <n v="5"/>
  </r>
  <r>
    <x v="15"/>
    <s v="XC90 Recharge"/>
    <x v="1"/>
    <x v="0"/>
    <n v="90661.21"/>
    <n v="108.4"/>
    <n v="396"/>
    <n v="234.5"/>
    <n v="2.5299999999999998"/>
    <n v="200"/>
    <n v="807"/>
    <n v="735"/>
    <s v="AWD"/>
    <n v="5"/>
    <x v="1"/>
    <n v="56.2"/>
    <n v="2143"/>
    <x v="1"/>
    <n v="0"/>
    <x v="5"/>
    <x v="2"/>
    <n v="15699"/>
    <n v="3.68"/>
    <n v="5"/>
  </r>
  <r>
    <x v="10"/>
    <s v="i7"/>
    <x v="1"/>
    <x v="0"/>
    <n v="154009.88"/>
    <n v="79"/>
    <n v="275"/>
    <n v="162.1"/>
    <n v="4.46"/>
    <n v="180"/>
    <n v="1000"/>
    <n v="888"/>
    <s v="AWD"/>
    <n v="5"/>
    <x v="4"/>
    <n v="33"/>
    <n v="1842"/>
    <x v="0"/>
    <n v="1"/>
    <x v="0"/>
    <x v="0"/>
    <n v="26663"/>
    <n v="3.51"/>
    <n v="7"/>
  </r>
  <r>
    <x v="3"/>
    <s v="EV6"/>
    <x v="3"/>
    <x v="1"/>
    <n v="61993.33"/>
    <n v="49.9"/>
    <n v="183"/>
    <n v="110.9"/>
    <n v="5.72"/>
    <n v="168"/>
    <n v="677"/>
    <n v="582"/>
    <s v="AWD"/>
    <n v="5"/>
    <x v="5"/>
    <n v="34.6"/>
    <n v="1566"/>
    <x v="0"/>
    <n v="2"/>
    <x v="3"/>
    <x v="1"/>
    <n v="65237"/>
    <n v="3.14"/>
    <n v="4"/>
  </r>
  <r>
    <x v="2"/>
    <s v="Blazer EV"/>
    <x v="3"/>
    <x v="2"/>
    <n v="34424.61"/>
    <n v="103.6"/>
    <n v="370"/>
    <n v="71.7"/>
    <n v="5.72"/>
    <n v="163"/>
    <n v="285"/>
    <n v="250"/>
    <s v="RWD"/>
    <n v="5"/>
    <x v="5"/>
    <n v="27.9"/>
    <n v="1690"/>
    <x v="0"/>
    <n v="1"/>
    <x v="2"/>
    <x v="3"/>
    <n v="20827"/>
    <n v="3.59"/>
    <n v="4"/>
  </r>
  <r>
    <x v="8"/>
    <s v="Kona Electric"/>
    <x v="3"/>
    <x v="4"/>
    <n v="53515.28"/>
    <n v="50.9"/>
    <n v="176"/>
    <n v="58.7"/>
    <n v="6.74"/>
    <n v="147"/>
    <n v="628"/>
    <n v="566"/>
    <s v="AWD"/>
    <n v="5"/>
    <x v="3"/>
    <n v="39.799999999999997"/>
    <n v="1607"/>
    <x v="1"/>
    <n v="1"/>
    <x v="3"/>
    <x v="1"/>
    <n v="93480"/>
    <n v="3.41"/>
    <n v="4"/>
  </r>
  <r>
    <x v="4"/>
    <s v="Model S"/>
    <x v="5"/>
    <x v="2"/>
    <n v="127635.34"/>
    <n v="105.5"/>
    <n v="384"/>
    <n v="265.10000000000002"/>
    <n v="4.5999999999999996"/>
    <n v="176"/>
    <n v="950"/>
    <n v="859"/>
    <s v="FWD"/>
    <n v="7"/>
    <x v="1"/>
    <n v="63.1"/>
    <n v="2140"/>
    <x v="1"/>
    <n v="2"/>
    <x v="2"/>
    <x v="0"/>
    <n v="158325"/>
    <n v="4.24"/>
    <n v="5"/>
  </r>
  <r>
    <x v="3"/>
    <s v="EV6"/>
    <x v="2"/>
    <x v="4"/>
    <n v="31230.720000000001"/>
    <n v="71.7"/>
    <n v="250"/>
    <n v="103.9"/>
    <n v="5.73"/>
    <n v="164"/>
    <n v="204"/>
    <n v="200"/>
    <s v="RWD"/>
    <n v="5"/>
    <x v="5"/>
    <n v="25.8"/>
    <n v="1615"/>
    <x v="1"/>
    <n v="0"/>
    <x v="3"/>
    <x v="3"/>
    <n v="74025"/>
    <n v="3.37"/>
    <n v="4"/>
  </r>
  <r>
    <x v="1"/>
    <s v="bZ4X"/>
    <x v="3"/>
    <x v="4"/>
    <n v="46568.71"/>
    <n v="69.2"/>
    <n v="216"/>
    <n v="84.7"/>
    <n v="5.33"/>
    <n v="165"/>
    <n v="417"/>
    <n v="358"/>
    <s v="FWD"/>
    <n v="5"/>
    <x v="1"/>
    <n v="58.3"/>
    <n v="2099"/>
    <x v="1"/>
    <n v="0"/>
    <x v="1"/>
    <x v="1"/>
    <n v="1982"/>
    <n v="3.52"/>
    <n v="4"/>
  </r>
  <r>
    <x v="4"/>
    <s v="Model X"/>
    <x v="3"/>
    <x v="3"/>
    <n v="95625.9"/>
    <n v="64.099999999999994"/>
    <n v="229"/>
    <n v="299.10000000000002"/>
    <n v="7.66"/>
    <n v="138"/>
    <n v="681"/>
    <n v="637"/>
    <s v="RWD"/>
    <n v="5"/>
    <x v="4"/>
    <n v="21.1"/>
    <n v="1896"/>
    <x v="1"/>
    <n v="2"/>
    <x v="2"/>
    <x v="2"/>
    <n v="233990"/>
    <n v="3.63"/>
    <n v="5"/>
  </r>
  <r>
    <x v="10"/>
    <s v="i7"/>
    <x v="1"/>
    <x v="1"/>
    <n v="116700.28"/>
    <n v="62.9"/>
    <n v="213"/>
    <n v="66.7"/>
    <n v="7.34"/>
    <n v="146"/>
    <n v="1000"/>
    <n v="869"/>
    <s v="RWD"/>
    <n v="5"/>
    <x v="2"/>
    <n v="65"/>
    <n v="1527"/>
    <x v="1"/>
    <n v="2"/>
    <x v="0"/>
    <x v="0"/>
    <n v="29505"/>
    <n v="3.78"/>
    <n v="5"/>
  </r>
  <r>
    <x v="4"/>
    <s v="Cybertruck"/>
    <x v="1"/>
    <x v="2"/>
    <n v="88720.74"/>
    <n v="92.2"/>
    <n v="341"/>
    <n v="247.8"/>
    <n v="4.93"/>
    <n v="175"/>
    <n v="616"/>
    <n v="532"/>
    <s v="FWD"/>
    <n v="5"/>
    <x v="0"/>
    <n v="55.6"/>
    <n v="2380"/>
    <x v="0"/>
    <n v="3"/>
    <x v="2"/>
    <x v="2"/>
    <n v="226922"/>
    <n v="4.0199999999999996"/>
    <n v="5"/>
  </r>
  <r>
    <x v="8"/>
    <s v="Ioniq 5"/>
    <x v="5"/>
    <x v="4"/>
    <n v="59666.31"/>
    <n v="75.5"/>
    <n v="262"/>
    <n v="93.8"/>
    <n v="7.01"/>
    <n v="147"/>
    <n v="716"/>
    <n v="656"/>
    <s v="AWD"/>
    <n v="5"/>
    <x v="5"/>
    <n v="15.7"/>
    <n v="1500"/>
    <x v="0"/>
    <n v="1"/>
    <x v="3"/>
    <x v="1"/>
    <n v="130091"/>
    <n v="3.79"/>
    <n v="5"/>
  </r>
  <r>
    <x v="4"/>
    <s v="Cybertruck"/>
    <x v="2"/>
    <x v="1"/>
    <n v="148667.6"/>
    <n v="71.3"/>
    <n v="250"/>
    <n v="253.6"/>
    <n v="7.89"/>
    <n v="135"/>
    <n v="1000"/>
    <n v="901"/>
    <s v="AWD"/>
    <n v="5"/>
    <x v="0"/>
    <n v="72.099999999999994"/>
    <n v="2309"/>
    <x v="1"/>
    <n v="2"/>
    <x v="2"/>
    <x v="0"/>
    <n v="117109"/>
    <n v="3.79"/>
    <n v="4"/>
  </r>
  <r>
    <x v="0"/>
    <s v="ID. Buzz"/>
    <x v="3"/>
    <x v="4"/>
    <n v="48208.86"/>
    <n v="79"/>
    <n v="288"/>
    <n v="120.9"/>
    <n v="6.74"/>
    <n v="152"/>
    <n v="425"/>
    <n v="364"/>
    <s v="FWD"/>
    <n v="5"/>
    <x v="5"/>
    <n v="28.2"/>
    <n v="1783"/>
    <x v="1"/>
    <n v="1"/>
    <x v="0"/>
    <x v="1"/>
    <n v="272524"/>
    <n v="3.48"/>
    <n v="3"/>
  </r>
  <r>
    <x v="2"/>
    <s v="Bolt EV"/>
    <x v="4"/>
    <x v="3"/>
    <n v="57965.58"/>
    <n v="67"/>
    <n v="237"/>
    <n v="86.4"/>
    <n v="6.45"/>
    <n v="159"/>
    <n v="732"/>
    <n v="664"/>
    <s v="RWD"/>
    <n v="5"/>
    <x v="2"/>
    <n v="72.8"/>
    <n v="1500"/>
    <x v="0"/>
    <n v="1"/>
    <x v="2"/>
    <x v="1"/>
    <n v="3168"/>
    <n v="3.49"/>
    <n v="4"/>
  </r>
  <r>
    <x v="7"/>
    <s v="Yuan Plus"/>
    <x v="5"/>
    <x v="2"/>
    <n v="92189.49"/>
    <n v="91.2"/>
    <n v="317"/>
    <n v="118.6"/>
    <n v="4.09"/>
    <n v="188"/>
    <n v="1000"/>
    <n v="956"/>
    <s v="FWD"/>
    <n v="7"/>
    <x v="4"/>
    <n v="30.8"/>
    <n v="1766"/>
    <x v="0"/>
    <n v="2"/>
    <x v="4"/>
    <x v="2"/>
    <n v="158795"/>
    <n v="3.92"/>
    <n v="3"/>
  </r>
  <r>
    <x v="10"/>
    <s v="i5"/>
    <x v="6"/>
    <x v="4"/>
    <n v="94185.600000000006"/>
    <n v="41.2"/>
    <n v="150"/>
    <n v="123.8"/>
    <n v="5.94"/>
    <n v="159"/>
    <n v="691"/>
    <n v="651"/>
    <s v="AWD"/>
    <n v="7"/>
    <x v="4"/>
    <n v="38.9"/>
    <n v="1511"/>
    <x v="0"/>
    <n v="1"/>
    <x v="0"/>
    <x v="2"/>
    <n v="43577"/>
    <n v="3.37"/>
    <n v="8"/>
  </r>
  <r>
    <x v="9"/>
    <s v="Mustang Mach-E"/>
    <x v="2"/>
    <x v="3"/>
    <n v="38196.949999999997"/>
    <n v="78.2"/>
    <n v="261"/>
    <n v="60"/>
    <n v="5.44"/>
    <n v="160"/>
    <n v="270"/>
    <n v="204"/>
    <s v="FWD"/>
    <n v="5"/>
    <x v="3"/>
    <n v="15.1"/>
    <n v="1500"/>
    <x v="1"/>
    <n v="0"/>
    <x v="2"/>
    <x v="1"/>
    <n v="25281"/>
    <n v="3.55"/>
    <n v="4"/>
  </r>
  <r>
    <x v="13"/>
    <s v="R2"/>
    <x v="6"/>
    <x v="4"/>
    <n v="74902.509999999995"/>
    <n v="63.7"/>
    <n v="219"/>
    <n v="64.2"/>
    <n v="7.08"/>
    <n v="142"/>
    <n v="335"/>
    <n v="333"/>
    <s v="RWD"/>
    <n v="5"/>
    <x v="4"/>
    <n v="29.5"/>
    <n v="1679"/>
    <x v="0"/>
    <n v="1"/>
    <x v="2"/>
    <x v="2"/>
    <n v="16890"/>
    <n v="3.32"/>
    <n v="5"/>
  </r>
  <r>
    <x v="7"/>
    <s v="Leaf 50X"/>
    <x v="2"/>
    <x v="2"/>
    <n v="77872.95"/>
    <n v="95.8"/>
    <n v="343"/>
    <n v="83.8"/>
    <n v="5.67"/>
    <n v="164"/>
    <n v="907"/>
    <n v="801"/>
    <s v="RWD"/>
    <n v="5"/>
    <x v="1"/>
    <n v="46.6"/>
    <n v="2029"/>
    <x v="0"/>
    <n v="0"/>
    <x v="4"/>
    <x v="2"/>
    <n v="152424"/>
    <n v="3.65"/>
    <n v="3"/>
  </r>
  <r>
    <x v="0"/>
    <s v="ID.4"/>
    <x v="3"/>
    <x v="4"/>
    <n v="76084.88"/>
    <n v="51.2"/>
    <n v="165"/>
    <n v="65.3"/>
    <n v="6.3"/>
    <n v="149"/>
    <n v="816"/>
    <n v="711"/>
    <s v="FWD"/>
    <n v="5"/>
    <x v="3"/>
    <n v="34.200000000000003"/>
    <n v="1500"/>
    <x v="0"/>
    <n v="1"/>
    <x v="0"/>
    <x v="2"/>
    <n v="264457"/>
    <n v="3.12"/>
    <n v="3"/>
  </r>
  <r>
    <x v="4"/>
    <s v="Model X"/>
    <x v="0"/>
    <x v="3"/>
    <n v="55932.63"/>
    <n v="59.8"/>
    <n v="209"/>
    <n v="224.1"/>
    <n v="5.74"/>
    <n v="155"/>
    <n v="364"/>
    <n v="340"/>
    <s v="RWD"/>
    <n v="5"/>
    <x v="1"/>
    <n v="46.3"/>
    <n v="2166"/>
    <x v="2"/>
    <n v="3"/>
    <x v="2"/>
    <x v="1"/>
    <n v="183636"/>
    <n v="3.65"/>
    <n v="5"/>
  </r>
  <r>
    <x v="15"/>
    <s v="C40 Recharge"/>
    <x v="1"/>
    <x v="3"/>
    <n v="45992.59"/>
    <n v="83.4"/>
    <n v="291"/>
    <n v="142.4"/>
    <n v="5.51"/>
    <n v="175"/>
    <n v="167"/>
    <n v="200"/>
    <s v="RWD"/>
    <n v="7"/>
    <x v="3"/>
    <n v="17.8"/>
    <n v="1500"/>
    <x v="1"/>
    <n v="0"/>
    <x v="5"/>
    <x v="1"/>
    <n v="3048"/>
    <n v="3.39"/>
    <n v="4"/>
  </r>
  <r>
    <x v="13"/>
    <s v="R1T"/>
    <x v="6"/>
    <x v="3"/>
    <n v="64055.95"/>
    <n v="77.900000000000006"/>
    <n v="280"/>
    <n v="141.4"/>
    <n v="7.73"/>
    <n v="136"/>
    <n v="150"/>
    <n v="200"/>
    <s v="FWD"/>
    <n v="2"/>
    <x v="0"/>
    <n v="67.599999999999994"/>
    <n v="2714"/>
    <x v="1"/>
    <n v="0"/>
    <x v="2"/>
    <x v="1"/>
    <n v="12678"/>
    <n v="3.7"/>
    <n v="4"/>
  </r>
  <r>
    <x v="3"/>
    <s v="EV9"/>
    <x v="3"/>
    <x v="2"/>
    <n v="39329.81"/>
    <n v="94"/>
    <n v="300"/>
    <n v="148.69999999999999"/>
    <n v="4.1399999999999997"/>
    <n v="189"/>
    <n v="276"/>
    <n v="263"/>
    <s v="AWD"/>
    <n v="7"/>
    <x v="1"/>
    <n v="51.9"/>
    <n v="2029"/>
    <x v="1"/>
    <n v="0"/>
    <x v="3"/>
    <x v="1"/>
    <n v="139592"/>
    <n v="3.62"/>
    <n v="4"/>
  </r>
  <r>
    <x v="5"/>
    <s v="EQS"/>
    <x v="2"/>
    <x v="1"/>
    <n v="200859.77"/>
    <n v="65.8"/>
    <n v="222"/>
    <n v="145.6"/>
    <n v="5.04"/>
    <n v="178"/>
    <n v="1000"/>
    <n v="880"/>
    <s v="RWD"/>
    <n v="5"/>
    <x v="3"/>
    <n v="39.6"/>
    <n v="1543"/>
    <x v="1"/>
    <n v="1"/>
    <x v="0"/>
    <x v="0"/>
    <n v="50870"/>
    <n v="3.8"/>
    <n v="7"/>
  </r>
  <r>
    <x v="8"/>
    <s v="Kona Electric"/>
    <x v="3"/>
    <x v="0"/>
    <n v="83020.490000000005"/>
    <n v="119.5"/>
    <n v="412"/>
    <n v="183.5"/>
    <n v="4.2699999999999996"/>
    <n v="188"/>
    <n v="1000"/>
    <n v="914"/>
    <s v="RWD"/>
    <n v="5"/>
    <x v="5"/>
    <n v="39.700000000000003"/>
    <n v="1500"/>
    <x v="0"/>
    <n v="0"/>
    <x v="3"/>
    <x v="2"/>
    <n v="65013"/>
    <n v="3.72"/>
    <n v="4"/>
  </r>
  <r>
    <x v="10"/>
    <s v="i7"/>
    <x v="0"/>
    <x v="2"/>
    <n v="131127.44"/>
    <n v="88.4"/>
    <n v="275"/>
    <n v="70.5"/>
    <n v="4.88"/>
    <n v="175"/>
    <n v="1000"/>
    <n v="893"/>
    <s v="RWD"/>
    <n v="7"/>
    <x v="2"/>
    <n v="68.7"/>
    <n v="1543"/>
    <x v="0"/>
    <n v="2"/>
    <x v="0"/>
    <x v="0"/>
    <n v="49932"/>
    <n v="3.32"/>
    <n v="7"/>
  </r>
  <r>
    <x v="4"/>
    <s v="Model Y"/>
    <x v="0"/>
    <x v="2"/>
    <n v="63692.69"/>
    <n v="107.7"/>
    <n v="357"/>
    <n v="240.9"/>
    <n v="4.17"/>
    <n v="188"/>
    <n v="446"/>
    <n v="387"/>
    <s v="FWD"/>
    <n v="7"/>
    <x v="2"/>
    <n v="75.099999999999994"/>
    <n v="1500"/>
    <x v="2"/>
    <n v="3"/>
    <x v="2"/>
    <x v="1"/>
    <n v="462962"/>
    <n v="4.05"/>
    <n v="4"/>
  </r>
  <r>
    <x v="2"/>
    <s v="Bolt EV"/>
    <x v="3"/>
    <x v="2"/>
    <n v="37683.39"/>
    <n v="98.3"/>
    <n v="363"/>
    <n v="60.9"/>
    <n v="5.89"/>
    <n v="166"/>
    <n v="410"/>
    <n v="390"/>
    <s v="AWD"/>
    <n v="7"/>
    <x v="0"/>
    <n v="71.900000000000006"/>
    <n v="2310"/>
    <x v="0"/>
    <n v="2"/>
    <x v="2"/>
    <x v="1"/>
    <n v="20559"/>
    <n v="3.37"/>
    <n v="4"/>
  </r>
  <r>
    <x v="4"/>
    <s v="Model Y"/>
    <x v="3"/>
    <x v="1"/>
    <n v="40474.28"/>
    <n v="53.8"/>
    <n v="163"/>
    <n v="301.5"/>
    <n v="6.49"/>
    <n v="148"/>
    <n v="226"/>
    <n v="200"/>
    <s v="RWD"/>
    <n v="5"/>
    <x v="1"/>
    <n v="53.5"/>
    <n v="2239"/>
    <x v="0"/>
    <n v="2"/>
    <x v="2"/>
    <x v="1"/>
    <n v="484636"/>
    <n v="3.69"/>
    <n v="5"/>
  </r>
  <r>
    <x v="5"/>
    <s v="EQS"/>
    <x v="2"/>
    <x v="3"/>
    <n v="111876"/>
    <n v="48.8"/>
    <n v="150"/>
    <n v="52.4"/>
    <n v="6.45"/>
    <n v="153"/>
    <n v="558"/>
    <n v="450"/>
    <s v="AWD"/>
    <n v="7"/>
    <x v="5"/>
    <n v="38.700000000000003"/>
    <n v="1698"/>
    <x v="0"/>
    <n v="1"/>
    <x v="0"/>
    <x v="0"/>
    <n v="36359"/>
    <n v="3.55"/>
    <n v="8"/>
  </r>
  <r>
    <x v="9"/>
    <s v="F-150 Lightning"/>
    <x v="2"/>
    <x v="0"/>
    <n v="106766.97"/>
    <n v="109.9"/>
    <n v="376"/>
    <n v="166.2"/>
    <n v="3.18"/>
    <n v="200"/>
    <n v="1000"/>
    <n v="895"/>
    <s v="AWD"/>
    <n v="2"/>
    <x v="0"/>
    <n v="77.400000000000006"/>
    <n v="2776"/>
    <x v="0"/>
    <n v="1"/>
    <x v="2"/>
    <x v="0"/>
    <n v="44309"/>
    <n v="3.77"/>
    <n v="3"/>
  </r>
  <r>
    <x v="2"/>
    <s v="Bolt EUV"/>
    <x v="3"/>
    <x v="1"/>
    <n v="47998.86"/>
    <n v="60.9"/>
    <n v="202"/>
    <n v="96.1"/>
    <n v="5.42"/>
    <n v="159"/>
    <n v="551"/>
    <n v="486"/>
    <s v="AWD"/>
    <n v="7"/>
    <x v="2"/>
    <n v="70.8"/>
    <n v="1527"/>
    <x v="1"/>
    <n v="0"/>
    <x v="2"/>
    <x v="1"/>
    <n v="2175"/>
    <n v="3.23"/>
    <n v="4"/>
  </r>
  <r>
    <x v="4"/>
    <s v="Model X"/>
    <x v="2"/>
    <x v="3"/>
    <n v="78351.88"/>
    <n v="83.5"/>
    <n v="303"/>
    <n v="324.60000000000002"/>
    <n v="6.81"/>
    <n v="152"/>
    <n v="546"/>
    <n v="448"/>
    <s v="FWD"/>
    <n v="5"/>
    <x v="0"/>
    <n v="54.1"/>
    <n v="2584"/>
    <x v="1"/>
    <n v="2"/>
    <x v="2"/>
    <x v="2"/>
    <n v="135414"/>
    <n v="3.99"/>
    <n v="4"/>
  </r>
  <r>
    <x v="7"/>
    <s v="Qin"/>
    <x v="3"/>
    <x v="1"/>
    <n v="101756.01"/>
    <n v="70.7"/>
    <n v="259"/>
    <n v="71.7"/>
    <n v="7.72"/>
    <n v="139"/>
    <n v="1000"/>
    <n v="893"/>
    <s v="RWD"/>
    <n v="5"/>
    <x v="4"/>
    <n v="39.200000000000003"/>
    <n v="1710"/>
    <x v="1"/>
    <n v="0"/>
    <x v="4"/>
    <x v="0"/>
    <n v="207780"/>
    <n v="3.62"/>
    <n v="3"/>
  </r>
  <r>
    <x v="7"/>
    <s v="Yuan Plus"/>
    <x v="4"/>
    <x v="0"/>
    <n v="36438.81"/>
    <n v="91.3"/>
    <n v="319"/>
    <n v="202.3"/>
    <n v="3.74"/>
    <n v="192"/>
    <n v="418"/>
    <n v="410"/>
    <s v="AWD"/>
    <n v="5"/>
    <x v="4"/>
    <n v="29.8"/>
    <n v="1516"/>
    <x v="0"/>
    <n v="0"/>
    <x v="4"/>
    <x v="1"/>
    <n v="110969"/>
    <n v="3.76"/>
    <n v="4"/>
  </r>
  <r>
    <x v="0"/>
    <s v="ID.4"/>
    <x v="2"/>
    <x v="4"/>
    <n v="45113.98"/>
    <n v="80.8"/>
    <n v="294"/>
    <n v="94.5"/>
    <n v="7.15"/>
    <n v="140"/>
    <n v="373"/>
    <n v="306"/>
    <s v="RWD"/>
    <n v="7"/>
    <x v="5"/>
    <n v="21.5"/>
    <n v="1516"/>
    <x v="0"/>
    <n v="0"/>
    <x v="0"/>
    <x v="1"/>
    <n v="248569"/>
    <n v="3.75"/>
    <n v="4"/>
  </r>
  <r>
    <x v="4"/>
    <s v="Model Y"/>
    <x v="2"/>
    <x v="3"/>
    <n v="117810.94"/>
    <n v="78.099999999999994"/>
    <n v="253"/>
    <n v="210.7"/>
    <n v="5.7"/>
    <n v="162"/>
    <n v="847"/>
    <n v="781"/>
    <s v="AWD"/>
    <n v="5"/>
    <x v="4"/>
    <n v="25"/>
    <n v="1774"/>
    <x v="0"/>
    <n v="2"/>
    <x v="2"/>
    <x v="0"/>
    <n v="402141"/>
    <n v="4.01"/>
    <n v="5"/>
  </r>
  <r>
    <x v="12"/>
    <s v="EC6"/>
    <x v="1"/>
    <x v="4"/>
    <n v="64086.32"/>
    <n v="52.7"/>
    <n v="161"/>
    <n v="59.1"/>
    <n v="5.34"/>
    <n v="169"/>
    <n v="491"/>
    <n v="423"/>
    <s v="AWD"/>
    <n v="5"/>
    <x v="1"/>
    <n v="50.8"/>
    <n v="2057"/>
    <x v="1"/>
    <n v="2"/>
    <x v="4"/>
    <x v="1"/>
    <n v="19395"/>
    <n v="3.46"/>
    <n v="4"/>
  </r>
  <r>
    <x v="3"/>
    <s v="Niro EV"/>
    <x v="5"/>
    <x v="0"/>
    <n v="71757.16"/>
    <n v="96"/>
    <n v="336"/>
    <n v="236.2"/>
    <n v="4.45"/>
    <n v="181"/>
    <n v="816"/>
    <n v="742"/>
    <s v="AWD"/>
    <n v="5"/>
    <x v="0"/>
    <n v="67.5"/>
    <n v="2916"/>
    <x v="1"/>
    <n v="0"/>
    <x v="3"/>
    <x v="2"/>
    <n v="123775"/>
    <n v="3.66"/>
    <n v="3"/>
  </r>
  <r>
    <x v="7"/>
    <s v="Max"/>
    <x v="5"/>
    <x v="0"/>
    <n v="71385.39"/>
    <n v="109.6"/>
    <n v="380"/>
    <n v="150.6"/>
    <n v="4.08"/>
    <n v="193"/>
    <n v="830"/>
    <n v="743"/>
    <s v="AWD"/>
    <n v="5"/>
    <x v="4"/>
    <n v="20.6"/>
    <n v="1527"/>
    <x v="0"/>
    <n v="0"/>
    <x v="4"/>
    <x v="2"/>
    <n v="234079"/>
    <n v="3.75"/>
    <n v="4"/>
  </r>
  <r>
    <x v="0"/>
    <s v="ID. Aero"/>
    <x v="0"/>
    <x v="0"/>
    <n v="82345.289999999994"/>
    <n v="78.400000000000006"/>
    <n v="276"/>
    <n v="162.1"/>
    <n v="2.61"/>
    <n v="200"/>
    <n v="961"/>
    <n v="853"/>
    <s v="RWD"/>
    <n v="7"/>
    <x v="3"/>
    <n v="27.1"/>
    <n v="1677"/>
    <x v="0"/>
    <n v="2"/>
    <x v="0"/>
    <x v="2"/>
    <n v="291745"/>
    <n v="3.72"/>
    <n v="4"/>
  </r>
  <r>
    <x v="0"/>
    <s v="ID.4"/>
    <x v="2"/>
    <x v="2"/>
    <n v="69646.080000000002"/>
    <n v="82.9"/>
    <n v="303"/>
    <n v="106.8"/>
    <n v="5.0199999999999996"/>
    <n v="175"/>
    <n v="708"/>
    <n v="650"/>
    <s v="RWD"/>
    <n v="5"/>
    <x v="4"/>
    <n v="25.2"/>
    <n v="1500"/>
    <x v="0"/>
    <n v="0"/>
    <x v="0"/>
    <x v="2"/>
    <n v="292447"/>
    <n v="3.87"/>
    <n v="3"/>
  </r>
  <r>
    <x v="3"/>
    <s v="Niro EV"/>
    <x v="0"/>
    <x v="0"/>
    <n v="59632.87"/>
    <n v="90.3"/>
    <n v="325"/>
    <n v="160.4"/>
    <n v="3.84"/>
    <n v="196"/>
    <n v="682"/>
    <n v="638"/>
    <s v="AWD"/>
    <n v="5"/>
    <x v="4"/>
    <n v="20.8"/>
    <n v="1529"/>
    <x v="1"/>
    <n v="0"/>
    <x v="3"/>
    <x v="1"/>
    <n v="97616"/>
    <n v="3.74"/>
    <n v="4"/>
  </r>
  <r>
    <x v="8"/>
    <s v="Ioniq"/>
    <x v="2"/>
    <x v="0"/>
    <n v="44796.76"/>
    <n v="104.6"/>
    <n v="359"/>
    <n v="167.5"/>
    <n v="2.56"/>
    <n v="200"/>
    <n v="395"/>
    <n v="380"/>
    <s v="AWD"/>
    <n v="5"/>
    <x v="5"/>
    <n v="39.299999999999997"/>
    <n v="1500"/>
    <x v="1"/>
    <n v="1"/>
    <x v="3"/>
    <x v="1"/>
    <n v="113793"/>
    <n v="4.03"/>
    <n v="4"/>
  </r>
  <r>
    <x v="13"/>
    <s v="R3"/>
    <x v="3"/>
    <x v="4"/>
    <n v="79722.649999999994"/>
    <n v="80.900000000000006"/>
    <n v="261"/>
    <n v="102.2"/>
    <n v="5.0999999999999996"/>
    <n v="173"/>
    <n v="649"/>
    <n v="596"/>
    <s v="AWD"/>
    <n v="7"/>
    <x v="1"/>
    <n v="53.8"/>
    <n v="2018"/>
    <x v="1"/>
    <n v="2"/>
    <x v="2"/>
    <x v="2"/>
    <n v="28225"/>
    <n v="3.26"/>
    <n v="5"/>
  </r>
  <r>
    <x v="8"/>
    <s v="Ioniq 5"/>
    <x v="3"/>
    <x v="1"/>
    <n v="65433.15"/>
    <n v="41.9"/>
    <n v="150"/>
    <n v="54.9"/>
    <n v="5.0599999999999996"/>
    <n v="179"/>
    <n v="785"/>
    <n v="710"/>
    <s v="AWD"/>
    <n v="7"/>
    <x v="5"/>
    <n v="32.299999999999997"/>
    <n v="1506"/>
    <x v="1"/>
    <n v="2"/>
    <x v="3"/>
    <x v="2"/>
    <n v="78985"/>
    <n v="3.32"/>
    <n v="5"/>
  </r>
  <r>
    <x v="15"/>
    <s v="XC90 Recharge"/>
    <x v="2"/>
    <x v="4"/>
    <n v="75390.600000000006"/>
    <n v="43.1"/>
    <n v="156"/>
    <n v="72.8"/>
    <n v="6.98"/>
    <n v="135"/>
    <n v="591"/>
    <n v="512"/>
    <s v="RWD"/>
    <n v="5"/>
    <x v="2"/>
    <n v="72.599999999999994"/>
    <n v="1623"/>
    <x v="1"/>
    <n v="2"/>
    <x v="5"/>
    <x v="2"/>
    <n v="16760"/>
    <n v="3.31"/>
    <n v="5"/>
  </r>
  <r>
    <x v="5"/>
    <s v="EQG"/>
    <x v="2"/>
    <x v="2"/>
    <n v="95795.03"/>
    <n v="93.8"/>
    <n v="354"/>
    <n v="136.1"/>
    <n v="4.6100000000000003"/>
    <n v="177"/>
    <n v="477"/>
    <n v="445"/>
    <s v="AWD"/>
    <n v="7"/>
    <x v="0"/>
    <n v="70.2"/>
    <n v="2380"/>
    <x v="2"/>
    <n v="1"/>
    <x v="0"/>
    <x v="2"/>
    <n v="37523"/>
    <n v="4.16"/>
    <n v="6"/>
  </r>
  <r>
    <x v="7"/>
    <s v="Yuan Plus"/>
    <x v="2"/>
    <x v="2"/>
    <n v="65610.36"/>
    <n v="86.2"/>
    <n v="270"/>
    <n v="67.599999999999994"/>
    <n v="5.1100000000000003"/>
    <n v="176"/>
    <n v="724"/>
    <n v="637"/>
    <s v="FWD"/>
    <n v="5"/>
    <x v="3"/>
    <n v="18.899999999999999"/>
    <n v="1677"/>
    <x v="1"/>
    <n v="0"/>
    <x v="4"/>
    <x v="2"/>
    <n v="239905"/>
    <n v="3.59"/>
    <n v="4"/>
  </r>
  <r>
    <x v="13"/>
    <s v="R1S"/>
    <x v="2"/>
    <x v="4"/>
    <n v="85223.91"/>
    <n v="55.2"/>
    <n v="206"/>
    <n v="65.2"/>
    <n v="7.32"/>
    <n v="146"/>
    <n v="972"/>
    <n v="858"/>
    <s v="RWD"/>
    <n v="7"/>
    <x v="4"/>
    <n v="30.1"/>
    <n v="1500"/>
    <x v="1"/>
    <n v="1"/>
    <x v="2"/>
    <x v="2"/>
    <n v="18207"/>
    <n v="3.15"/>
    <n v="4"/>
  </r>
  <r>
    <x v="4"/>
    <s v="Model S"/>
    <x v="5"/>
    <x v="0"/>
    <n v="173601"/>
    <n v="82"/>
    <n v="301"/>
    <n v="340.2"/>
    <n v="4.49"/>
    <n v="184"/>
    <n v="1000"/>
    <n v="901"/>
    <s v="RWD"/>
    <n v="7"/>
    <x v="0"/>
    <n v="65.900000000000006"/>
    <n v="2374"/>
    <x v="0"/>
    <n v="2"/>
    <x v="2"/>
    <x v="0"/>
    <n v="192234"/>
    <n v="3.86"/>
    <n v="4"/>
  </r>
  <r>
    <x v="9"/>
    <s v="Explorer EV"/>
    <x v="2"/>
    <x v="2"/>
    <n v="93391.97"/>
    <n v="96.9"/>
    <n v="328"/>
    <n v="111.1"/>
    <n v="4.62"/>
    <n v="188"/>
    <n v="1000"/>
    <n v="877"/>
    <s v="RWD"/>
    <n v="5"/>
    <x v="2"/>
    <n v="79.7"/>
    <n v="1566"/>
    <x v="0"/>
    <n v="2"/>
    <x v="2"/>
    <x v="2"/>
    <n v="53055"/>
    <n v="3.46"/>
    <n v="4"/>
  </r>
  <r>
    <x v="0"/>
    <s v="ID.5"/>
    <x v="3"/>
    <x v="4"/>
    <n v="60858.6"/>
    <n v="63.9"/>
    <n v="242"/>
    <n v="79.900000000000006"/>
    <n v="5.77"/>
    <n v="165"/>
    <n v="619"/>
    <n v="583"/>
    <s v="AWD"/>
    <n v="5"/>
    <x v="5"/>
    <n v="29"/>
    <n v="1783"/>
    <x v="0"/>
    <n v="0"/>
    <x v="0"/>
    <x v="1"/>
    <n v="280770"/>
    <n v="3.65"/>
    <n v="3"/>
  </r>
  <r>
    <x v="11"/>
    <s v="Q6 e-tron"/>
    <x v="2"/>
    <x v="3"/>
    <n v="68629.02"/>
    <n v="66.7"/>
    <n v="254"/>
    <n v="132.19999999999999"/>
    <n v="5.48"/>
    <n v="173"/>
    <n v="359"/>
    <n v="342"/>
    <s v="RWD"/>
    <n v="5"/>
    <x v="5"/>
    <n v="32.4"/>
    <n v="1555"/>
    <x v="1"/>
    <n v="1"/>
    <x v="0"/>
    <x v="2"/>
    <n v="32172"/>
    <n v="3.58"/>
    <n v="6"/>
  </r>
  <r>
    <x v="5"/>
    <s v="EQG"/>
    <x v="3"/>
    <x v="1"/>
    <n v="128362.44"/>
    <n v="46.9"/>
    <n v="168"/>
    <n v="115.3"/>
    <n v="7.18"/>
    <n v="141"/>
    <n v="668"/>
    <n v="576"/>
    <s v="AWD"/>
    <n v="5"/>
    <x v="4"/>
    <n v="25.4"/>
    <n v="1630"/>
    <x v="0"/>
    <n v="1"/>
    <x v="0"/>
    <x v="0"/>
    <n v="79528"/>
    <n v="3.66"/>
    <n v="8"/>
  </r>
  <r>
    <x v="9"/>
    <s v="E-Transit"/>
    <x v="2"/>
    <x v="0"/>
    <n v="115288.59"/>
    <n v="81.599999999999994"/>
    <n v="287"/>
    <n v="180.5"/>
    <n v="3.85"/>
    <n v="191"/>
    <n v="1000"/>
    <n v="926"/>
    <s v="AWD"/>
    <n v="7"/>
    <x v="3"/>
    <n v="16.7"/>
    <n v="1500"/>
    <x v="1"/>
    <n v="0"/>
    <x v="2"/>
    <x v="0"/>
    <n v="28651"/>
    <n v="3.57"/>
    <n v="3"/>
  </r>
  <r>
    <x v="9"/>
    <s v="Explorer EV"/>
    <x v="4"/>
    <x v="1"/>
    <n v="97933.8"/>
    <n v="43.7"/>
    <n v="150"/>
    <n v="66.599999999999994"/>
    <n v="7.65"/>
    <n v="142"/>
    <n v="1000"/>
    <n v="911"/>
    <s v="RWD"/>
    <n v="5"/>
    <x v="1"/>
    <n v="54.5"/>
    <n v="1826"/>
    <x v="0"/>
    <n v="0"/>
    <x v="2"/>
    <x v="2"/>
    <n v="45842"/>
    <n v="3.05"/>
    <n v="4"/>
  </r>
  <r>
    <x v="7"/>
    <s v="Yuan Plus"/>
    <x v="2"/>
    <x v="4"/>
    <n v="42922.38"/>
    <n v="65.7"/>
    <n v="235"/>
    <n v="137.19999999999999"/>
    <n v="6.4"/>
    <n v="155"/>
    <n v="444"/>
    <n v="426"/>
    <s v="RWD"/>
    <n v="7"/>
    <x v="2"/>
    <n v="64.8"/>
    <n v="1633"/>
    <x v="1"/>
    <n v="0"/>
    <x v="4"/>
    <x v="1"/>
    <n v="109861"/>
    <n v="3.54"/>
    <n v="5"/>
  </r>
  <r>
    <x v="4"/>
    <s v="Model 3"/>
    <x v="3"/>
    <x v="4"/>
    <n v="103423.57"/>
    <n v="67.2"/>
    <n v="226"/>
    <n v="261.89999999999998"/>
    <n v="6.82"/>
    <n v="149"/>
    <n v="760"/>
    <n v="704"/>
    <s v="AWD"/>
    <n v="7"/>
    <x v="3"/>
    <n v="21"/>
    <n v="1500"/>
    <x v="1"/>
    <n v="2"/>
    <x v="2"/>
    <x v="0"/>
    <n v="136780"/>
    <n v="3.7"/>
    <n v="4"/>
  </r>
  <r>
    <x v="0"/>
    <s v="ID.3"/>
    <x v="3"/>
    <x v="2"/>
    <n v="46681.91"/>
    <n v="83.1"/>
    <n v="285"/>
    <n v="117.4"/>
    <n v="5"/>
    <n v="181"/>
    <n v="391"/>
    <n v="288"/>
    <s v="RWD"/>
    <n v="5"/>
    <x v="4"/>
    <n v="16.8"/>
    <n v="1552"/>
    <x v="1"/>
    <n v="0"/>
    <x v="0"/>
    <x v="1"/>
    <n v="243592"/>
    <n v="3.37"/>
    <n v="5"/>
  </r>
  <r>
    <x v="4"/>
    <s v="Model Y"/>
    <x v="3"/>
    <x v="3"/>
    <n v="38868.67"/>
    <n v="48"/>
    <n v="150"/>
    <n v="335.5"/>
    <n v="5.15"/>
    <n v="171"/>
    <n v="305"/>
    <n v="320"/>
    <s v="AWD"/>
    <n v="7"/>
    <x v="4"/>
    <n v="33.1"/>
    <n v="1522"/>
    <x v="0"/>
    <n v="2"/>
    <x v="2"/>
    <x v="1"/>
    <n v="420151"/>
    <n v="3.64"/>
    <n v="4"/>
  </r>
  <r>
    <x v="2"/>
    <s v="Bolt EV"/>
    <x v="0"/>
    <x v="0"/>
    <n v="39441.22"/>
    <n v="70.400000000000006"/>
    <n v="238"/>
    <n v="153.9"/>
    <n v="3.84"/>
    <n v="192"/>
    <n v="376"/>
    <n v="363"/>
    <s v="RWD"/>
    <n v="5"/>
    <x v="4"/>
    <n v="25"/>
    <n v="1534"/>
    <x v="2"/>
    <n v="0"/>
    <x v="2"/>
    <x v="1"/>
    <n v="9783"/>
    <n v="3.17"/>
    <n v="5"/>
  </r>
  <r>
    <x v="7"/>
    <s v="Seagull"/>
    <x v="3"/>
    <x v="4"/>
    <n v="53845.68"/>
    <n v="43.7"/>
    <n v="161"/>
    <n v="140"/>
    <n v="7.79"/>
    <n v="125"/>
    <n v="606"/>
    <n v="573"/>
    <s v="AWD"/>
    <n v="7"/>
    <x v="3"/>
    <n v="18.100000000000001"/>
    <n v="1522"/>
    <x v="0"/>
    <n v="1"/>
    <x v="4"/>
    <x v="1"/>
    <n v="196975"/>
    <n v="3.39"/>
    <n v="4"/>
  </r>
  <r>
    <x v="16"/>
    <s v="Air"/>
    <x v="2"/>
    <x v="0"/>
    <n v="156097.01999999999"/>
    <n v="97.8"/>
    <n v="351"/>
    <n v="293.5"/>
    <n v="3.51"/>
    <n v="196"/>
    <n v="687"/>
    <n v="578"/>
    <s v="RWD"/>
    <n v="5"/>
    <x v="1"/>
    <n v="54.5"/>
    <n v="2233"/>
    <x v="0"/>
    <n v="1"/>
    <x v="2"/>
    <x v="0"/>
    <n v="13230"/>
    <n v="3.53"/>
    <n v="5"/>
  </r>
  <r>
    <x v="10"/>
    <s v="i3"/>
    <x v="2"/>
    <x v="0"/>
    <n v="130176.15"/>
    <n v="89.9"/>
    <n v="326"/>
    <n v="244.3"/>
    <n v="2.77"/>
    <n v="200"/>
    <n v="1000"/>
    <n v="942"/>
    <s v="FWD"/>
    <n v="7"/>
    <x v="2"/>
    <n v="75.599999999999994"/>
    <n v="1584"/>
    <x v="0"/>
    <n v="1"/>
    <x v="0"/>
    <x v="0"/>
    <n v="59392"/>
    <n v="3.8"/>
    <n v="5"/>
  </r>
  <r>
    <x v="5"/>
    <s v="EQG"/>
    <x v="3"/>
    <x v="1"/>
    <n v="153235.91"/>
    <n v="48.7"/>
    <n v="182"/>
    <n v="123"/>
    <n v="7.52"/>
    <n v="133"/>
    <n v="973"/>
    <n v="889"/>
    <s v="RWD"/>
    <n v="7"/>
    <x v="5"/>
    <n v="21"/>
    <n v="1585"/>
    <x v="1"/>
    <n v="2"/>
    <x v="0"/>
    <x v="0"/>
    <n v="44720"/>
    <n v="3.56"/>
    <n v="7"/>
  </r>
  <r>
    <x v="4"/>
    <s v="Model X"/>
    <x v="3"/>
    <x v="1"/>
    <n v="60275.05"/>
    <n v="61.4"/>
    <n v="220"/>
    <n v="267.60000000000002"/>
    <n v="7.92"/>
    <n v="143"/>
    <n v="423"/>
    <n v="399"/>
    <s v="AWD"/>
    <n v="7"/>
    <x v="1"/>
    <n v="69.8"/>
    <n v="1918"/>
    <x v="0"/>
    <n v="3"/>
    <x v="2"/>
    <x v="1"/>
    <n v="226355"/>
    <n v="3.72"/>
    <n v="6"/>
  </r>
  <r>
    <x v="5"/>
    <s v="EQC"/>
    <x v="3"/>
    <x v="1"/>
    <n v="202973.51"/>
    <n v="74.099999999999994"/>
    <n v="259"/>
    <n v="51.6"/>
    <n v="6.56"/>
    <n v="152"/>
    <n v="1000"/>
    <n v="877"/>
    <s v="AWD"/>
    <n v="7"/>
    <x v="5"/>
    <n v="16.899999999999999"/>
    <n v="1500"/>
    <x v="1"/>
    <n v="1"/>
    <x v="0"/>
    <x v="0"/>
    <n v="22987"/>
    <n v="3.81"/>
    <n v="8"/>
  </r>
  <r>
    <x v="13"/>
    <s v="R2"/>
    <x v="4"/>
    <x v="0"/>
    <n v="113614.29"/>
    <n v="108.1"/>
    <n v="387"/>
    <n v="198.9"/>
    <n v="2.76"/>
    <n v="200"/>
    <n v="1000"/>
    <n v="887"/>
    <s v="AWD"/>
    <n v="5"/>
    <x v="3"/>
    <n v="17.5"/>
    <n v="1500"/>
    <x v="1"/>
    <n v="2"/>
    <x v="2"/>
    <x v="0"/>
    <n v="4505"/>
    <n v="3.89"/>
    <n v="5"/>
  </r>
  <r>
    <x v="8"/>
    <s v="Ioniq 6"/>
    <x v="2"/>
    <x v="0"/>
    <n v="77513.919999999998"/>
    <n v="107.4"/>
    <n v="368"/>
    <n v="161.1"/>
    <n v="4.37"/>
    <n v="187"/>
    <n v="989"/>
    <n v="891"/>
    <s v="AWD"/>
    <n v="5"/>
    <x v="3"/>
    <n v="28"/>
    <n v="1500"/>
    <x v="0"/>
    <n v="1"/>
    <x v="3"/>
    <x v="2"/>
    <n v="71992"/>
    <n v="4.07"/>
    <n v="4"/>
  </r>
  <r>
    <x v="3"/>
    <s v="Sportage EV"/>
    <x v="0"/>
    <x v="3"/>
    <n v="47384.85"/>
    <n v="55.2"/>
    <n v="193"/>
    <n v="52.3"/>
    <n v="5.67"/>
    <n v="168"/>
    <n v="503"/>
    <n v="431"/>
    <s v="FWD"/>
    <n v="7"/>
    <x v="1"/>
    <n v="64"/>
    <n v="2270"/>
    <x v="0"/>
    <n v="2"/>
    <x v="3"/>
    <x v="1"/>
    <n v="57685"/>
    <n v="3.6"/>
    <n v="4"/>
  </r>
  <r>
    <x v="9"/>
    <s v="Explorer EV"/>
    <x v="3"/>
    <x v="2"/>
    <n v="69671.759999999995"/>
    <n v="106.4"/>
    <n v="373"/>
    <n v="81.599999999999994"/>
    <n v="5.59"/>
    <n v="161"/>
    <n v="749"/>
    <n v="594"/>
    <s v="AWD"/>
    <n v="5"/>
    <x v="4"/>
    <n v="16.5"/>
    <n v="1592"/>
    <x v="1"/>
    <n v="0"/>
    <x v="2"/>
    <x v="2"/>
    <n v="49288"/>
    <n v="3.95"/>
    <n v="4"/>
  </r>
  <r>
    <x v="4"/>
    <s v="Cybertruck"/>
    <x v="2"/>
    <x v="1"/>
    <n v="110128.5"/>
    <n v="50.3"/>
    <n v="163"/>
    <n v="313.5"/>
    <n v="6.16"/>
    <n v="163"/>
    <n v="829"/>
    <n v="855"/>
    <s v="RWD"/>
    <n v="5"/>
    <x v="0"/>
    <n v="78.2"/>
    <n v="2528"/>
    <x v="1"/>
    <n v="2"/>
    <x v="2"/>
    <x v="0"/>
    <n v="212436"/>
    <n v="3.54"/>
    <n v="6"/>
  </r>
  <r>
    <x v="8"/>
    <s v="Ioniq 5"/>
    <x v="3"/>
    <x v="4"/>
    <n v="63434.69"/>
    <n v="78"/>
    <n v="279"/>
    <n v="86"/>
    <n v="7.89"/>
    <n v="124"/>
    <n v="770"/>
    <n v="690"/>
    <s v="RWD"/>
    <n v="7"/>
    <x v="0"/>
    <n v="67.400000000000006"/>
    <n v="2434"/>
    <x v="1"/>
    <n v="0"/>
    <x v="3"/>
    <x v="1"/>
    <n v="133046"/>
    <n v="3.73"/>
    <n v="4"/>
  </r>
  <r>
    <x v="0"/>
    <s v="ID. Aero"/>
    <x v="1"/>
    <x v="2"/>
    <n v="60508.93"/>
    <n v="105.5"/>
    <n v="362"/>
    <n v="110.2"/>
    <n v="5.38"/>
    <n v="171"/>
    <n v="611"/>
    <n v="632"/>
    <s v="AWD"/>
    <n v="5"/>
    <x v="4"/>
    <n v="26.4"/>
    <n v="1710"/>
    <x v="1"/>
    <n v="0"/>
    <x v="0"/>
    <x v="1"/>
    <n v="222081"/>
    <n v="3.78"/>
    <n v="5"/>
  </r>
  <r>
    <x v="4"/>
    <s v="Model X"/>
    <x v="0"/>
    <x v="0"/>
    <n v="111766.84"/>
    <n v="104.9"/>
    <n v="361"/>
    <n v="297.89999999999998"/>
    <n v="3.31"/>
    <n v="200"/>
    <n v="782"/>
    <n v="741"/>
    <s v="AWD"/>
    <n v="7"/>
    <x v="3"/>
    <n v="24.6"/>
    <n v="1774"/>
    <x v="0"/>
    <n v="2"/>
    <x v="2"/>
    <x v="0"/>
    <n v="176852"/>
    <n v="4.05"/>
    <n v="5"/>
  </r>
  <r>
    <x v="0"/>
    <s v="ID.5"/>
    <x v="3"/>
    <x v="2"/>
    <n v="101757.37"/>
    <n v="83.1"/>
    <n v="278"/>
    <n v="142.80000000000001"/>
    <n v="4.8"/>
    <n v="176"/>
    <n v="1000"/>
    <n v="893"/>
    <s v="FWD"/>
    <n v="5"/>
    <x v="5"/>
    <n v="39.700000000000003"/>
    <n v="1868"/>
    <x v="0"/>
    <n v="0"/>
    <x v="0"/>
    <x v="0"/>
    <n v="269645"/>
    <n v="3.59"/>
    <n v="5"/>
  </r>
  <r>
    <x v="4"/>
    <s v="Model X"/>
    <x v="4"/>
    <x v="1"/>
    <n v="118010.78"/>
    <n v="64.7"/>
    <n v="229"/>
    <n v="346.2"/>
    <n v="6.89"/>
    <n v="141"/>
    <n v="897"/>
    <n v="801"/>
    <s v="AWD"/>
    <n v="5"/>
    <x v="3"/>
    <n v="23.8"/>
    <n v="1554"/>
    <x v="0"/>
    <n v="3"/>
    <x v="2"/>
    <x v="0"/>
    <n v="177339"/>
    <n v="3.7"/>
    <n v="5"/>
  </r>
  <r>
    <x v="4"/>
    <s v="Model X"/>
    <x v="2"/>
    <x v="1"/>
    <n v="80831.47"/>
    <n v="71.2"/>
    <n v="278"/>
    <n v="254"/>
    <n v="5.58"/>
    <n v="169"/>
    <n v="563"/>
    <n v="540"/>
    <s v="RWD"/>
    <n v="5"/>
    <x v="3"/>
    <n v="33.4"/>
    <n v="1546"/>
    <x v="0"/>
    <n v="3"/>
    <x v="2"/>
    <x v="2"/>
    <n v="202000"/>
    <n v="3.76"/>
    <n v="5"/>
  </r>
  <r>
    <x v="4"/>
    <s v="Model X"/>
    <x v="4"/>
    <x v="2"/>
    <n v="118192.05"/>
    <n v="92.9"/>
    <n v="329"/>
    <n v="280.7"/>
    <n v="5.55"/>
    <n v="162"/>
    <n v="844"/>
    <n v="742"/>
    <s v="AWD"/>
    <n v="5"/>
    <x v="4"/>
    <n v="18.7"/>
    <n v="1733"/>
    <x v="1"/>
    <n v="2"/>
    <x v="2"/>
    <x v="0"/>
    <n v="123098"/>
    <n v="3.96"/>
    <n v="5"/>
  </r>
  <r>
    <x v="1"/>
    <s v="bZ4X"/>
    <x v="3"/>
    <x v="4"/>
    <n v="48846.720000000001"/>
    <n v="75.400000000000006"/>
    <n v="274"/>
    <n v="136.80000000000001"/>
    <n v="6.03"/>
    <n v="159"/>
    <n v="399"/>
    <n v="387"/>
    <s v="AWD"/>
    <n v="7"/>
    <x v="4"/>
    <n v="20.100000000000001"/>
    <n v="1542"/>
    <x v="1"/>
    <n v="0"/>
    <x v="1"/>
    <x v="1"/>
    <n v="21759"/>
    <n v="3.51"/>
    <n v="5"/>
  </r>
  <r>
    <x v="3"/>
    <s v="EV6"/>
    <x v="0"/>
    <x v="1"/>
    <n v="82403.5"/>
    <n v="78.599999999999994"/>
    <n v="288"/>
    <n v="121.4"/>
    <n v="6.15"/>
    <n v="151"/>
    <n v="1000"/>
    <n v="942"/>
    <s v="FWD"/>
    <n v="7"/>
    <x v="2"/>
    <n v="76.2"/>
    <n v="1788"/>
    <x v="0"/>
    <n v="0"/>
    <x v="3"/>
    <x v="2"/>
    <n v="95064"/>
    <n v="3.74"/>
    <n v="4"/>
  </r>
  <r>
    <x v="6"/>
    <s v="Ronin"/>
    <x v="2"/>
    <x v="3"/>
    <n v="85586.47"/>
    <n v="57.3"/>
    <n v="200"/>
    <n v="132.1"/>
    <n v="6.4"/>
    <n v="160"/>
    <n v="703"/>
    <n v="630"/>
    <s v="FWD"/>
    <n v="7"/>
    <x v="1"/>
    <n v="55.4"/>
    <n v="1923"/>
    <x v="0"/>
    <n v="1"/>
    <x v="2"/>
    <x v="2"/>
    <n v="25585"/>
    <n v="3.16"/>
    <n v="4"/>
  </r>
  <r>
    <x v="0"/>
    <s v="ID.3"/>
    <x v="2"/>
    <x v="0"/>
    <n v="53590.91"/>
    <n v="74.7"/>
    <n v="258"/>
    <n v="203.2"/>
    <n v="2.73"/>
    <n v="200"/>
    <n v="504"/>
    <n v="466"/>
    <s v="RWD"/>
    <n v="5"/>
    <x v="4"/>
    <n v="39.9"/>
    <n v="1653"/>
    <x v="2"/>
    <n v="1"/>
    <x v="0"/>
    <x v="1"/>
    <n v="209815"/>
    <n v="3.08"/>
    <n v="5"/>
  </r>
  <r>
    <x v="7"/>
    <s v="Qin"/>
    <x v="1"/>
    <x v="4"/>
    <n v="70030.570000000007"/>
    <n v="41.8"/>
    <n v="150"/>
    <n v="149.69999999999999"/>
    <n v="7.64"/>
    <n v="133"/>
    <n v="743"/>
    <n v="623"/>
    <s v="FWD"/>
    <n v="7"/>
    <x v="3"/>
    <n v="18.7"/>
    <n v="1558"/>
    <x v="2"/>
    <n v="1"/>
    <x v="4"/>
    <x v="2"/>
    <n v="187796"/>
    <n v="3.45"/>
    <n v="4"/>
  </r>
  <r>
    <x v="8"/>
    <s v="i30"/>
    <x v="2"/>
    <x v="4"/>
    <n v="31256.77"/>
    <n v="68.099999999999994"/>
    <n v="218"/>
    <n v="145.69999999999999"/>
    <n v="7.74"/>
    <n v="136"/>
    <n v="233"/>
    <n v="200"/>
    <s v="RWD"/>
    <n v="5"/>
    <x v="0"/>
    <n v="72.8"/>
    <n v="2029"/>
    <x v="0"/>
    <n v="0"/>
    <x v="3"/>
    <x v="3"/>
    <n v="83425"/>
    <n v="3.35"/>
    <n v="4"/>
  </r>
  <r>
    <x v="0"/>
    <s v="ID. Aero"/>
    <x v="1"/>
    <x v="0"/>
    <n v="77144.75"/>
    <n v="109.8"/>
    <n v="367"/>
    <n v="177.7"/>
    <n v="2.66"/>
    <n v="200"/>
    <n v="840"/>
    <n v="732"/>
    <s v="RWD"/>
    <n v="7"/>
    <x v="4"/>
    <n v="21.9"/>
    <n v="1500"/>
    <x v="1"/>
    <n v="1"/>
    <x v="0"/>
    <x v="2"/>
    <n v="280321"/>
    <n v="3.69"/>
    <n v="5"/>
  </r>
  <r>
    <x v="4"/>
    <s v="Model 3"/>
    <x v="3"/>
    <x v="0"/>
    <n v="133323.67000000001"/>
    <n v="89.5"/>
    <n v="316"/>
    <n v="268.10000000000002"/>
    <n v="2.52"/>
    <n v="200"/>
    <n v="963"/>
    <n v="873"/>
    <s v="AWD"/>
    <n v="7"/>
    <x v="3"/>
    <n v="22.8"/>
    <n v="1570"/>
    <x v="0"/>
    <n v="2"/>
    <x v="2"/>
    <x v="0"/>
    <n v="119703"/>
    <n v="4.0199999999999996"/>
    <n v="6"/>
  </r>
  <r>
    <x v="10"/>
    <s v="i3"/>
    <x v="3"/>
    <x v="4"/>
    <n v="61490.61"/>
    <n v="40.299999999999997"/>
    <n v="150"/>
    <n v="81.5"/>
    <n v="7.4"/>
    <n v="144"/>
    <n v="292"/>
    <n v="228"/>
    <s v="RWD"/>
    <n v="7"/>
    <x v="4"/>
    <n v="34.1"/>
    <n v="1500"/>
    <x v="0"/>
    <n v="1"/>
    <x v="0"/>
    <x v="1"/>
    <n v="75130"/>
    <n v="3.39"/>
    <n v="5"/>
  </r>
  <r>
    <x v="7"/>
    <s v="Leaf 50X"/>
    <x v="2"/>
    <x v="0"/>
    <n v="56202.17"/>
    <n v="81.3"/>
    <n v="298"/>
    <n v="197.2"/>
    <n v="4.3899999999999997"/>
    <n v="188"/>
    <n v="586"/>
    <n v="567"/>
    <s v="RWD"/>
    <n v="5"/>
    <x v="4"/>
    <n v="31.1"/>
    <n v="1500"/>
    <x v="1"/>
    <n v="1"/>
    <x v="4"/>
    <x v="1"/>
    <n v="225829"/>
    <n v="3.87"/>
    <n v="4"/>
  </r>
  <r>
    <x v="10"/>
    <s v="i3"/>
    <x v="3"/>
    <x v="1"/>
    <n v="113220.74"/>
    <n v="50.2"/>
    <n v="167"/>
    <n v="94.6"/>
    <n v="6.84"/>
    <n v="146"/>
    <n v="997"/>
    <n v="904"/>
    <s v="RWD"/>
    <n v="5"/>
    <x v="0"/>
    <n v="55.7"/>
    <n v="2431"/>
    <x v="2"/>
    <n v="1"/>
    <x v="0"/>
    <x v="0"/>
    <n v="36980"/>
    <n v="3.17"/>
    <n v="6"/>
  </r>
  <r>
    <x v="10"/>
    <s v="i5"/>
    <x v="0"/>
    <x v="1"/>
    <n v="104739.58"/>
    <n v="54.5"/>
    <n v="189"/>
    <n v="91"/>
    <n v="6.88"/>
    <n v="151"/>
    <n v="884"/>
    <n v="789"/>
    <s v="RWD"/>
    <n v="5"/>
    <x v="4"/>
    <n v="22.4"/>
    <n v="1510"/>
    <x v="1"/>
    <n v="1"/>
    <x v="0"/>
    <x v="0"/>
    <n v="58894"/>
    <n v="3.16"/>
    <n v="8"/>
  </r>
  <r>
    <x v="4"/>
    <s v="Model S"/>
    <x v="5"/>
    <x v="0"/>
    <n v="120237.63"/>
    <n v="106.4"/>
    <n v="374"/>
    <n v="218.4"/>
    <n v="3.84"/>
    <n v="197"/>
    <n v="876"/>
    <n v="755"/>
    <s v="AWD"/>
    <n v="5"/>
    <x v="2"/>
    <n v="63.3"/>
    <n v="1725"/>
    <x v="2"/>
    <n v="2"/>
    <x v="2"/>
    <x v="0"/>
    <n v="139118"/>
    <n v="4.3600000000000003"/>
    <n v="5"/>
  </r>
  <r>
    <x v="4"/>
    <s v="Model X"/>
    <x v="3"/>
    <x v="4"/>
    <n v="86049.94"/>
    <n v="67.900000000000006"/>
    <n v="210"/>
    <n v="237.4"/>
    <n v="6.77"/>
    <n v="146"/>
    <n v="542"/>
    <n v="467"/>
    <s v="FWD"/>
    <n v="5"/>
    <x v="3"/>
    <n v="36"/>
    <n v="1653"/>
    <x v="1"/>
    <n v="2"/>
    <x v="2"/>
    <x v="2"/>
    <n v="244820"/>
    <n v="3.64"/>
    <n v="6"/>
  </r>
  <r>
    <x v="9"/>
    <s v="F-150 Lightning"/>
    <x v="2"/>
    <x v="0"/>
    <n v="113010.15"/>
    <n v="74.7"/>
    <n v="251"/>
    <n v="188"/>
    <n v="4.25"/>
    <n v="189"/>
    <n v="1000"/>
    <n v="902"/>
    <s v="FWD"/>
    <n v="2"/>
    <x v="0"/>
    <n v="79.2"/>
    <n v="2490"/>
    <x v="1"/>
    <n v="0"/>
    <x v="2"/>
    <x v="0"/>
    <n v="26657"/>
    <n v="3.63"/>
    <n v="4"/>
  </r>
  <r>
    <x v="8"/>
    <s v="Ioniq 5"/>
    <x v="1"/>
    <x v="0"/>
    <n v="87757.22"/>
    <n v="77.5"/>
    <n v="262"/>
    <n v="248.7"/>
    <n v="4.12"/>
    <n v="194"/>
    <n v="1000"/>
    <n v="920"/>
    <s v="RWD"/>
    <n v="5"/>
    <x v="0"/>
    <n v="50.7"/>
    <n v="2567"/>
    <x v="1"/>
    <n v="1"/>
    <x v="3"/>
    <x v="2"/>
    <n v="73010"/>
    <n v="3.41"/>
    <n v="5"/>
  </r>
  <r>
    <x v="4"/>
    <s v="Model X"/>
    <x v="1"/>
    <x v="0"/>
    <n v="77379.740000000005"/>
    <n v="110"/>
    <n v="373"/>
    <n v="304.7"/>
    <n v="3.07"/>
    <n v="200"/>
    <n v="581"/>
    <n v="500"/>
    <s v="AWD"/>
    <n v="5"/>
    <x v="5"/>
    <n v="20.8"/>
    <n v="1602"/>
    <x v="2"/>
    <n v="2"/>
    <x v="2"/>
    <x v="2"/>
    <n v="238571"/>
    <n v="4.04"/>
    <n v="4"/>
  </r>
  <r>
    <x v="15"/>
    <s v="C40 Recharge"/>
    <x v="3"/>
    <x v="3"/>
    <n v="87551.42"/>
    <n v="42.1"/>
    <n v="150"/>
    <n v="86.1"/>
    <n v="5.87"/>
    <n v="156"/>
    <n v="745"/>
    <n v="643"/>
    <s v="AWD"/>
    <n v="5"/>
    <x v="0"/>
    <n v="58.8"/>
    <n v="2197"/>
    <x v="0"/>
    <n v="1"/>
    <x v="5"/>
    <x v="2"/>
    <n v="28712"/>
    <n v="3"/>
    <n v="3"/>
  </r>
  <r>
    <x v="4"/>
    <s v="Cybertruck"/>
    <x v="0"/>
    <x v="2"/>
    <n v="40789.910000000003"/>
    <n v="106.8"/>
    <n v="379"/>
    <n v="243.7"/>
    <n v="4.6500000000000004"/>
    <n v="177"/>
    <n v="282"/>
    <n v="226"/>
    <s v="RWD"/>
    <n v="7"/>
    <x v="0"/>
    <n v="59.9"/>
    <n v="2247"/>
    <x v="1"/>
    <n v="2"/>
    <x v="2"/>
    <x v="1"/>
    <n v="187262"/>
    <n v="4.38"/>
    <n v="6"/>
  </r>
  <r>
    <x v="2"/>
    <s v="Equinox EV"/>
    <x v="1"/>
    <x v="3"/>
    <n v="32829.19"/>
    <n v="77.7"/>
    <n v="295"/>
    <n v="108.1"/>
    <n v="7.17"/>
    <n v="139"/>
    <n v="247"/>
    <n v="200"/>
    <s v="AWD"/>
    <n v="7"/>
    <x v="1"/>
    <n v="67.400000000000006"/>
    <n v="1866"/>
    <x v="1"/>
    <n v="0"/>
    <x v="2"/>
    <x v="3"/>
    <n v="26546"/>
    <n v="3.6"/>
    <n v="4"/>
  </r>
  <r>
    <x v="19"/>
    <n v="4"/>
    <x v="0"/>
    <x v="0"/>
    <n v="90903.84"/>
    <n v="95"/>
    <n v="337"/>
    <n v="194.7"/>
    <n v="3.86"/>
    <n v="185"/>
    <n v="621"/>
    <n v="569"/>
    <s v="AWD"/>
    <n v="7"/>
    <x v="4"/>
    <n v="28.5"/>
    <n v="1500"/>
    <x v="1"/>
    <n v="2"/>
    <x v="5"/>
    <x v="2"/>
    <n v="18672"/>
    <n v="3.64"/>
    <n v="3"/>
  </r>
  <r>
    <x v="7"/>
    <s v="Max"/>
    <x v="0"/>
    <x v="2"/>
    <n v="98961.38"/>
    <n v="90.2"/>
    <n v="294"/>
    <n v="97.5"/>
    <n v="5.51"/>
    <n v="171"/>
    <n v="1000"/>
    <n v="899"/>
    <s v="RWD"/>
    <n v="5"/>
    <x v="2"/>
    <n v="64.7"/>
    <n v="1594"/>
    <x v="0"/>
    <n v="2"/>
    <x v="4"/>
    <x v="2"/>
    <n v="230275"/>
    <n v="3.52"/>
    <n v="5"/>
  </r>
  <r>
    <x v="4"/>
    <s v="Model X"/>
    <x v="3"/>
    <x v="4"/>
    <n v="108924.8"/>
    <n v="75"/>
    <n v="251"/>
    <n v="317.10000000000002"/>
    <n v="5.27"/>
    <n v="171"/>
    <n v="776"/>
    <n v="726"/>
    <s v="FWD"/>
    <n v="7"/>
    <x v="3"/>
    <n v="33.5"/>
    <n v="1665"/>
    <x v="1"/>
    <n v="2"/>
    <x v="2"/>
    <x v="0"/>
    <n v="104109"/>
    <n v="3.74"/>
    <n v="6"/>
  </r>
  <r>
    <x v="4"/>
    <s v="Model S"/>
    <x v="4"/>
    <x v="0"/>
    <n v="76847.7"/>
    <n v="116.8"/>
    <n v="418"/>
    <n v="242.7"/>
    <n v="3.9"/>
    <n v="197"/>
    <n v="454"/>
    <n v="476"/>
    <s v="RWD"/>
    <n v="7"/>
    <x v="4"/>
    <n v="20"/>
    <n v="1660"/>
    <x v="1"/>
    <n v="3"/>
    <x v="2"/>
    <x v="2"/>
    <n v="229674"/>
    <n v="4"/>
    <n v="5"/>
  </r>
  <r>
    <x v="7"/>
    <s v="Qin"/>
    <x v="0"/>
    <x v="2"/>
    <n v="52355.75"/>
    <n v="87.1"/>
    <n v="286"/>
    <n v="147.80000000000001"/>
    <n v="4.29"/>
    <n v="184"/>
    <n v="510"/>
    <n v="435"/>
    <s v="FWD"/>
    <n v="5"/>
    <x v="5"/>
    <n v="31.3"/>
    <n v="1582"/>
    <x v="1"/>
    <n v="1"/>
    <x v="4"/>
    <x v="1"/>
    <n v="146928"/>
    <n v="3.27"/>
    <n v="4"/>
  </r>
  <r>
    <x v="4"/>
    <s v="Model 3"/>
    <x v="3"/>
    <x v="3"/>
    <n v="91015.05"/>
    <n v="61.8"/>
    <n v="227"/>
    <n v="258.39999999999998"/>
    <n v="7.27"/>
    <n v="141"/>
    <n v="616"/>
    <n v="518"/>
    <s v="RWD"/>
    <n v="7"/>
    <x v="1"/>
    <n v="63.7"/>
    <n v="1936"/>
    <x v="1"/>
    <n v="3"/>
    <x v="2"/>
    <x v="2"/>
    <n v="229357"/>
    <n v="3.56"/>
    <n v="5"/>
  </r>
  <r>
    <x v="2"/>
    <s v="Bolt EUV"/>
    <x v="3"/>
    <x v="0"/>
    <n v="44784.34"/>
    <n v="93.2"/>
    <n v="321"/>
    <n v="217"/>
    <n v="4.45"/>
    <n v="182"/>
    <n v="436"/>
    <n v="366"/>
    <s v="AWD"/>
    <n v="5"/>
    <x v="3"/>
    <n v="37.799999999999997"/>
    <n v="1677"/>
    <x v="1"/>
    <n v="2"/>
    <x v="2"/>
    <x v="1"/>
    <n v="7434"/>
    <n v="3.72"/>
    <n v="4"/>
  </r>
  <r>
    <x v="4"/>
    <s v="Model 3"/>
    <x v="3"/>
    <x v="2"/>
    <n v="84994.49"/>
    <n v="96.6"/>
    <n v="315"/>
    <n v="253"/>
    <n v="5.61"/>
    <n v="161"/>
    <n v="617"/>
    <n v="558"/>
    <s v="RWD"/>
    <n v="5"/>
    <x v="5"/>
    <n v="15.4"/>
    <n v="1655"/>
    <x v="0"/>
    <n v="2"/>
    <x v="2"/>
    <x v="2"/>
    <n v="246722"/>
    <n v="3.99"/>
    <n v="5"/>
  </r>
  <r>
    <x v="8"/>
    <s v="i30"/>
    <x v="5"/>
    <x v="1"/>
    <n v="95007.35"/>
    <n v="71.5"/>
    <n v="249"/>
    <n v="140.80000000000001"/>
    <n v="6.71"/>
    <n v="152"/>
    <n v="1000"/>
    <n v="893"/>
    <s v="FWD"/>
    <n v="5"/>
    <x v="3"/>
    <n v="18.3"/>
    <n v="1791"/>
    <x v="2"/>
    <n v="2"/>
    <x v="3"/>
    <x v="2"/>
    <n v="111030"/>
    <n v="3.22"/>
    <n v="3"/>
  </r>
  <r>
    <x v="18"/>
    <s v="SU7"/>
    <x v="2"/>
    <x v="1"/>
    <n v="89310.64"/>
    <n v="64.2"/>
    <n v="208"/>
    <n v="70.5"/>
    <n v="5.61"/>
    <n v="173"/>
    <n v="1000"/>
    <n v="910"/>
    <s v="AWD"/>
    <n v="5"/>
    <x v="1"/>
    <n v="56.5"/>
    <n v="1829"/>
    <x v="0"/>
    <n v="0"/>
    <x v="4"/>
    <x v="2"/>
    <n v="29176"/>
    <n v="3.31"/>
    <n v="3"/>
  </r>
  <r>
    <x v="9"/>
    <s v="Mustang Mach-E"/>
    <x v="2"/>
    <x v="4"/>
    <n v="67107.539999999994"/>
    <n v="81.2"/>
    <n v="286"/>
    <n v="99.5"/>
    <n v="7.48"/>
    <n v="137"/>
    <n v="774"/>
    <n v="714"/>
    <s v="RWD"/>
    <n v="5"/>
    <x v="3"/>
    <n v="28.6"/>
    <n v="1516"/>
    <x v="1"/>
    <n v="1"/>
    <x v="2"/>
    <x v="2"/>
    <n v="58727"/>
    <n v="3.6"/>
    <n v="3"/>
  </r>
  <r>
    <x v="3"/>
    <s v="Niro EV"/>
    <x v="2"/>
    <x v="3"/>
    <n v="56356.86"/>
    <n v="45"/>
    <n v="154"/>
    <n v="123.3"/>
    <n v="5.88"/>
    <n v="163"/>
    <n v="609"/>
    <n v="531"/>
    <s v="FWD"/>
    <n v="5"/>
    <x v="3"/>
    <n v="15.3"/>
    <n v="1503"/>
    <x v="1"/>
    <n v="0"/>
    <x v="3"/>
    <x v="1"/>
    <n v="107160"/>
    <n v="3.3"/>
    <n v="3"/>
  </r>
  <r>
    <x v="7"/>
    <s v="Leaf 50X"/>
    <x v="2"/>
    <x v="4"/>
    <n v="21286.38"/>
    <n v="69.599999999999994"/>
    <n v="233"/>
    <n v="54.5"/>
    <n v="5.47"/>
    <n v="168"/>
    <n v="187"/>
    <n v="200"/>
    <s v="RWD"/>
    <n v="7"/>
    <x v="5"/>
    <n v="17.7"/>
    <n v="1613"/>
    <x v="1"/>
    <n v="1"/>
    <x v="4"/>
    <x v="3"/>
    <n v="116507"/>
    <n v="3.18"/>
    <n v="4"/>
  </r>
  <r>
    <x v="10"/>
    <s v="i4"/>
    <x v="3"/>
    <x v="2"/>
    <n v="88308.2"/>
    <n v="95.5"/>
    <n v="308"/>
    <n v="89.7"/>
    <n v="5.09"/>
    <n v="174"/>
    <n v="690"/>
    <n v="695"/>
    <s v="RWD"/>
    <n v="5"/>
    <x v="3"/>
    <n v="15.7"/>
    <n v="1664"/>
    <x v="0"/>
    <n v="2"/>
    <x v="0"/>
    <x v="2"/>
    <n v="31503"/>
    <n v="3.49"/>
    <n v="6"/>
  </r>
  <r>
    <x v="8"/>
    <s v="Ioniq"/>
    <x v="2"/>
    <x v="0"/>
    <n v="103986.41"/>
    <n v="110.9"/>
    <n v="397"/>
    <n v="221.4"/>
    <n v="4.41"/>
    <n v="185"/>
    <n v="1000"/>
    <n v="904"/>
    <s v="AWD"/>
    <n v="7"/>
    <x v="5"/>
    <n v="34.5"/>
    <n v="1595"/>
    <x v="1"/>
    <n v="1"/>
    <x v="3"/>
    <x v="0"/>
    <n v="106892"/>
    <n v="4.01"/>
    <n v="5"/>
  </r>
  <r>
    <x v="0"/>
    <s v="ID.4"/>
    <x v="6"/>
    <x v="3"/>
    <n v="27139.23"/>
    <n v="78.900000000000006"/>
    <n v="261"/>
    <n v="95"/>
    <n v="7.55"/>
    <n v="130"/>
    <n v="150"/>
    <n v="200"/>
    <s v="FWD"/>
    <n v="5"/>
    <x v="3"/>
    <n v="39.4"/>
    <n v="1500"/>
    <x v="0"/>
    <n v="2"/>
    <x v="0"/>
    <x v="3"/>
    <n v="271891"/>
    <n v="3.57"/>
    <n v="4"/>
  </r>
  <r>
    <x v="4"/>
    <s v="Model Y"/>
    <x v="5"/>
    <x v="4"/>
    <n v="53435.31"/>
    <n v="80.3"/>
    <n v="259"/>
    <n v="339.8"/>
    <n v="5.59"/>
    <n v="162"/>
    <n v="390"/>
    <n v="389"/>
    <s v="RWD"/>
    <n v="7"/>
    <x v="3"/>
    <n v="33"/>
    <n v="1818"/>
    <x v="0"/>
    <n v="2"/>
    <x v="2"/>
    <x v="1"/>
    <n v="467122"/>
    <n v="3.87"/>
    <n v="4"/>
  </r>
  <r>
    <x v="11"/>
    <s v="e-tron GT"/>
    <x v="0"/>
    <x v="1"/>
    <n v="88280.78"/>
    <n v="42.7"/>
    <n v="156"/>
    <n v="52.7"/>
    <n v="5.05"/>
    <n v="173"/>
    <n v="560"/>
    <n v="546"/>
    <s v="AWD"/>
    <n v="5"/>
    <x v="4"/>
    <n v="32.1"/>
    <n v="1737"/>
    <x v="0"/>
    <n v="1"/>
    <x v="0"/>
    <x v="2"/>
    <n v="66857"/>
    <n v="3.24"/>
    <n v="5"/>
  </r>
  <r>
    <x v="0"/>
    <s v="ID.5"/>
    <x v="3"/>
    <x v="3"/>
    <n v="76426.720000000001"/>
    <n v="83.1"/>
    <n v="339"/>
    <n v="122.5"/>
    <n v="6.37"/>
    <n v="155"/>
    <n v="843"/>
    <n v="736"/>
    <s v="RWD"/>
    <n v="5"/>
    <x v="2"/>
    <n v="78"/>
    <n v="1585"/>
    <x v="0"/>
    <n v="2"/>
    <x v="0"/>
    <x v="2"/>
    <n v="248734"/>
    <n v="3.73"/>
    <n v="4"/>
  </r>
  <r>
    <x v="4"/>
    <s v="Model S"/>
    <x v="0"/>
    <x v="3"/>
    <n v="45116.56"/>
    <n v="45.3"/>
    <n v="169"/>
    <n v="236.3"/>
    <n v="6.1"/>
    <n v="158"/>
    <n v="276"/>
    <n v="281"/>
    <s v="FWD"/>
    <n v="5"/>
    <x v="5"/>
    <n v="20.6"/>
    <n v="1619"/>
    <x v="2"/>
    <n v="3"/>
    <x v="2"/>
    <x v="1"/>
    <n v="116884"/>
    <n v="3.58"/>
    <n v="5"/>
  </r>
  <r>
    <x v="0"/>
    <s v="ID.5"/>
    <x v="2"/>
    <x v="0"/>
    <n v="68348.69"/>
    <n v="94"/>
    <n v="323"/>
    <n v="233.3"/>
    <n v="2.58"/>
    <n v="200"/>
    <n v="734"/>
    <n v="637"/>
    <s v="RWD"/>
    <n v="7"/>
    <x v="3"/>
    <n v="19.899999999999999"/>
    <n v="1694"/>
    <x v="0"/>
    <n v="2"/>
    <x v="0"/>
    <x v="2"/>
    <n v="238867"/>
    <n v="3.7"/>
    <n v="5"/>
  </r>
  <r>
    <x v="0"/>
    <s v="ID.4"/>
    <x v="0"/>
    <x v="2"/>
    <n v="49537.91"/>
    <n v="82.9"/>
    <n v="278"/>
    <n v="129.1"/>
    <n v="4.66"/>
    <n v="191"/>
    <n v="439"/>
    <n v="385"/>
    <s v="RWD"/>
    <n v="7"/>
    <x v="4"/>
    <n v="31.7"/>
    <n v="1650"/>
    <x v="1"/>
    <n v="1"/>
    <x v="0"/>
    <x v="1"/>
    <n v="250021"/>
    <n v="3.64"/>
    <n v="3"/>
  </r>
  <r>
    <x v="5"/>
    <s v="EQG"/>
    <x v="3"/>
    <x v="2"/>
    <n v="111628.51"/>
    <n v="84.7"/>
    <n v="274"/>
    <n v="137.80000000000001"/>
    <n v="5.58"/>
    <n v="166"/>
    <n v="601"/>
    <n v="537"/>
    <s v="AWD"/>
    <n v="5"/>
    <x v="1"/>
    <n v="47.3"/>
    <n v="1944"/>
    <x v="0"/>
    <n v="1"/>
    <x v="0"/>
    <x v="0"/>
    <n v="76984"/>
    <n v="3.74"/>
    <n v="6"/>
  </r>
  <r>
    <x v="2"/>
    <s v="Bolt EUV"/>
    <x v="5"/>
    <x v="2"/>
    <n v="54836.04"/>
    <n v="109.7"/>
    <n v="385"/>
    <n v="129.69999999999999"/>
    <n v="4"/>
    <n v="183"/>
    <n v="636"/>
    <n v="600"/>
    <s v="AWD"/>
    <n v="5"/>
    <x v="3"/>
    <n v="16.7"/>
    <n v="1600"/>
    <x v="1"/>
    <n v="0"/>
    <x v="2"/>
    <x v="1"/>
    <n v="17331"/>
    <n v="3.77"/>
    <n v="5"/>
  </r>
  <r>
    <x v="9"/>
    <s v="F-150 Lightning"/>
    <x v="3"/>
    <x v="3"/>
    <n v="34802.06"/>
    <n v="47.6"/>
    <n v="150"/>
    <n v="102.2"/>
    <n v="6.52"/>
    <n v="146"/>
    <n v="265"/>
    <n v="208"/>
    <s v="AWD"/>
    <n v="4"/>
    <x v="0"/>
    <n v="73.900000000000006"/>
    <n v="2056"/>
    <x v="0"/>
    <n v="1"/>
    <x v="2"/>
    <x v="3"/>
    <n v="51835"/>
    <n v="3.13"/>
    <n v="4"/>
  </r>
  <r>
    <x v="4"/>
    <s v="Model Y"/>
    <x v="1"/>
    <x v="4"/>
    <n v="93506.44"/>
    <n v="60.2"/>
    <n v="206"/>
    <n v="272.3"/>
    <n v="7.47"/>
    <n v="137"/>
    <n v="695"/>
    <n v="611"/>
    <s v="RWD"/>
    <n v="5"/>
    <x v="2"/>
    <n v="72"/>
    <n v="1646"/>
    <x v="1"/>
    <n v="3"/>
    <x v="2"/>
    <x v="2"/>
    <n v="464918"/>
    <n v="3.52"/>
    <n v="6"/>
  </r>
  <r>
    <x v="0"/>
    <s v="ID.4"/>
    <x v="2"/>
    <x v="4"/>
    <n v="79224.44"/>
    <n v="48.4"/>
    <n v="164"/>
    <n v="79.599999999999994"/>
    <n v="6.88"/>
    <n v="136"/>
    <n v="891"/>
    <n v="780"/>
    <s v="FWD"/>
    <n v="5"/>
    <x v="1"/>
    <n v="41.2"/>
    <n v="2091"/>
    <x v="1"/>
    <n v="2"/>
    <x v="0"/>
    <x v="2"/>
    <n v="219453"/>
    <n v="3.46"/>
    <n v="4"/>
  </r>
  <r>
    <x v="8"/>
    <s v="Kona Electric"/>
    <x v="3"/>
    <x v="2"/>
    <n v="43459.69"/>
    <n v="83.7"/>
    <n v="302"/>
    <n v="88.9"/>
    <n v="4.32"/>
    <n v="192"/>
    <n v="448"/>
    <n v="378"/>
    <s v="FWD"/>
    <n v="5"/>
    <x v="0"/>
    <n v="78.7"/>
    <n v="2699"/>
    <x v="1"/>
    <n v="2"/>
    <x v="3"/>
    <x v="1"/>
    <n v="114002"/>
    <n v="3.56"/>
    <n v="3"/>
  </r>
  <r>
    <x v="4"/>
    <s v="Model X"/>
    <x v="4"/>
    <x v="1"/>
    <n v="100894.61"/>
    <n v="84.8"/>
    <n v="304"/>
    <n v="288.89999999999998"/>
    <n v="6.04"/>
    <n v="161"/>
    <n v="727"/>
    <n v="655"/>
    <s v="RWD"/>
    <n v="7"/>
    <x v="1"/>
    <n v="62.5"/>
    <n v="1686"/>
    <x v="1"/>
    <n v="2"/>
    <x v="2"/>
    <x v="0"/>
    <n v="201220"/>
    <n v="3.9"/>
    <n v="5"/>
  </r>
  <r>
    <x v="7"/>
    <s v="Dolphin"/>
    <x v="5"/>
    <x v="0"/>
    <n v="31398.12"/>
    <n v="100.6"/>
    <n v="352"/>
    <n v="226.6"/>
    <n v="3.63"/>
    <n v="200"/>
    <n v="296"/>
    <n v="289"/>
    <s v="AWD"/>
    <n v="5"/>
    <x v="3"/>
    <n v="37.5"/>
    <n v="1500"/>
    <x v="1"/>
    <n v="1"/>
    <x v="4"/>
    <x v="3"/>
    <n v="240918"/>
    <n v="3.58"/>
    <n v="3"/>
  </r>
  <r>
    <x v="2"/>
    <s v="Blazer EV"/>
    <x v="2"/>
    <x v="2"/>
    <n v="85774.399999999994"/>
    <n v="106"/>
    <n v="388"/>
    <n v="78.3"/>
    <n v="4.51"/>
    <n v="181"/>
    <n v="1000"/>
    <n v="904"/>
    <s v="AWD"/>
    <n v="5"/>
    <x v="2"/>
    <n v="78.7"/>
    <n v="1666"/>
    <x v="0"/>
    <n v="0"/>
    <x v="2"/>
    <x v="2"/>
    <n v="22091"/>
    <n v="3.72"/>
    <n v="4"/>
  </r>
  <r>
    <x v="4"/>
    <s v="Model 3"/>
    <x v="0"/>
    <x v="0"/>
    <n v="53096.09"/>
    <n v="113.8"/>
    <n v="404"/>
    <n v="309.60000000000002"/>
    <n v="3.8"/>
    <n v="200"/>
    <n v="298"/>
    <n v="243"/>
    <s v="RWD"/>
    <n v="7"/>
    <x v="2"/>
    <n v="62.1"/>
    <n v="1503"/>
    <x v="0"/>
    <n v="2"/>
    <x v="2"/>
    <x v="1"/>
    <n v="123687"/>
    <n v="4.34"/>
    <n v="5"/>
  </r>
  <r>
    <x v="8"/>
    <s v="Ioniq 5"/>
    <x v="0"/>
    <x v="3"/>
    <n v="40063.519999999997"/>
    <n v="83"/>
    <n v="298"/>
    <n v="123"/>
    <n v="7.7"/>
    <n v="134"/>
    <n v="373"/>
    <n v="388"/>
    <s v="FWD"/>
    <n v="5"/>
    <x v="2"/>
    <n v="60.2"/>
    <n v="1526"/>
    <x v="1"/>
    <n v="0"/>
    <x v="3"/>
    <x v="1"/>
    <n v="95016"/>
    <n v="3.55"/>
    <n v="4"/>
  </r>
  <r>
    <x v="7"/>
    <s v="Seagull"/>
    <x v="0"/>
    <x v="3"/>
    <n v="72565.72"/>
    <n v="43.8"/>
    <n v="153"/>
    <n v="127.4"/>
    <n v="5.45"/>
    <n v="175"/>
    <n v="799"/>
    <n v="748"/>
    <s v="RWD"/>
    <n v="7"/>
    <x v="3"/>
    <n v="22.8"/>
    <n v="1591"/>
    <x v="1"/>
    <n v="1"/>
    <x v="4"/>
    <x v="2"/>
    <n v="193019"/>
    <n v="3.17"/>
    <n v="4"/>
  </r>
  <r>
    <x v="4"/>
    <s v="Model S"/>
    <x v="0"/>
    <x v="1"/>
    <n v="90489.19"/>
    <n v="66.8"/>
    <n v="227"/>
    <n v="270.60000000000002"/>
    <n v="7.25"/>
    <n v="144"/>
    <n v="650"/>
    <n v="559"/>
    <s v="AWD"/>
    <n v="5"/>
    <x v="2"/>
    <n v="64.7"/>
    <n v="1535"/>
    <x v="0"/>
    <n v="2"/>
    <x v="2"/>
    <x v="2"/>
    <n v="231411"/>
    <n v="3.84"/>
    <n v="4"/>
  </r>
  <r>
    <x v="7"/>
    <s v="Yuan Plus"/>
    <x v="5"/>
    <x v="1"/>
    <n v="58741.09"/>
    <n v="43.2"/>
    <n v="166"/>
    <n v="146.80000000000001"/>
    <n v="5.12"/>
    <n v="171"/>
    <n v="609"/>
    <n v="553"/>
    <s v="RWD"/>
    <n v="5"/>
    <x v="5"/>
    <n v="27.7"/>
    <n v="1654"/>
    <x v="1"/>
    <n v="0"/>
    <x v="4"/>
    <x v="1"/>
    <n v="193352"/>
    <n v="3.21"/>
    <n v="4"/>
  </r>
  <r>
    <x v="16"/>
    <s v="Gravity"/>
    <x v="3"/>
    <x v="0"/>
    <n v="166388.92000000001"/>
    <n v="75.900000000000006"/>
    <n v="281"/>
    <n v="207.6"/>
    <n v="3.27"/>
    <n v="195"/>
    <n v="740"/>
    <n v="654"/>
    <s v="AWD"/>
    <n v="5"/>
    <x v="2"/>
    <n v="64.8"/>
    <n v="1555"/>
    <x v="1"/>
    <n v="0"/>
    <x v="2"/>
    <x v="0"/>
    <n v="27265"/>
    <n v="3.3"/>
    <n v="5"/>
  </r>
  <r>
    <x v="9"/>
    <s v="E-Transit"/>
    <x v="1"/>
    <x v="0"/>
    <n v="72683.98"/>
    <n v="73.7"/>
    <n v="253"/>
    <n v="217.6"/>
    <n v="2.74"/>
    <n v="200"/>
    <n v="871"/>
    <n v="801"/>
    <s v="AWD"/>
    <n v="7"/>
    <x v="4"/>
    <n v="21.3"/>
    <n v="1539"/>
    <x v="0"/>
    <n v="1"/>
    <x v="2"/>
    <x v="2"/>
    <n v="25267"/>
    <n v="3.64"/>
    <n v="4"/>
  </r>
  <r>
    <x v="1"/>
    <s v="bZ4X"/>
    <x v="4"/>
    <x v="0"/>
    <n v="93898.99"/>
    <n v="117.1"/>
    <n v="375"/>
    <n v="200.2"/>
    <n v="3.95"/>
    <n v="182"/>
    <n v="1000"/>
    <n v="920"/>
    <s v="AWD"/>
    <n v="7"/>
    <x v="4"/>
    <n v="31"/>
    <n v="1520"/>
    <x v="1"/>
    <n v="0"/>
    <x v="1"/>
    <x v="2"/>
    <n v="29112"/>
    <n v="3.93"/>
    <n v="3"/>
  </r>
  <r>
    <x v="8"/>
    <s v="Ioniq 6"/>
    <x v="0"/>
    <x v="2"/>
    <n v="79421.070000000007"/>
    <n v="79.2"/>
    <n v="250"/>
    <n v="81.2"/>
    <n v="5.56"/>
    <n v="164"/>
    <n v="981"/>
    <n v="917"/>
    <s v="FWD"/>
    <n v="7"/>
    <x v="2"/>
    <n v="75.8"/>
    <n v="1500"/>
    <x v="1"/>
    <n v="2"/>
    <x v="3"/>
    <x v="2"/>
    <n v="120050"/>
    <n v="3.41"/>
    <n v="3"/>
  </r>
  <r>
    <x v="4"/>
    <s v="Model 3"/>
    <x v="1"/>
    <x v="1"/>
    <n v="78038.19"/>
    <n v="59.8"/>
    <n v="219"/>
    <n v="334"/>
    <n v="6.2"/>
    <n v="162"/>
    <n v="544"/>
    <n v="487"/>
    <s v="AWD"/>
    <n v="7"/>
    <x v="4"/>
    <n v="26.6"/>
    <n v="1704"/>
    <x v="2"/>
    <n v="3"/>
    <x v="2"/>
    <x v="2"/>
    <n v="156841"/>
    <n v="3.58"/>
    <n v="4"/>
  </r>
  <r>
    <x v="3"/>
    <s v="Niro EV"/>
    <x v="5"/>
    <x v="0"/>
    <n v="89456.85"/>
    <n v="106.6"/>
    <n v="392"/>
    <n v="226.2"/>
    <n v="3.68"/>
    <n v="199"/>
    <n v="1000"/>
    <n v="879"/>
    <s v="RWD"/>
    <n v="7"/>
    <x v="2"/>
    <n v="67.599999999999994"/>
    <n v="1577"/>
    <x v="0"/>
    <n v="0"/>
    <x v="3"/>
    <x v="2"/>
    <n v="55244"/>
    <n v="3.99"/>
    <n v="4"/>
  </r>
  <r>
    <x v="0"/>
    <s v="ID.3"/>
    <x v="6"/>
    <x v="2"/>
    <n v="81317.3"/>
    <n v="77.900000000000006"/>
    <n v="298"/>
    <n v="145.69999999999999"/>
    <n v="4.33"/>
    <n v="182"/>
    <n v="894"/>
    <n v="772"/>
    <s v="RWD"/>
    <n v="7"/>
    <x v="0"/>
    <n v="71.7"/>
    <n v="2388"/>
    <x v="0"/>
    <n v="2"/>
    <x v="0"/>
    <x v="2"/>
    <n v="205086"/>
    <n v="3.62"/>
    <n v="3"/>
  </r>
  <r>
    <x v="5"/>
    <s v="GLE EV"/>
    <x v="4"/>
    <x v="2"/>
    <n v="133886.35"/>
    <n v="108.5"/>
    <n v="379"/>
    <n v="137.9"/>
    <n v="5.63"/>
    <n v="159"/>
    <n v="810"/>
    <n v="741"/>
    <s v="AWD"/>
    <n v="5"/>
    <x v="2"/>
    <n v="61.9"/>
    <n v="1500"/>
    <x v="0"/>
    <n v="2"/>
    <x v="0"/>
    <x v="0"/>
    <n v="61011"/>
    <n v="4"/>
    <n v="7"/>
  </r>
  <r>
    <x v="4"/>
    <s v="Model 3"/>
    <x v="5"/>
    <x v="1"/>
    <n v="123396.13"/>
    <n v="65.5"/>
    <n v="201"/>
    <n v="235.6"/>
    <n v="7.67"/>
    <n v="135"/>
    <n v="904"/>
    <n v="801"/>
    <s v="AWD"/>
    <n v="5"/>
    <x v="4"/>
    <n v="37.200000000000003"/>
    <n v="1684"/>
    <x v="0"/>
    <n v="3"/>
    <x v="2"/>
    <x v="0"/>
    <n v="179193"/>
    <n v="3.78"/>
    <n v="5"/>
  </r>
  <r>
    <x v="8"/>
    <s v="Kona Electric"/>
    <x v="0"/>
    <x v="2"/>
    <n v="89541.119999999995"/>
    <n v="95.4"/>
    <n v="330"/>
    <n v="131"/>
    <n v="4.83"/>
    <n v="179"/>
    <n v="1000"/>
    <n v="880"/>
    <s v="RWD"/>
    <n v="7"/>
    <x v="1"/>
    <n v="69.599999999999994"/>
    <n v="1987"/>
    <x v="1"/>
    <n v="1"/>
    <x v="3"/>
    <x v="2"/>
    <n v="122583"/>
    <n v="3.74"/>
    <n v="3"/>
  </r>
  <r>
    <x v="4"/>
    <s v="Model S"/>
    <x v="3"/>
    <x v="3"/>
    <n v="30387.16"/>
    <n v="46.7"/>
    <n v="183"/>
    <n v="294.10000000000002"/>
    <n v="7.88"/>
    <n v="130"/>
    <n v="199"/>
    <n v="200"/>
    <s v="FWD"/>
    <n v="5"/>
    <x v="3"/>
    <n v="17.8"/>
    <n v="1500"/>
    <x v="1"/>
    <n v="3"/>
    <x v="2"/>
    <x v="3"/>
    <n v="225676"/>
    <n v="3.51"/>
    <n v="6"/>
  </r>
  <r>
    <x v="7"/>
    <s v="Atto 3"/>
    <x v="2"/>
    <x v="4"/>
    <n v="21707.919999999998"/>
    <n v="56.8"/>
    <n v="176"/>
    <n v="141.1"/>
    <n v="7.77"/>
    <n v="135"/>
    <n v="199"/>
    <n v="213"/>
    <s v="AWD"/>
    <n v="5"/>
    <x v="3"/>
    <n v="34.700000000000003"/>
    <n v="1776"/>
    <x v="0"/>
    <n v="0"/>
    <x v="4"/>
    <x v="3"/>
    <n v="240735"/>
    <n v="3.31"/>
    <n v="4"/>
  </r>
  <r>
    <x v="2"/>
    <s v="Bolt EV"/>
    <x v="2"/>
    <x v="1"/>
    <n v="52232.74"/>
    <n v="42"/>
    <n v="150"/>
    <n v="134.4"/>
    <n v="5.26"/>
    <n v="171"/>
    <n v="623"/>
    <n v="597"/>
    <s v="RWD"/>
    <n v="5"/>
    <x v="2"/>
    <n v="76.8"/>
    <n v="1529"/>
    <x v="0"/>
    <n v="0"/>
    <x v="2"/>
    <x v="1"/>
    <n v="17461"/>
    <n v="3.32"/>
    <n v="3"/>
  </r>
  <r>
    <x v="8"/>
    <s v="Ioniq"/>
    <x v="3"/>
    <x v="1"/>
    <n v="78178.94"/>
    <n v="79.400000000000006"/>
    <n v="290"/>
    <n v="53.7"/>
    <n v="5.34"/>
    <n v="169"/>
    <n v="1000"/>
    <n v="852"/>
    <s v="AWD"/>
    <n v="5"/>
    <x v="1"/>
    <n v="66.099999999999994"/>
    <n v="2435"/>
    <x v="1"/>
    <n v="1"/>
    <x v="3"/>
    <x v="2"/>
    <n v="93827"/>
    <n v="3.71"/>
    <n v="4"/>
  </r>
  <r>
    <x v="0"/>
    <s v="ID.5"/>
    <x v="3"/>
    <x v="3"/>
    <n v="32608.87"/>
    <n v="54"/>
    <n v="178"/>
    <n v="63.1"/>
    <n v="5.66"/>
    <n v="169"/>
    <n v="218"/>
    <n v="243"/>
    <s v="FWD"/>
    <n v="5"/>
    <x v="0"/>
    <n v="68.400000000000006"/>
    <n v="2358"/>
    <x v="2"/>
    <n v="1"/>
    <x v="0"/>
    <x v="3"/>
    <n v="223686"/>
    <n v="3.31"/>
    <n v="3"/>
  </r>
  <r>
    <x v="0"/>
    <s v="ID. Aero"/>
    <x v="2"/>
    <x v="4"/>
    <n v="64646.52"/>
    <n v="70.7"/>
    <n v="219"/>
    <n v="52.4"/>
    <n v="7.72"/>
    <n v="140"/>
    <n v="656"/>
    <n v="529"/>
    <s v="FWD"/>
    <n v="5"/>
    <x v="3"/>
    <n v="17.5"/>
    <n v="1566"/>
    <x v="0"/>
    <n v="0"/>
    <x v="0"/>
    <x v="1"/>
    <n v="229331"/>
    <n v="3.6"/>
    <n v="4"/>
  </r>
  <r>
    <x v="8"/>
    <s v="Kona Electric"/>
    <x v="5"/>
    <x v="4"/>
    <n v="40896.410000000003"/>
    <n v="84.8"/>
    <n v="286"/>
    <n v="56.7"/>
    <n v="7.09"/>
    <n v="148"/>
    <n v="339"/>
    <n v="284"/>
    <s v="RWD"/>
    <n v="7"/>
    <x v="0"/>
    <n v="78.3"/>
    <n v="2639"/>
    <x v="0"/>
    <n v="0"/>
    <x v="3"/>
    <x v="1"/>
    <n v="60452"/>
    <n v="3.61"/>
    <n v="4"/>
  </r>
  <r>
    <x v="9"/>
    <s v="E-Transit"/>
    <x v="2"/>
    <x v="0"/>
    <n v="99172.17"/>
    <n v="96.1"/>
    <n v="340"/>
    <n v="150.4"/>
    <n v="3.5"/>
    <n v="200"/>
    <n v="1000"/>
    <n v="919"/>
    <s v="AWD"/>
    <n v="5"/>
    <x v="1"/>
    <n v="58"/>
    <n v="2017"/>
    <x v="1"/>
    <n v="1"/>
    <x v="2"/>
    <x v="2"/>
    <n v="55818"/>
    <n v="3.69"/>
    <n v="4"/>
  </r>
  <r>
    <x v="11"/>
    <s v="Q6 e-tron"/>
    <x v="3"/>
    <x v="4"/>
    <n v="97077.65"/>
    <n v="52.8"/>
    <n v="197"/>
    <n v="133.80000000000001"/>
    <n v="7.59"/>
    <n v="132"/>
    <n v="714"/>
    <n v="605"/>
    <s v="AWD"/>
    <n v="7"/>
    <x v="3"/>
    <n v="33.6"/>
    <n v="1677"/>
    <x v="1"/>
    <n v="2"/>
    <x v="0"/>
    <x v="2"/>
    <n v="69050"/>
    <n v="3.19"/>
    <n v="6"/>
  </r>
  <r>
    <x v="1"/>
    <s v="bZ4X"/>
    <x v="3"/>
    <x v="2"/>
    <n v="75339.45"/>
    <n v="86.8"/>
    <n v="325"/>
    <n v="141"/>
    <n v="4.49"/>
    <n v="184"/>
    <n v="939"/>
    <n v="924"/>
    <s v="RWD"/>
    <n v="5"/>
    <x v="3"/>
    <n v="26"/>
    <n v="1541"/>
    <x v="1"/>
    <n v="0"/>
    <x v="1"/>
    <x v="2"/>
    <n v="12682"/>
    <n v="3.5"/>
    <n v="3"/>
  </r>
  <r>
    <x v="9"/>
    <s v="Mustang Mach-E"/>
    <x v="3"/>
    <x v="0"/>
    <n v="72824.56"/>
    <n v="94.6"/>
    <n v="347"/>
    <n v="161.1"/>
    <n v="4.26"/>
    <n v="180"/>
    <n v="915"/>
    <n v="803"/>
    <s v="RWD"/>
    <n v="5"/>
    <x v="2"/>
    <n v="66.5"/>
    <n v="1939"/>
    <x v="2"/>
    <n v="2"/>
    <x v="2"/>
    <x v="2"/>
    <n v="45964"/>
    <n v="3.7"/>
    <n v="4"/>
  </r>
  <r>
    <x v="7"/>
    <s v="Atto 3"/>
    <x v="3"/>
    <x v="2"/>
    <n v="26097.55"/>
    <n v="99"/>
    <n v="367"/>
    <n v="56.9"/>
    <n v="4.7699999999999996"/>
    <n v="176"/>
    <n v="270"/>
    <n v="217"/>
    <s v="AWD"/>
    <n v="5"/>
    <x v="0"/>
    <n v="71.7"/>
    <n v="2861"/>
    <x v="1"/>
    <n v="2"/>
    <x v="4"/>
    <x v="3"/>
    <n v="233286"/>
    <n v="3.51"/>
    <n v="5"/>
  </r>
  <r>
    <x v="10"/>
    <s v="i3"/>
    <x v="0"/>
    <x v="3"/>
    <n v="89086.86"/>
    <n v="79.5"/>
    <n v="279"/>
    <n v="115.5"/>
    <n v="5.03"/>
    <n v="179"/>
    <n v="643"/>
    <n v="655"/>
    <s v="RWD"/>
    <n v="7"/>
    <x v="0"/>
    <n v="57.6"/>
    <n v="2730"/>
    <x v="0"/>
    <n v="2"/>
    <x v="0"/>
    <x v="2"/>
    <n v="63501"/>
    <n v="3.78"/>
    <n v="5"/>
  </r>
  <r>
    <x v="0"/>
    <s v="ID.5"/>
    <x v="5"/>
    <x v="0"/>
    <n v="72231.360000000001"/>
    <n v="115"/>
    <n v="387"/>
    <n v="230.9"/>
    <n v="3.15"/>
    <n v="200"/>
    <n v="746"/>
    <n v="695"/>
    <s v="AWD"/>
    <n v="5"/>
    <x v="5"/>
    <n v="16.2"/>
    <n v="1564"/>
    <x v="0"/>
    <n v="0"/>
    <x v="0"/>
    <x v="2"/>
    <n v="241869"/>
    <n v="4.05"/>
    <n v="4"/>
  </r>
  <r>
    <x v="7"/>
    <s v="Leaf 50X"/>
    <x v="1"/>
    <x v="2"/>
    <n v="80180.179999999993"/>
    <n v="86.6"/>
    <n v="329"/>
    <n v="52.3"/>
    <n v="4.79"/>
    <n v="183"/>
    <n v="857"/>
    <n v="747"/>
    <s v="AWD"/>
    <n v="5"/>
    <x v="0"/>
    <n v="76.8"/>
    <n v="2565"/>
    <x v="1"/>
    <n v="1"/>
    <x v="4"/>
    <x v="2"/>
    <n v="170493"/>
    <n v="3.64"/>
    <n v="3"/>
  </r>
  <r>
    <x v="5"/>
    <s v="EQS"/>
    <x v="0"/>
    <x v="1"/>
    <n v="111693.41"/>
    <n v="44.9"/>
    <n v="154"/>
    <n v="66"/>
    <n v="6.74"/>
    <n v="144"/>
    <n v="636"/>
    <n v="581"/>
    <s v="AWD"/>
    <n v="5"/>
    <x v="3"/>
    <n v="25.7"/>
    <n v="1500"/>
    <x v="0"/>
    <n v="1"/>
    <x v="0"/>
    <x v="0"/>
    <n v="72096"/>
    <n v="3.64"/>
    <n v="6"/>
  </r>
  <r>
    <x v="4"/>
    <s v="Model S"/>
    <x v="5"/>
    <x v="3"/>
    <n v="119620.48"/>
    <n v="41.3"/>
    <n v="150"/>
    <n v="231.4"/>
    <n v="5.76"/>
    <n v="162"/>
    <n v="850"/>
    <n v="762"/>
    <s v="FWD"/>
    <n v="5"/>
    <x v="2"/>
    <n v="64.2"/>
    <n v="1667"/>
    <x v="0"/>
    <n v="2"/>
    <x v="2"/>
    <x v="0"/>
    <n v="186324"/>
    <n v="3.52"/>
    <n v="5"/>
  </r>
  <r>
    <x v="11"/>
    <s v="Q4 e-tron"/>
    <x v="3"/>
    <x v="4"/>
    <n v="63113.08"/>
    <n v="44"/>
    <n v="150"/>
    <n v="134.69999999999999"/>
    <n v="7.23"/>
    <n v="146"/>
    <n v="322"/>
    <n v="241"/>
    <s v="RWD"/>
    <n v="5"/>
    <x v="2"/>
    <n v="68.2"/>
    <n v="1501"/>
    <x v="0"/>
    <n v="2"/>
    <x v="0"/>
    <x v="1"/>
    <n v="79880"/>
    <n v="3.21"/>
    <n v="7"/>
  </r>
  <r>
    <x v="8"/>
    <s v="i30"/>
    <x v="5"/>
    <x v="1"/>
    <n v="83199.83"/>
    <n v="49.6"/>
    <n v="161"/>
    <n v="52.9"/>
    <n v="7.68"/>
    <n v="135"/>
    <n v="1000"/>
    <n v="924"/>
    <s v="AWD"/>
    <n v="5"/>
    <x v="5"/>
    <n v="33.1"/>
    <n v="1500"/>
    <x v="2"/>
    <n v="0"/>
    <x v="3"/>
    <x v="2"/>
    <n v="92496"/>
    <n v="3.22"/>
    <n v="3"/>
  </r>
  <r>
    <x v="10"/>
    <s v="iX"/>
    <x v="0"/>
    <x v="2"/>
    <n v="130324.5"/>
    <n v="105"/>
    <n v="370"/>
    <n v="58"/>
    <n v="4.3"/>
    <n v="186"/>
    <n v="1000"/>
    <n v="885"/>
    <s v="AWD"/>
    <n v="5"/>
    <x v="5"/>
    <n v="25"/>
    <n v="1679"/>
    <x v="1"/>
    <n v="2"/>
    <x v="0"/>
    <x v="0"/>
    <n v="62481"/>
    <n v="3.82"/>
    <n v="6"/>
  </r>
  <r>
    <x v="10"/>
    <s v="i5"/>
    <x v="2"/>
    <x v="1"/>
    <n v="92379.17"/>
    <n v="50.8"/>
    <n v="150"/>
    <n v="92.1"/>
    <n v="7.5"/>
    <n v="136"/>
    <n v="781"/>
    <n v="690"/>
    <s v="AWD"/>
    <n v="7"/>
    <x v="0"/>
    <n v="61.5"/>
    <n v="2455"/>
    <x v="1"/>
    <n v="1"/>
    <x v="0"/>
    <x v="2"/>
    <n v="64158"/>
    <n v="3.31"/>
    <n v="7"/>
  </r>
  <r>
    <x v="11"/>
    <s v="Q4 e-tron"/>
    <x v="3"/>
    <x v="1"/>
    <n v="154475.14000000001"/>
    <n v="69.7"/>
    <n v="246"/>
    <n v="132.69999999999999"/>
    <n v="6.23"/>
    <n v="161"/>
    <n v="1000"/>
    <n v="879"/>
    <s v="AWD"/>
    <n v="5"/>
    <x v="5"/>
    <n v="22.6"/>
    <n v="1646"/>
    <x v="1"/>
    <n v="2"/>
    <x v="0"/>
    <x v="0"/>
    <n v="20728"/>
    <n v="3.43"/>
    <n v="5"/>
  </r>
  <r>
    <x v="10"/>
    <s v="i5"/>
    <x v="2"/>
    <x v="4"/>
    <n v="78676.53"/>
    <n v="80.3"/>
    <n v="292"/>
    <n v="142.6"/>
    <n v="6.38"/>
    <n v="155"/>
    <n v="489"/>
    <n v="453"/>
    <s v="RWD"/>
    <n v="5"/>
    <x v="3"/>
    <n v="22.8"/>
    <n v="1501"/>
    <x v="1"/>
    <n v="1"/>
    <x v="0"/>
    <x v="2"/>
    <n v="28903"/>
    <n v="3.53"/>
    <n v="6"/>
  </r>
  <r>
    <x v="3"/>
    <s v="EV9"/>
    <x v="4"/>
    <x v="2"/>
    <n v="56383.76"/>
    <n v="77.599999999999994"/>
    <n v="294"/>
    <n v="107.4"/>
    <n v="5.95"/>
    <n v="162"/>
    <n v="689"/>
    <n v="647"/>
    <s v="FWD"/>
    <n v="5"/>
    <x v="1"/>
    <n v="46.4"/>
    <n v="1920"/>
    <x v="1"/>
    <n v="1"/>
    <x v="3"/>
    <x v="1"/>
    <n v="85632"/>
    <n v="3.6"/>
    <n v="3"/>
  </r>
  <r>
    <x v="4"/>
    <s v="Model Y"/>
    <x v="3"/>
    <x v="0"/>
    <n v="51114.48"/>
    <n v="78.3"/>
    <n v="274"/>
    <n v="222.3"/>
    <n v="3.51"/>
    <n v="190"/>
    <n v="299"/>
    <n v="241"/>
    <s v="RWD"/>
    <n v="7"/>
    <x v="1"/>
    <n v="62.1"/>
    <n v="2000"/>
    <x v="1"/>
    <n v="2"/>
    <x v="2"/>
    <x v="1"/>
    <n v="484952"/>
    <n v="4.03"/>
    <n v="6"/>
  </r>
  <r>
    <x v="8"/>
    <s v="Ioniq 6"/>
    <x v="2"/>
    <x v="0"/>
    <n v="44088.19"/>
    <n v="81.5"/>
    <n v="270"/>
    <n v="231.5"/>
    <n v="4.01"/>
    <n v="188"/>
    <n v="402"/>
    <n v="391"/>
    <s v="RWD"/>
    <n v="5"/>
    <x v="3"/>
    <n v="25.5"/>
    <n v="1685"/>
    <x v="2"/>
    <n v="0"/>
    <x v="3"/>
    <x v="1"/>
    <n v="119102"/>
    <n v="3.6"/>
    <n v="4"/>
  </r>
  <r>
    <x v="4"/>
    <s v="Model 3"/>
    <x v="0"/>
    <x v="1"/>
    <n v="98229.28"/>
    <n v="82.6"/>
    <n v="290"/>
    <n v="268.39999999999998"/>
    <n v="7.42"/>
    <n v="142"/>
    <n v="730"/>
    <n v="668"/>
    <s v="RWD"/>
    <n v="7"/>
    <x v="5"/>
    <n v="33.9"/>
    <n v="1500"/>
    <x v="0"/>
    <n v="2"/>
    <x v="2"/>
    <x v="2"/>
    <n v="151125"/>
    <n v="4.05"/>
    <n v="4"/>
  </r>
  <r>
    <x v="2"/>
    <s v="Equinox EV"/>
    <x v="5"/>
    <x v="0"/>
    <n v="71801.02"/>
    <n v="84.4"/>
    <n v="304"/>
    <n v="228.3"/>
    <n v="2.8"/>
    <n v="200"/>
    <n v="950"/>
    <n v="836"/>
    <s v="AWD"/>
    <n v="7"/>
    <x v="1"/>
    <n v="50"/>
    <n v="1829"/>
    <x v="0"/>
    <n v="1"/>
    <x v="2"/>
    <x v="2"/>
    <n v="4745"/>
    <n v="3.45"/>
    <n v="4"/>
  </r>
  <r>
    <x v="8"/>
    <s v="Ioniq 6"/>
    <x v="2"/>
    <x v="4"/>
    <n v="63404.54"/>
    <n v="72.2"/>
    <n v="253"/>
    <n v="88.9"/>
    <n v="5.5"/>
    <n v="168"/>
    <n v="777"/>
    <n v="662"/>
    <s v="RWD"/>
    <n v="7"/>
    <x v="5"/>
    <n v="29.9"/>
    <n v="1532"/>
    <x v="1"/>
    <n v="0"/>
    <x v="3"/>
    <x v="1"/>
    <n v="79234"/>
    <n v="3.49"/>
    <n v="3"/>
  </r>
  <r>
    <x v="10"/>
    <s v="i3"/>
    <x v="0"/>
    <x v="1"/>
    <n v="126296.04"/>
    <n v="69.400000000000006"/>
    <n v="238"/>
    <n v="100.7"/>
    <n v="5.91"/>
    <n v="158"/>
    <n v="1000"/>
    <n v="891"/>
    <s v="RWD"/>
    <n v="5"/>
    <x v="0"/>
    <n v="56.1"/>
    <n v="2766"/>
    <x v="0"/>
    <n v="1"/>
    <x v="0"/>
    <x v="0"/>
    <n v="27018"/>
    <n v="3.73"/>
    <n v="8"/>
  </r>
  <r>
    <x v="4"/>
    <s v="Model S"/>
    <x v="2"/>
    <x v="2"/>
    <n v="91117.32"/>
    <n v="101"/>
    <n v="364"/>
    <n v="271.10000000000002"/>
    <n v="4.8600000000000003"/>
    <n v="172"/>
    <n v="639"/>
    <n v="640"/>
    <s v="RWD"/>
    <n v="7"/>
    <x v="3"/>
    <n v="16.2"/>
    <n v="1500"/>
    <x v="0"/>
    <n v="2"/>
    <x v="2"/>
    <x v="2"/>
    <n v="174122"/>
    <n v="4"/>
    <n v="5"/>
  </r>
  <r>
    <x v="4"/>
    <s v="Cybertruck"/>
    <x v="5"/>
    <x v="4"/>
    <n v="39888.42"/>
    <n v="83.1"/>
    <n v="277"/>
    <n v="296.8"/>
    <n v="7.31"/>
    <n v="136"/>
    <n v="260"/>
    <n v="259"/>
    <s v="AWD"/>
    <n v="5"/>
    <x v="0"/>
    <n v="50.5"/>
    <n v="2479"/>
    <x v="0"/>
    <n v="2"/>
    <x v="2"/>
    <x v="1"/>
    <n v="224642"/>
    <n v="3.64"/>
    <n v="5"/>
  </r>
  <r>
    <x v="2"/>
    <s v="Bolt EUV"/>
    <x v="2"/>
    <x v="1"/>
    <n v="75461.19"/>
    <n v="77.900000000000006"/>
    <n v="275"/>
    <n v="102.6"/>
    <n v="5.43"/>
    <n v="168"/>
    <n v="1000"/>
    <n v="966"/>
    <s v="AWD"/>
    <n v="5"/>
    <x v="1"/>
    <n v="54.4"/>
    <n v="2063"/>
    <x v="0"/>
    <n v="0"/>
    <x v="2"/>
    <x v="2"/>
    <n v="10961"/>
    <n v="3.51"/>
    <n v="5"/>
  </r>
  <r>
    <x v="4"/>
    <s v="Cybertruck"/>
    <x v="0"/>
    <x v="0"/>
    <n v="182463.57"/>
    <n v="109.2"/>
    <n v="389"/>
    <n v="312.3"/>
    <n v="2.97"/>
    <n v="200"/>
    <n v="1000"/>
    <n v="870"/>
    <s v="AWD"/>
    <n v="5"/>
    <x v="0"/>
    <n v="71.099999999999994"/>
    <n v="2927"/>
    <x v="1"/>
    <n v="3"/>
    <x v="2"/>
    <x v="0"/>
    <n v="202403"/>
    <n v="3.98"/>
    <n v="5"/>
  </r>
  <r>
    <x v="4"/>
    <s v="Model X"/>
    <x v="0"/>
    <x v="1"/>
    <n v="43481.03"/>
    <n v="65.2"/>
    <n v="217"/>
    <n v="246"/>
    <n v="7.02"/>
    <n v="143"/>
    <n v="236"/>
    <n v="223"/>
    <s v="RWD"/>
    <n v="5"/>
    <x v="1"/>
    <n v="60.9"/>
    <n v="1871"/>
    <x v="1"/>
    <n v="2"/>
    <x v="2"/>
    <x v="1"/>
    <n v="134257"/>
    <n v="3.73"/>
    <n v="6"/>
  </r>
  <r>
    <x v="4"/>
    <s v="Model 3"/>
    <x v="3"/>
    <x v="3"/>
    <n v="70038.710000000006"/>
    <n v="65.7"/>
    <n v="235"/>
    <n v="344.8"/>
    <n v="6.65"/>
    <n v="149"/>
    <n v="510"/>
    <n v="448"/>
    <s v="RWD"/>
    <n v="7"/>
    <x v="5"/>
    <n v="21.6"/>
    <n v="1837"/>
    <x v="1"/>
    <n v="3"/>
    <x v="2"/>
    <x v="2"/>
    <n v="164008"/>
    <n v="3.74"/>
    <n v="6"/>
  </r>
  <r>
    <x v="1"/>
    <s v="bZ4X"/>
    <x v="2"/>
    <x v="3"/>
    <n v="60316.9"/>
    <n v="48"/>
    <n v="165"/>
    <n v="127.7"/>
    <n v="7.53"/>
    <n v="138"/>
    <n v="659"/>
    <n v="620"/>
    <s v="RWD"/>
    <n v="7"/>
    <x v="4"/>
    <n v="22.2"/>
    <n v="1500"/>
    <x v="0"/>
    <n v="2"/>
    <x v="1"/>
    <x v="1"/>
    <n v="23683"/>
    <n v="3.15"/>
    <n v="5"/>
  </r>
  <r>
    <x v="2"/>
    <s v="Bolt EV"/>
    <x v="2"/>
    <x v="4"/>
    <n v="46964.58"/>
    <n v="62.4"/>
    <n v="204"/>
    <n v="57.8"/>
    <n v="7.81"/>
    <n v="140"/>
    <n v="566"/>
    <n v="525"/>
    <s v="AWD"/>
    <n v="7"/>
    <x v="5"/>
    <n v="21.6"/>
    <n v="1530"/>
    <x v="1"/>
    <n v="1"/>
    <x v="2"/>
    <x v="1"/>
    <n v="15168"/>
    <n v="3.46"/>
    <n v="4"/>
  </r>
  <r>
    <x v="7"/>
    <s v="Dolphin"/>
    <x v="4"/>
    <x v="1"/>
    <n v="107053.36"/>
    <n v="82.6"/>
    <n v="300"/>
    <n v="135.69999999999999"/>
    <n v="5.34"/>
    <n v="164"/>
    <n v="1000"/>
    <n v="856"/>
    <s v="AWD"/>
    <n v="7"/>
    <x v="4"/>
    <n v="37.6"/>
    <n v="2029"/>
    <x v="2"/>
    <n v="0"/>
    <x v="4"/>
    <x v="0"/>
    <n v="216609"/>
    <n v="3.76"/>
    <n v="4"/>
  </r>
  <r>
    <x v="7"/>
    <s v="Atto 3"/>
    <x v="0"/>
    <x v="3"/>
    <n v="73542.570000000007"/>
    <n v="52.6"/>
    <n v="178"/>
    <n v="76.5"/>
    <n v="6.84"/>
    <n v="142"/>
    <n v="795"/>
    <n v="760"/>
    <s v="AWD"/>
    <n v="5"/>
    <x v="3"/>
    <n v="26.5"/>
    <n v="1839"/>
    <x v="1"/>
    <n v="0"/>
    <x v="4"/>
    <x v="2"/>
    <n v="164917"/>
    <n v="3"/>
    <n v="4"/>
  </r>
  <r>
    <x v="7"/>
    <s v="Qin"/>
    <x v="3"/>
    <x v="4"/>
    <n v="52251.33"/>
    <n v="63.4"/>
    <n v="238"/>
    <n v="134"/>
    <n v="5.93"/>
    <n v="161"/>
    <n v="547"/>
    <n v="460"/>
    <s v="AWD"/>
    <n v="7"/>
    <x v="2"/>
    <n v="63.6"/>
    <n v="1538"/>
    <x v="1"/>
    <n v="0"/>
    <x v="4"/>
    <x v="1"/>
    <n v="174435"/>
    <n v="3.19"/>
    <n v="3"/>
  </r>
  <r>
    <x v="9"/>
    <s v="Explorer EV"/>
    <x v="3"/>
    <x v="3"/>
    <n v="67752.89"/>
    <n v="58.7"/>
    <n v="237"/>
    <n v="62.3"/>
    <n v="5.47"/>
    <n v="162"/>
    <n v="734"/>
    <n v="686"/>
    <s v="FWD"/>
    <n v="5"/>
    <x v="0"/>
    <n v="65.400000000000006"/>
    <n v="2613"/>
    <x v="1"/>
    <n v="0"/>
    <x v="2"/>
    <x v="2"/>
    <n v="21665"/>
    <n v="3.61"/>
    <n v="5"/>
  </r>
  <r>
    <x v="10"/>
    <s v="i5"/>
    <x v="3"/>
    <x v="3"/>
    <n v="48714.2"/>
    <n v="45.4"/>
    <n v="161"/>
    <n v="90.9"/>
    <n v="7.71"/>
    <n v="136"/>
    <n v="178"/>
    <n v="200"/>
    <s v="FWD"/>
    <n v="5"/>
    <x v="2"/>
    <n v="74.7"/>
    <n v="1633"/>
    <x v="0"/>
    <n v="1"/>
    <x v="0"/>
    <x v="1"/>
    <n v="75073"/>
    <n v="3.18"/>
    <n v="6"/>
  </r>
  <r>
    <x v="4"/>
    <s v="Model X"/>
    <x v="5"/>
    <x v="3"/>
    <n v="31180.54"/>
    <n v="72.3"/>
    <n v="241"/>
    <n v="338"/>
    <n v="6.7"/>
    <n v="142"/>
    <n v="208"/>
    <n v="200"/>
    <s v="FWD"/>
    <n v="5"/>
    <x v="2"/>
    <n v="65.2"/>
    <n v="1525"/>
    <x v="0"/>
    <n v="2"/>
    <x v="2"/>
    <x v="3"/>
    <n v="143060"/>
    <n v="3.87"/>
    <n v="4"/>
  </r>
  <r>
    <x v="4"/>
    <s v="Model Y"/>
    <x v="3"/>
    <x v="2"/>
    <n v="68461.67"/>
    <n v="80.8"/>
    <n v="305"/>
    <n v="310.2"/>
    <n v="4.5"/>
    <n v="183"/>
    <n v="508"/>
    <n v="430"/>
    <s v="FWD"/>
    <n v="7"/>
    <x v="4"/>
    <n v="19.2"/>
    <n v="1614"/>
    <x v="0"/>
    <n v="2"/>
    <x v="2"/>
    <x v="2"/>
    <n v="443244"/>
    <n v="3.91"/>
    <n v="4"/>
  </r>
  <r>
    <x v="4"/>
    <s v="Model S"/>
    <x v="0"/>
    <x v="1"/>
    <n v="51643.69"/>
    <n v="41.7"/>
    <n v="150"/>
    <n v="282.3"/>
    <n v="6.36"/>
    <n v="153"/>
    <n v="364"/>
    <n v="303"/>
    <s v="AWD"/>
    <n v="5"/>
    <x v="0"/>
    <n v="65.8"/>
    <n v="2333"/>
    <x v="1"/>
    <n v="2"/>
    <x v="2"/>
    <x v="1"/>
    <n v="247691"/>
    <n v="3.41"/>
    <n v="6"/>
  </r>
  <r>
    <x v="10"/>
    <s v="iX"/>
    <x v="3"/>
    <x v="4"/>
    <n v="66272.639999999999"/>
    <n v="70.2"/>
    <n v="263"/>
    <n v="100.5"/>
    <n v="6.96"/>
    <n v="144"/>
    <n v="418"/>
    <n v="412"/>
    <s v="AWD"/>
    <n v="5"/>
    <x v="5"/>
    <n v="22.2"/>
    <n v="1554"/>
    <x v="0"/>
    <n v="1"/>
    <x v="0"/>
    <x v="2"/>
    <n v="66889"/>
    <n v="3.62"/>
    <n v="6"/>
  </r>
  <r>
    <x v="9"/>
    <s v="F-150 Lightning"/>
    <x v="3"/>
    <x v="4"/>
    <n v="68957.58"/>
    <n v="70.099999999999994"/>
    <n v="262"/>
    <n v="65.599999999999994"/>
    <n v="7.66"/>
    <n v="142"/>
    <n v="719"/>
    <n v="687"/>
    <s v="AWD"/>
    <n v="4"/>
    <x v="0"/>
    <n v="78.3"/>
    <n v="2809"/>
    <x v="1"/>
    <n v="1"/>
    <x v="2"/>
    <x v="2"/>
    <n v="69276"/>
    <n v="3.36"/>
    <n v="5"/>
  </r>
  <r>
    <x v="7"/>
    <s v="Dolphin"/>
    <x v="2"/>
    <x v="4"/>
    <n v="51238.400000000001"/>
    <n v="51.6"/>
    <n v="185"/>
    <n v="122.5"/>
    <n v="6.52"/>
    <n v="153"/>
    <n v="593"/>
    <n v="509"/>
    <s v="FWD"/>
    <n v="5"/>
    <x v="3"/>
    <n v="24.2"/>
    <n v="1637"/>
    <x v="1"/>
    <n v="1"/>
    <x v="4"/>
    <x v="1"/>
    <n v="242985"/>
    <n v="3.46"/>
    <n v="3"/>
  </r>
  <r>
    <x v="4"/>
    <s v="Model Y"/>
    <x v="3"/>
    <x v="3"/>
    <n v="114587.9"/>
    <n v="67.3"/>
    <n v="242"/>
    <n v="324.39999999999998"/>
    <n v="7.79"/>
    <n v="120"/>
    <n v="860"/>
    <n v="798"/>
    <s v="FWD"/>
    <n v="5"/>
    <x v="4"/>
    <n v="34.6"/>
    <n v="1534"/>
    <x v="2"/>
    <n v="2"/>
    <x v="2"/>
    <x v="0"/>
    <n v="458139"/>
    <n v="3.77"/>
    <n v="5"/>
  </r>
  <r>
    <x v="4"/>
    <s v="Cybertruck"/>
    <x v="2"/>
    <x v="4"/>
    <n v="43048"/>
    <n v="78.2"/>
    <n v="305"/>
    <n v="284.8"/>
    <n v="5.32"/>
    <n v="167"/>
    <n v="283"/>
    <n v="238"/>
    <s v="FWD"/>
    <n v="7"/>
    <x v="0"/>
    <n v="69"/>
    <n v="2507"/>
    <x v="1"/>
    <n v="2"/>
    <x v="2"/>
    <x v="1"/>
    <n v="249983"/>
    <n v="3.24"/>
    <n v="5"/>
  </r>
  <r>
    <x v="6"/>
    <s v="Ocean"/>
    <x v="3"/>
    <x v="1"/>
    <n v="54042"/>
    <n v="69.8"/>
    <n v="254"/>
    <n v="61.6"/>
    <n v="6.62"/>
    <n v="157"/>
    <n v="343"/>
    <n v="288"/>
    <s v="RWD"/>
    <n v="5"/>
    <x v="0"/>
    <n v="68.2"/>
    <n v="2045"/>
    <x v="0"/>
    <n v="2"/>
    <x v="2"/>
    <x v="1"/>
    <n v="17793"/>
    <n v="3.42"/>
    <n v="5"/>
  </r>
  <r>
    <x v="7"/>
    <s v="Atto 3"/>
    <x v="3"/>
    <x v="1"/>
    <n v="34873.269999999997"/>
    <n v="63.6"/>
    <n v="236"/>
    <n v="57.6"/>
    <n v="6.36"/>
    <n v="149"/>
    <n v="380"/>
    <n v="328"/>
    <s v="AWD"/>
    <n v="7"/>
    <x v="4"/>
    <n v="21.2"/>
    <n v="1500"/>
    <x v="0"/>
    <n v="0"/>
    <x v="4"/>
    <x v="3"/>
    <n v="145087"/>
    <n v="3.26"/>
    <n v="4"/>
  </r>
  <r>
    <x v="9"/>
    <s v="Explorer EV"/>
    <x v="3"/>
    <x v="4"/>
    <n v="47275.39"/>
    <n v="64.900000000000006"/>
    <n v="242"/>
    <n v="148.9"/>
    <n v="5.12"/>
    <n v="166"/>
    <n v="415"/>
    <n v="361"/>
    <s v="FWD"/>
    <n v="5"/>
    <x v="4"/>
    <n v="38.200000000000003"/>
    <n v="1509"/>
    <x v="2"/>
    <n v="1"/>
    <x v="2"/>
    <x v="1"/>
    <n v="20597"/>
    <n v="3.51"/>
    <n v="5"/>
  </r>
  <r>
    <x v="10"/>
    <s v="i4"/>
    <x v="2"/>
    <x v="2"/>
    <n v="69815.81"/>
    <n v="81.099999999999994"/>
    <n v="291"/>
    <n v="69.8"/>
    <n v="5.43"/>
    <n v="172"/>
    <n v="444"/>
    <n v="391"/>
    <s v="FWD"/>
    <n v="7"/>
    <x v="1"/>
    <n v="41.1"/>
    <n v="2056"/>
    <x v="0"/>
    <n v="1"/>
    <x v="0"/>
    <x v="2"/>
    <n v="42961"/>
    <n v="3.63"/>
    <n v="5"/>
  </r>
  <r>
    <x v="0"/>
    <s v="ID.5"/>
    <x v="3"/>
    <x v="2"/>
    <n v="95115.92"/>
    <n v="83"/>
    <n v="275"/>
    <n v="136"/>
    <n v="5.38"/>
    <n v="170"/>
    <n v="1000"/>
    <n v="873"/>
    <s v="AWD"/>
    <n v="7"/>
    <x v="5"/>
    <n v="28"/>
    <n v="1693"/>
    <x v="2"/>
    <n v="1"/>
    <x v="0"/>
    <x v="2"/>
    <n v="223250"/>
    <n v="3.54"/>
    <n v="4"/>
  </r>
  <r>
    <x v="7"/>
    <s v="Qin"/>
    <x v="3"/>
    <x v="1"/>
    <n v="33846.449999999997"/>
    <n v="52.4"/>
    <n v="171"/>
    <n v="126.2"/>
    <n v="7.36"/>
    <n v="138"/>
    <n v="348"/>
    <n v="349"/>
    <s v="FWD"/>
    <n v="5"/>
    <x v="0"/>
    <n v="75.5"/>
    <n v="2279"/>
    <x v="1"/>
    <n v="2"/>
    <x v="4"/>
    <x v="3"/>
    <n v="220677"/>
    <n v="3.2"/>
    <n v="5"/>
  </r>
  <r>
    <x v="4"/>
    <s v="Cybertruck"/>
    <x v="3"/>
    <x v="1"/>
    <n v="98891.22"/>
    <n v="78.900000000000006"/>
    <n v="301"/>
    <n v="269.89999999999998"/>
    <n v="6.78"/>
    <n v="143"/>
    <n v="712"/>
    <n v="623"/>
    <s v="FWD"/>
    <n v="5"/>
    <x v="0"/>
    <n v="75.400000000000006"/>
    <n v="2642"/>
    <x v="0"/>
    <n v="2"/>
    <x v="2"/>
    <x v="2"/>
    <n v="113008"/>
    <n v="3.85"/>
    <n v="4"/>
  </r>
  <r>
    <x v="3"/>
    <s v="Picanto EV"/>
    <x v="6"/>
    <x v="0"/>
    <n v="51182.15"/>
    <n v="115.1"/>
    <n v="444"/>
    <n v="158.4"/>
    <n v="3.23"/>
    <n v="200"/>
    <n v="509"/>
    <n v="422"/>
    <s v="FWD"/>
    <n v="7"/>
    <x v="2"/>
    <n v="78.2"/>
    <n v="1712"/>
    <x v="1"/>
    <n v="0"/>
    <x v="3"/>
    <x v="1"/>
    <n v="106543"/>
    <n v="3.82"/>
    <n v="4"/>
  </r>
  <r>
    <x v="9"/>
    <s v="E-Transit"/>
    <x v="0"/>
    <x v="4"/>
    <n v="53190.35"/>
    <n v="62.2"/>
    <n v="200"/>
    <n v="78.099999999999994"/>
    <n v="7.05"/>
    <n v="148"/>
    <n v="511"/>
    <n v="461"/>
    <s v="FWD"/>
    <n v="7"/>
    <x v="3"/>
    <n v="39"/>
    <n v="1682"/>
    <x v="0"/>
    <n v="2"/>
    <x v="2"/>
    <x v="1"/>
    <n v="73417"/>
    <n v="3.13"/>
    <n v="4"/>
  </r>
  <r>
    <x v="10"/>
    <s v="i5"/>
    <x v="2"/>
    <x v="3"/>
    <n v="73900.67"/>
    <n v="72.400000000000006"/>
    <n v="258"/>
    <n v="101.5"/>
    <n v="7.83"/>
    <n v="134"/>
    <n v="438"/>
    <n v="406"/>
    <s v="FWD"/>
    <n v="5"/>
    <x v="4"/>
    <n v="35.200000000000003"/>
    <n v="1522"/>
    <x v="1"/>
    <n v="2"/>
    <x v="0"/>
    <x v="2"/>
    <n v="78616"/>
    <n v="3.2"/>
    <n v="6"/>
  </r>
  <r>
    <x v="8"/>
    <s v="Kona Electric"/>
    <x v="0"/>
    <x v="2"/>
    <n v="49376.97"/>
    <n v="105.9"/>
    <n v="348"/>
    <n v="77.3"/>
    <n v="4.75"/>
    <n v="175"/>
    <n v="509"/>
    <n v="436"/>
    <s v="FWD"/>
    <n v="7"/>
    <x v="3"/>
    <n v="37.4"/>
    <n v="1766"/>
    <x v="1"/>
    <n v="1"/>
    <x v="3"/>
    <x v="1"/>
    <n v="113770"/>
    <n v="3.51"/>
    <n v="4"/>
  </r>
  <r>
    <x v="4"/>
    <s v="Model 3"/>
    <x v="3"/>
    <x v="1"/>
    <n v="129475.2"/>
    <n v="46.6"/>
    <n v="150"/>
    <n v="264.8"/>
    <n v="6.99"/>
    <n v="144"/>
    <n v="897"/>
    <n v="779"/>
    <s v="AWD"/>
    <n v="7"/>
    <x v="1"/>
    <n v="54.9"/>
    <n v="1856"/>
    <x v="0"/>
    <n v="2"/>
    <x v="2"/>
    <x v="0"/>
    <n v="225901"/>
    <n v="3.6"/>
    <n v="5"/>
  </r>
  <r>
    <x v="6"/>
    <s v="Ocean"/>
    <x v="0"/>
    <x v="3"/>
    <n v="81514.31"/>
    <n v="48.1"/>
    <n v="186"/>
    <n v="57.9"/>
    <n v="6.12"/>
    <n v="157"/>
    <n v="683"/>
    <n v="634"/>
    <s v="FWD"/>
    <n v="5"/>
    <x v="3"/>
    <n v="27.3"/>
    <n v="1690"/>
    <x v="0"/>
    <n v="1"/>
    <x v="2"/>
    <x v="2"/>
    <n v="16427"/>
    <n v="3.38"/>
    <n v="3"/>
  </r>
  <r>
    <x v="9"/>
    <s v="F-150 Lightning"/>
    <x v="2"/>
    <x v="3"/>
    <n v="33054.57"/>
    <n v="55.6"/>
    <n v="203"/>
    <n v="137.19999999999999"/>
    <n v="6.73"/>
    <n v="145"/>
    <n v="173"/>
    <n v="200"/>
    <s v="AWD"/>
    <n v="2"/>
    <x v="0"/>
    <n v="61"/>
    <n v="2425"/>
    <x v="1"/>
    <n v="1"/>
    <x v="2"/>
    <x v="3"/>
    <n v="77480"/>
    <n v="3.1"/>
    <n v="3"/>
  </r>
  <r>
    <x v="7"/>
    <s v="Dolphin"/>
    <x v="2"/>
    <x v="2"/>
    <n v="38277.53"/>
    <n v="87.8"/>
    <n v="282"/>
    <n v="141.6"/>
    <n v="4.54"/>
    <n v="181"/>
    <n v="343"/>
    <n v="313"/>
    <s v="RWD"/>
    <n v="5"/>
    <x v="4"/>
    <n v="34.1"/>
    <n v="1685"/>
    <x v="1"/>
    <n v="1"/>
    <x v="4"/>
    <x v="1"/>
    <n v="237305"/>
    <n v="3.52"/>
    <n v="4"/>
  </r>
  <r>
    <x v="19"/>
    <n v="3"/>
    <x v="0"/>
    <x v="2"/>
    <n v="77182.19"/>
    <n v="88.8"/>
    <n v="337"/>
    <n v="77.900000000000006"/>
    <n v="5.68"/>
    <n v="160"/>
    <n v="442"/>
    <n v="379"/>
    <s v="RWD"/>
    <n v="5"/>
    <x v="3"/>
    <n v="21.3"/>
    <n v="1500"/>
    <x v="1"/>
    <n v="0"/>
    <x v="5"/>
    <x v="2"/>
    <n v="5412"/>
    <n v="3.55"/>
    <n v="3"/>
  </r>
  <r>
    <x v="3"/>
    <s v="Picanto EV"/>
    <x v="3"/>
    <x v="1"/>
    <n v="80721.440000000002"/>
    <n v="72.900000000000006"/>
    <n v="256"/>
    <n v="58.9"/>
    <n v="6.67"/>
    <n v="144"/>
    <n v="912"/>
    <n v="808"/>
    <s v="RWD"/>
    <n v="5"/>
    <x v="3"/>
    <n v="21.1"/>
    <n v="1503"/>
    <x v="2"/>
    <n v="1"/>
    <x v="3"/>
    <x v="2"/>
    <n v="130227"/>
    <n v="3.54"/>
    <n v="4"/>
  </r>
  <r>
    <x v="3"/>
    <s v="EV6"/>
    <x v="4"/>
    <x v="1"/>
    <n v="36092.980000000003"/>
    <n v="41.6"/>
    <n v="150"/>
    <n v="105.9"/>
    <n v="5.2"/>
    <n v="170"/>
    <n v="254"/>
    <n v="233"/>
    <s v="AWD"/>
    <n v="5"/>
    <x v="1"/>
    <n v="45.9"/>
    <n v="2561"/>
    <x v="1"/>
    <n v="1"/>
    <x v="3"/>
    <x v="1"/>
    <n v="73706"/>
    <n v="3"/>
    <n v="3"/>
  </r>
  <r>
    <x v="2"/>
    <s v="Equinox EV"/>
    <x v="1"/>
    <x v="0"/>
    <n v="59493.52"/>
    <n v="71.900000000000006"/>
    <n v="270"/>
    <n v="162.1"/>
    <n v="3.04"/>
    <n v="200"/>
    <n v="761"/>
    <n v="683"/>
    <s v="FWD"/>
    <n v="5"/>
    <x v="1"/>
    <n v="48.3"/>
    <n v="1650"/>
    <x v="2"/>
    <n v="0"/>
    <x v="2"/>
    <x v="1"/>
    <n v="16751"/>
    <n v="3.44"/>
    <n v="4"/>
  </r>
  <r>
    <x v="9"/>
    <s v="Explorer EV"/>
    <x v="0"/>
    <x v="4"/>
    <n v="38433.81"/>
    <n v="45.5"/>
    <n v="152"/>
    <n v="93.2"/>
    <n v="7.84"/>
    <n v="137"/>
    <n v="247"/>
    <n v="257"/>
    <s v="FWD"/>
    <n v="5"/>
    <x v="0"/>
    <n v="76.099999999999994"/>
    <n v="2667"/>
    <x v="0"/>
    <n v="1"/>
    <x v="2"/>
    <x v="1"/>
    <n v="31451"/>
    <n v="3.08"/>
    <n v="3"/>
  </r>
  <r>
    <x v="10"/>
    <s v="i3"/>
    <x v="2"/>
    <x v="0"/>
    <n v="73301.490000000005"/>
    <n v="109.7"/>
    <n v="367"/>
    <n v="196.4"/>
    <n v="3.4"/>
    <n v="200"/>
    <n v="489"/>
    <n v="443"/>
    <s v="FWD"/>
    <n v="7"/>
    <x v="4"/>
    <n v="31.1"/>
    <n v="1547"/>
    <x v="1"/>
    <n v="1"/>
    <x v="0"/>
    <x v="2"/>
    <n v="50214"/>
    <n v="3.67"/>
    <n v="6"/>
  </r>
  <r>
    <x v="4"/>
    <s v="Model Y"/>
    <x v="3"/>
    <x v="2"/>
    <n v="113868.37"/>
    <n v="86.6"/>
    <n v="301"/>
    <n v="250.9"/>
    <n v="4.84"/>
    <n v="185"/>
    <n v="826"/>
    <n v="761"/>
    <s v="AWD"/>
    <n v="7"/>
    <x v="5"/>
    <n v="24.3"/>
    <n v="1500"/>
    <x v="0"/>
    <n v="2"/>
    <x v="2"/>
    <x v="0"/>
    <n v="455459"/>
    <n v="3.98"/>
    <n v="5"/>
  </r>
  <r>
    <x v="7"/>
    <s v="Dolphin"/>
    <x v="2"/>
    <x v="1"/>
    <n v="100526.02"/>
    <n v="84.9"/>
    <n v="300"/>
    <n v="124.8"/>
    <n v="6.95"/>
    <n v="147"/>
    <n v="1000"/>
    <n v="935"/>
    <s v="AWD"/>
    <n v="7"/>
    <x v="3"/>
    <n v="25.6"/>
    <n v="1569"/>
    <x v="0"/>
    <n v="0"/>
    <x v="4"/>
    <x v="0"/>
    <n v="178707"/>
    <n v="3.53"/>
    <n v="4"/>
  </r>
  <r>
    <x v="13"/>
    <s v="R3"/>
    <x v="3"/>
    <x v="3"/>
    <n v="78088.2"/>
    <n v="42.4"/>
    <n v="150"/>
    <n v="144.6"/>
    <n v="5.92"/>
    <n v="161"/>
    <n v="622"/>
    <n v="542"/>
    <s v="AWD"/>
    <n v="5"/>
    <x v="3"/>
    <n v="28.6"/>
    <n v="1769"/>
    <x v="2"/>
    <n v="0"/>
    <x v="2"/>
    <x v="2"/>
    <n v="26875"/>
    <n v="3.25"/>
    <n v="5"/>
  </r>
  <r>
    <x v="7"/>
    <s v="Qin"/>
    <x v="3"/>
    <x v="0"/>
    <n v="101418.24000000001"/>
    <n v="74.3"/>
    <n v="239"/>
    <n v="183.8"/>
    <n v="3.67"/>
    <n v="200"/>
    <n v="1000"/>
    <n v="942"/>
    <s v="AWD"/>
    <n v="5"/>
    <x v="3"/>
    <n v="17.600000000000001"/>
    <n v="1696"/>
    <x v="2"/>
    <n v="0"/>
    <x v="4"/>
    <x v="0"/>
    <n v="115025"/>
    <n v="3.58"/>
    <n v="4"/>
  </r>
  <r>
    <x v="0"/>
    <s v="ID.3"/>
    <x v="0"/>
    <x v="1"/>
    <n v="99609.58"/>
    <n v="83.8"/>
    <n v="287"/>
    <n v="55.7"/>
    <n v="7.43"/>
    <n v="141"/>
    <n v="1000"/>
    <n v="862"/>
    <s v="AWD"/>
    <n v="7"/>
    <x v="4"/>
    <n v="20.100000000000001"/>
    <n v="1973"/>
    <x v="0"/>
    <n v="0"/>
    <x v="0"/>
    <x v="2"/>
    <n v="245824"/>
    <n v="3.56"/>
    <n v="5"/>
  </r>
  <r>
    <x v="0"/>
    <s v="ID.3"/>
    <x v="3"/>
    <x v="3"/>
    <n v="66620.77"/>
    <n v="53.1"/>
    <n v="196"/>
    <n v="125.1"/>
    <n v="7.65"/>
    <n v="132"/>
    <n v="710"/>
    <n v="644"/>
    <s v="AWD"/>
    <n v="5"/>
    <x v="4"/>
    <n v="31.4"/>
    <n v="1570"/>
    <x v="1"/>
    <n v="0"/>
    <x v="0"/>
    <x v="2"/>
    <n v="206717"/>
    <n v="3.56"/>
    <n v="4"/>
  </r>
  <r>
    <x v="0"/>
    <s v="ID.3"/>
    <x v="4"/>
    <x v="2"/>
    <n v="70654.720000000001"/>
    <n v="88.4"/>
    <n v="317"/>
    <n v="84"/>
    <n v="4.82"/>
    <n v="163"/>
    <n v="711"/>
    <n v="644"/>
    <s v="FWD"/>
    <n v="7"/>
    <x v="3"/>
    <n v="27.6"/>
    <n v="1724"/>
    <x v="0"/>
    <n v="0"/>
    <x v="0"/>
    <x v="2"/>
    <n v="211095"/>
    <n v="3.8"/>
    <n v="5"/>
  </r>
  <r>
    <x v="3"/>
    <s v="Niro EV"/>
    <x v="3"/>
    <x v="0"/>
    <n v="110498.55"/>
    <n v="107.7"/>
    <n v="407"/>
    <n v="182.1"/>
    <n v="2.85"/>
    <n v="200"/>
    <n v="1000"/>
    <n v="893"/>
    <s v="RWD"/>
    <n v="5"/>
    <x v="1"/>
    <n v="53.4"/>
    <n v="1849"/>
    <x v="0"/>
    <n v="0"/>
    <x v="3"/>
    <x v="0"/>
    <n v="55383"/>
    <n v="3.92"/>
    <n v="4"/>
  </r>
  <r>
    <x v="12"/>
    <s v="EL8"/>
    <x v="3"/>
    <x v="1"/>
    <n v="104953.65"/>
    <n v="69"/>
    <n v="237"/>
    <n v="102.5"/>
    <n v="7.78"/>
    <n v="132"/>
    <n v="1000"/>
    <n v="879"/>
    <s v="AWD"/>
    <n v="7"/>
    <x v="5"/>
    <n v="34.200000000000003"/>
    <n v="1974"/>
    <x v="1"/>
    <n v="2"/>
    <x v="4"/>
    <x v="0"/>
    <n v="26944"/>
    <n v="3.47"/>
    <n v="3"/>
  </r>
  <r>
    <x v="7"/>
    <s v="Leaf 50X"/>
    <x v="2"/>
    <x v="2"/>
    <n v="42041.16"/>
    <n v="108.4"/>
    <n v="373"/>
    <n v="83.6"/>
    <n v="4.95"/>
    <n v="176"/>
    <n v="422"/>
    <n v="409"/>
    <s v="FWD"/>
    <n v="7"/>
    <x v="0"/>
    <n v="66.5"/>
    <n v="2360"/>
    <x v="2"/>
    <n v="0"/>
    <x v="4"/>
    <x v="1"/>
    <n v="120124"/>
    <n v="3.79"/>
    <n v="4"/>
  </r>
  <r>
    <x v="4"/>
    <s v="Model S"/>
    <x v="3"/>
    <x v="2"/>
    <n v="120338.19"/>
    <n v="101.1"/>
    <n v="324"/>
    <n v="304.89999999999998"/>
    <n v="5.12"/>
    <n v="178"/>
    <n v="857"/>
    <n v="741"/>
    <s v="RWD"/>
    <n v="7"/>
    <x v="0"/>
    <n v="66.5"/>
    <n v="2561"/>
    <x v="0"/>
    <n v="2"/>
    <x v="2"/>
    <x v="0"/>
    <n v="236717"/>
    <n v="4.0599999999999996"/>
    <n v="5"/>
  </r>
  <r>
    <x v="4"/>
    <s v="Model Y"/>
    <x v="3"/>
    <x v="2"/>
    <n v="147345.82"/>
    <n v="89.5"/>
    <n v="311"/>
    <n v="235"/>
    <n v="4.4800000000000004"/>
    <n v="191"/>
    <n v="1000"/>
    <n v="893"/>
    <s v="AWD"/>
    <n v="5"/>
    <x v="2"/>
    <n v="72"/>
    <n v="1709"/>
    <x v="1"/>
    <n v="2"/>
    <x v="2"/>
    <x v="0"/>
    <n v="458246"/>
    <n v="3.66"/>
    <n v="5"/>
  </r>
  <r>
    <x v="11"/>
    <s v="e-tron GT"/>
    <x v="3"/>
    <x v="3"/>
    <n v="69716.210000000006"/>
    <n v="72.8"/>
    <n v="250"/>
    <n v="73.8"/>
    <n v="7.04"/>
    <n v="145"/>
    <n v="400"/>
    <n v="342"/>
    <s v="AWD"/>
    <n v="5"/>
    <x v="1"/>
    <n v="36.4"/>
    <n v="1869"/>
    <x v="1"/>
    <n v="1"/>
    <x v="0"/>
    <x v="2"/>
    <n v="21802"/>
    <n v="3.43"/>
    <n v="5"/>
  </r>
  <r>
    <x v="10"/>
    <s v="i7"/>
    <x v="3"/>
    <x v="1"/>
    <n v="88626.17"/>
    <n v="42.7"/>
    <n v="150"/>
    <n v="121"/>
    <n v="7.91"/>
    <n v="129"/>
    <n v="638"/>
    <n v="538"/>
    <s v="AWD"/>
    <n v="7"/>
    <x v="4"/>
    <n v="28.6"/>
    <n v="1728"/>
    <x v="0"/>
    <n v="1"/>
    <x v="0"/>
    <x v="2"/>
    <n v="40644"/>
    <n v="3.5"/>
    <n v="7"/>
  </r>
  <r>
    <x v="7"/>
    <s v="Max"/>
    <x v="1"/>
    <x v="4"/>
    <n v="68088.929999999993"/>
    <n v="51.8"/>
    <n v="170"/>
    <n v="149.80000000000001"/>
    <n v="5.24"/>
    <n v="173"/>
    <n v="757"/>
    <n v="731"/>
    <s v="AWD"/>
    <n v="5"/>
    <x v="3"/>
    <n v="30.7"/>
    <n v="1668"/>
    <x v="0"/>
    <n v="1"/>
    <x v="4"/>
    <x v="2"/>
    <n v="201225"/>
    <n v="3.25"/>
    <n v="5"/>
  </r>
  <r>
    <x v="9"/>
    <s v="E-Transit"/>
    <x v="2"/>
    <x v="1"/>
    <n v="97929.01"/>
    <n v="50.3"/>
    <n v="198"/>
    <n v="106.3"/>
    <n v="6.92"/>
    <n v="139"/>
    <n v="1000"/>
    <n v="928"/>
    <s v="RWD"/>
    <n v="7"/>
    <x v="1"/>
    <n v="50.1"/>
    <n v="2018"/>
    <x v="1"/>
    <n v="0"/>
    <x v="2"/>
    <x v="2"/>
    <n v="20102"/>
    <n v="3.3"/>
    <n v="5"/>
  </r>
  <r>
    <x v="5"/>
    <s v="EQE"/>
    <x v="1"/>
    <x v="2"/>
    <n v="118966.22"/>
    <n v="83.4"/>
    <n v="306"/>
    <n v="122.6"/>
    <n v="4.7300000000000004"/>
    <n v="187"/>
    <n v="634"/>
    <n v="605"/>
    <s v="RWD"/>
    <n v="5"/>
    <x v="3"/>
    <n v="38.1"/>
    <n v="1668"/>
    <x v="0"/>
    <n v="2"/>
    <x v="0"/>
    <x v="0"/>
    <n v="78467"/>
    <n v="3.86"/>
    <n v="8"/>
  </r>
  <r>
    <x v="5"/>
    <s v="GLE EV"/>
    <x v="4"/>
    <x v="0"/>
    <n v="167760.51"/>
    <n v="110.2"/>
    <n v="367"/>
    <n v="161"/>
    <n v="4.22"/>
    <n v="189"/>
    <n v="1000"/>
    <n v="912"/>
    <s v="RWD"/>
    <n v="7"/>
    <x v="3"/>
    <n v="38.9"/>
    <n v="1571"/>
    <x v="1"/>
    <n v="1"/>
    <x v="0"/>
    <x v="0"/>
    <n v="66576"/>
    <n v="3.8"/>
    <n v="8"/>
  </r>
  <r>
    <x v="13"/>
    <s v="R3"/>
    <x v="2"/>
    <x v="0"/>
    <n v="105996.52"/>
    <n v="77.2"/>
    <n v="274"/>
    <n v="218.4"/>
    <n v="3.13"/>
    <n v="196"/>
    <n v="1000"/>
    <n v="918"/>
    <s v="RWD"/>
    <n v="7"/>
    <x v="3"/>
    <n v="16.2"/>
    <n v="1630"/>
    <x v="1"/>
    <n v="0"/>
    <x v="2"/>
    <x v="0"/>
    <n v="1509"/>
    <n v="3.58"/>
    <n v="5"/>
  </r>
  <r>
    <x v="7"/>
    <s v="Max"/>
    <x v="0"/>
    <x v="2"/>
    <n v="94064.69"/>
    <n v="95.8"/>
    <n v="342"/>
    <n v="104"/>
    <n v="4.95"/>
    <n v="180"/>
    <n v="1000"/>
    <n v="918"/>
    <s v="AWD"/>
    <n v="5"/>
    <x v="3"/>
    <n v="37.9"/>
    <n v="1679"/>
    <x v="1"/>
    <n v="0"/>
    <x v="4"/>
    <x v="2"/>
    <n v="117049"/>
    <n v="3.64"/>
    <n v="5"/>
  </r>
  <r>
    <x v="2"/>
    <s v="Equinox EV"/>
    <x v="3"/>
    <x v="2"/>
    <n v="58372.94"/>
    <n v="95.2"/>
    <n v="341"/>
    <n v="119"/>
    <n v="5.77"/>
    <n v="159"/>
    <n v="790"/>
    <n v="762"/>
    <s v="FWD"/>
    <n v="5"/>
    <x v="1"/>
    <n v="61.6"/>
    <n v="2173"/>
    <x v="1"/>
    <n v="1"/>
    <x v="2"/>
    <x v="1"/>
    <n v="5246"/>
    <n v="3.78"/>
    <n v="5"/>
  </r>
  <r>
    <x v="8"/>
    <s v="Ioniq 5"/>
    <x v="3"/>
    <x v="1"/>
    <n v="64470.9"/>
    <n v="46.6"/>
    <n v="166"/>
    <n v="128.6"/>
    <n v="5.27"/>
    <n v="172"/>
    <n v="778"/>
    <n v="729"/>
    <s v="AWD"/>
    <n v="7"/>
    <x v="5"/>
    <n v="17.100000000000001"/>
    <n v="1574"/>
    <x v="0"/>
    <n v="0"/>
    <x v="3"/>
    <x v="1"/>
    <n v="90740"/>
    <n v="3.34"/>
    <n v="4"/>
  </r>
  <r>
    <x v="5"/>
    <s v="EQG"/>
    <x v="1"/>
    <x v="2"/>
    <n v="140186.97"/>
    <n v="89.7"/>
    <n v="340"/>
    <n v="103.8"/>
    <n v="5.28"/>
    <n v="162"/>
    <n v="842"/>
    <n v="758"/>
    <s v="FWD"/>
    <n v="5"/>
    <x v="3"/>
    <n v="24.7"/>
    <n v="1500"/>
    <x v="0"/>
    <n v="1"/>
    <x v="0"/>
    <x v="0"/>
    <n v="31832"/>
    <n v="4.04"/>
    <n v="8"/>
  </r>
  <r>
    <x v="2"/>
    <s v="Silverado EV"/>
    <x v="3"/>
    <x v="1"/>
    <n v="70759.08"/>
    <n v="83.3"/>
    <n v="278"/>
    <n v="111.1"/>
    <n v="6.63"/>
    <n v="157"/>
    <n v="1000"/>
    <n v="910"/>
    <s v="FWD"/>
    <n v="7"/>
    <x v="4"/>
    <n v="27.5"/>
    <n v="1500"/>
    <x v="0"/>
    <n v="0"/>
    <x v="2"/>
    <x v="2"/>
    <n v="11923"/>
    <n v="3.61"/>
    <n v="4"/>
  </r>
  <r>
    <x v="9"/>
    <s v="Explorer EV"/>
    <x v="3"/>
    <x v="4"/>
    <n v="57566.92"/>
    <n v="54.3"/>
    <n v="184"/>
    <n v="70.099999999999994"/>
    <n v="7.12"/>
    <n v="140"/>
    <n v="608"/>
    <n v="572"/>
    <s v="FWD"/>
    <n v="5"/>
    <x v="1"/>
    <n v="48.4"/>
    <n v="1896"/>
    <x v="0"/>
    <n v="2"/>
    <x v="2"/>
    <x v="1"/>
    <n v="64630"/>
    <n v="3.23"/>
    <n v="5"/>
  </r>
  <r>
    <x v="10"/>
    <s v="i5"/>
    <x v="5"/>
    <x v="2"/>
    <n v="125686.6"/>
    <n v="91.1"/>
    <n v="335"/>
    <n v="93"/>
    <n v="5.83"/>
    <n v="160"/>
    <n v="1000"/>
    <n v="891"/>
    <s v="AWD"/>
    <n v="5"/>
    <x v="0"/>
    <n v="65.5"/>
    <n v="2713"/>
    <x v="1"/>
    <n v="1"/>
    <x v="0"/>
    <x v="0"/>
    <n v="50691"/>
    <n v="3.66"/>
    <n v="6"/>
  </r>
  <r>
    <x v="4"/>
    <s v="Model S"/>
    <x v="2"/>
    <x v="0"/>
    <n v="64261.34"/>
    <n v="116.7"/>
    <n v="433"/>
    <n v="322.7"/>
    <n v="2.86"/>
    <n v="200"/>
    <n v="402"/>
    <n v="369"/>
    <s v="FWD"/>
    <n v="5"/>
    <x v="3"/>
    <n v="18.5"/>
    <n v="1894"/>
    <x v="2"/>
    <n v="2"/>
    <x v="2"/>
    <x v="1"/>
    <n v="145470"/>
    <n v="4.0999999999999996"/>
    <n v="5"/>
  </r>
  <r>
    <x v="3"/>
    <s v="Sportage EV"/>
    <x v="0"/>
    <x v="3"/>
    <n v="31014.43"/>
    <n v="43.7"/>
    <n v="167"/>
    <n v="135.5"/>
    <n v="6.68"/>
    <n v="149"/>
    <n v="200"/>
    <n v="200"/>
    <s v="AWD"/>
    <n v="5"/>
    <x v="1"/>
    <n v="45.5"/>
    <n v="2106"/>
    <x v="1"/>
    <n v="1"/>
    <x v="3"/>
    <x v="3"/>
    <n v="68930"/>
    <n v="3.05"/>
    <n v="4"/>
  </r>
  <r>
    <x v="19"/>
    <n v="3"/>
    <x v="2"/>
    <x v="4"/>
    <n v="116528.23"/>
    <n v="75.599999999999994"/>
    <n v="282"/>
    <n v="77.2"/>
    <n v="7.01"/>
    <n v="144"/>
    <n v="886"/>
    <n v="811"/>
    <s v="AWD"/>
    <n v="5"/>
    <x v="0"/>
    <n v="76.900000000000006"/>
    <n v="2331"/>
    <x v="0"/>
    <n v="1"/>
    <x v="5"/>
    <x v="0"/>
    <n v="14704"/>
    <n v="3.58"/>
    <n v="4"/>
  </r>
  <r>
    <x v="12"/>
    <s v="EL6"/>
    <x v="2"/>
    <x v="0"/>
    <n v="144156.68"/>
    <n v="92.7"/>
    <n v="331"/>
    <n v="163.80000000000001"/>
    <n v="2.82"/>
    <n v="200"/>
    <n v="1000"/>
    <n v="847"/>
    <s v="AWD"/>
    <n v="5"/>
    <x v="3"/>
    <n v="23.3"/>
    <n v="1500"/>
    <x v="1"/>
    <n v="0"/>
    <x v="4"/>
    <x v="0"/>
    <n v="28598"/>
    <n v="3.78"/>
    <n v="3"/>
  </r>
  <r>
    <x v="4"/>
    <s v="Model X"/>
    <x v="2"/>
    <x v="3"/>
    <n v="97305.17"/>
    <n v="40.9"/>
    <n v="150"/>
    <n v="341.6"/>
    <n v="6.29"/>
    <n v="158"/>
    <n v="732"/>
    <n v="658"/>
    <s v="FWD"/>
    <n v="7"/>
    <x v="2"/>
    <n v="77.3"/>
    <n v="1545"/>
    <x v="2"/>
    <n v="3"/>
    <x v="2"/>
    <x v="2"/>
    <n v="135420"/>
    <n v="3.42"/>
    <n v="5"/>
  </r>
  <r>
    <x v="4"/>
    <s v="Cybertruck"/>
    <x v="4"/>
    <x v="3"/>
    <n v="64613.56"/>
    <n v="49.8"/>
    <n v="175"/>
    <n v="218.9"/>
    <n v="7.79"/>
    <n v="130"/>
    <n v="429"/>
    <n v="370"/>
    <s v="RWD"/>
    <n v="5"/>
    <x v="0"/>
    <n v="57.4"/>
    <n v="2450"/>
    <x v="0"/>
    <n v="3"/>
    <x v="2"/>
    <x v="1"/>
    <n v="243316"/>
    <n v="3.49"/>
    <n v="5"/>
  </r>
  <r>
    <x v="4"/>
    <s v="Model Y"/>
    <x v="2"/>
    <x v="1"/>
    <n v="142240.31"/>
    <n v="46.3"/>
    <n v="166"/>
    <n v="245.7"/>
    <n v="5.49"/>
    <n v="152"/>
    <n v="1000"/>
    <n v="929"/>
    <s v="RWD"/>
    <n v="5"/>
    <x v="0"/>
    <n v="60.1"/>
    <n v="2813"/>
    <x v="1"/>
    <n v="2"/>
    <x v="2"/>
    <x v="0"/>
    <n v="461025"/>
    <n v="3.45"/>
    <n v="6"/>
  </r>
  <r>
    <x v="2"/>
    <s v="Blazer EV"/>
    <x v="0"/>
    <x v="4"/>
    <n v="45534.53"/>
    <n v="61.3"/>
    <n v="201"/>
    <n v="148.1"/>
    <n v="7.67"/>
    <n v="130"/>
    <n v="476"/>
    <n v="404"/>
    <s v="AWD"/>
    <n v="7"/>
    <x v="5"/>
    <n v="38.9"/>
    <n v="1500"/>
    <x v="1"/>
    <n v="2"/>
    <x v="2"/>
    <x v="1"/>
    <n v="7422"/>
    <n v="3.31"/>
    <n v="3"/>
  </r>
  <r>
    <x v="9"/>
    <s v="F-150 Lightning"/>
    <x v="2"/>
    <x v="2"/>
    <n v="88743.58"/>
    <n v="80.099999999999994"/>
    <n v="265"/>
    <n v="69.599999999999994"/>
    <n v="4.68"/>
    <n v="187"/>
    <n v="1000"/>
    <n v="902"/>
    <s v="FWD"/>
    <n v="2"/>
    <x v="0"/>
    <n v="78"/>
    <n v="2611"/>
    <x v="1"/>
    <n v="0"/>
    <x v="2"/>
    <x v="2"/>
    <n v="63330"/>
    <n v="3.64"/>
    <n v="4"/>
  </r>
  <r>
    <x v="7"/>
    <s v="Dolphin"/>
    <x v="4"/>
    <x v="4"/>
    <n v="36671.61"/>
    <n v="51.7"/>
    <n v="195"/>
    <n v="147.1"/>
    <n v="5.93"/>
    <n v="166"/>
    <n v="378"/>
    <n v="358"/>
    <s v="FWD"/>
    <n v="7"/>
    <x v="0"/>
    <n v="51.5"/>
    <n v="2585"/>
    <x v="0"/>
    <n v="1"/>
    <x v="4"/>
    <x v="1"/>
    <n v="112221"/>
    <n v="3.41"/>
    <n v="4"/>
  </r>
  <r>
    <x v="8"/>
    <s v="Ioniq 5"/>
    <x v="3"/>
    <x v="4"/>
    <n v="37110.33"/>
    <n v="75.5"/>
    <n v="266"/>
    <n v="79.400000000000006"/>
    <n v="7.93"/>
    <n v="130"/>
    <n v="269"/>
    <n v="275"/>
    <s v="AWD"/>
    <n v="7"/>
    <x v="3"/>
    <n v="31.6"/>
    <n v="1594"/>
    <x v="1"/>
    <n v="1"/>
    <x v="3"/>
    <x v="1"/>
    <n v="143597"/>
    <n v="3.54"/>
    <n v="4"/>
  </r>
  <r>
    <x v="5"/>
    <s v="EQE"/>
    <x v="3"/>
    <x v="0"/>
    <n v="103655.43"/>
    <n v="79.599999999999994"/>
    <n v="307"/>
    <n v="201.7"/>
    <n v="3.25"/>
    <n v="197"/>
    <n v="574"/>
    <n v="523"/>
    <s v="RWD"/>
    <n v="7"/>
    <x v="2"/>
    <n v="62.1"/>
    <n v="1865"/>
    <x v="0"/>
    <n v="2"/>
    <x v="0"/>
    <x v="0"/>
    <n v="54248"/>
    <n v="3.94"/>
    <n v="8"/>
  </r>
  <r>
    <x v="2"/>
    <s v="Blazer EV"/>
    <x v="2"/>
    <x v="0"/>
    <n v="41328.5"/>
    <n v="93.2"/>
    <n v="342"/>
    <n v="182.4"/>
    <n v="4.37"/>
    <n v="186"/>
    <n v="448"/>
    <n v="355"/>
    <s v="RWD"/>
    <n v="5"/>
    <x v="3"/>
    <n v="26.7"/>
    <n v="1818"/>
    <x v="1"/>
    <n v="2"/>
    <x v="2"/>
    <x v="1"/>
    <n v="18258"/>
    <n v="3.87"/>
    <n v="4"/>
  </r>
  <r>
    <x v="3"/>
    <s v="Picanto EV"/>
    <x v="3"/>
    <x v="3"/>
    <n v="28245.98"/>
    <n v="68.8"/>
    <n v="222"/>
    <n v="54.1"/>
    <n v="5.42"/>
    <n v="171"/>
    <n v="171"/>
    <n v="200"/>
    <s v="RWD"/>
    <n v="5"/>
    <x v="5"/>
    <n v="37.200000000000003"/>
    <n v="1730"/>
    <x v="0"/>
    <n v="0"/>
    <x v="3"/>
    <x v="3"/>
    <n v="75515"/>
    <n v="3.26"/>
    <n v="4"/>
  </r>
  <r>
    <x v="3"/>
    <s v="Niro EV"/>
    <x v="3"/>
    <x v="3"/>
    <n v="55056.42"/>
    <n v="81"/>
    <n v="274"/>
    <n v="99.8"/>
    <n v="6.27"/>
    <n v="160"/>
    <n v="541"/>
    <n v="502"/>
    <s v="RWD"/>
    <n v="7"/>
    <x v="4"/>
    <n v="20.3"/>
    <n v="1500"/>
    <x v="0"/>
    <n v="0"/>
    <x v="3"/>
    <x v="1"/>
    <n v="118841"/>
    <n v="3.38"/>
    <n v="3"/>
  </r>
  <r>
    <x v="8"/>
    <s v="Kona Electric"/>
    <x v="2"/>
    <x v="1"/>
    <n v="69523.19"/>
    <n v="77.900000000000006"/>
    <n v="274"/>
    <n v="115.1"/>
    <n v="6.78"/>
    <n v="145"/>
    <n v="852"/>
    <n v="751"/>
    <s v="RWD"/>
    <n v="7"/>
    <x v="3"/>
    <n v="18.399999999999999"/>
    <n v="1807"/>
    <x v="0"/>
    <n v="2"/>
    <x v="3"/>
    <x v="2"/>
    <n v="133082"/>
    <n v="3.52"/>
    <n v="4"/>
  </r>
  <r>
    <x v="7"/>
    <s v="Atto 3"/>
    <x v="2"/>
    <x v="2"/>
    <n v="25253.73"/>
    <n v="99.1"/>
    <n v="355"/>
    <n v="139.69999999999999"/>
    <n v="5.45"/>
    <n v="167"/>
    <n v="197"/>
    <n v="200"/>
    <s v="FWD"/>
    <n v="7"/>
    <x v="2"/>
    <n v="73.400000000000006"/>
    <n v="1891"/>
    <x v="0"/>
    <n v="0"/>
    <x v="4"/>
    <x v="3"/>
    <n v="158999"/>
    <n v="3.61"/>
    <n v="4"/>
  </r>
  <r>
    <x v="3"/>
    <s v="Sportage EV"/>
    <x v="1"/>
    <x v="2"/>
    <n v="89447.77"/>
    <n v="97.2"/>
    <n v="328"/>
    <n v="73.099999999999994"/>
    <n v="4.03"/>
    <n v="187"/>
    <n v="1000"/>
    <n v="921"/>
    <s v="FWD"/>
    <n v="5"/>
    <x v="1"/>
    <n v="69.599999999999994"/>
    <n v="2041"/>
    <x v="1"/>
    <n v="0"/>
    <x v="3"/>
    <x v="2"/>
    <n v="135902"/>
    <n v="3.67"/>
    <n v="4"/>
  </r>
  <r>
    <x v="10"/>
    <s v="iX"/>
    <x v="3"/>
    <x v="3"/>
    <n v="76098.899999999994"/>
    <n v="67.8"/>
    <n v="221"/>
    <n v="149.80000000000001"/>
    <n v="6.59"/>
    <n v="150"/>
    <n v="535"/>
    <n v="453"/>
    <s v="FWD"/>
    <n v="5"/>
    <x v="1"/>
    <n v="40.4"/>
    <n v="1969"/>
    <x v="1"/>
    <n v="1"/>
    <x v="0"/>
    <x v="2"/>
    <n v="36766"/>
    <n v="3.35"/>
    <n v="8"/>
  </r>
  <r>
    <x v="11"/>
    <s v="Q4 e-tron"/>
    <x v="2"/>
    <x v="3"/>
    <n v="103666.6"/>
    <n v="66.400000000000006"/>
    <n v="243"/>
    <n v="142.19999999999999"/>
    <n v="6.98"/>
    <n v="141"/>
    <n v="742"/>
    <n v="633"/>
    <s v="FWD"/>
    <n v="5"/>
    <x v="0"/>
    <n v="64.099999999999994"/>
    <n v="2348"/>
    <x v="0"/>
    <n v="2"/>
    <x v="0"/>
    <x v="0"/>
    <n v="59232"/>
    <n v="3.4"/>
    <n v="6"/>
  </r>
  <r>
    <x v="10"/>
    <s v="i4"/>
    <x v="2"/>
    <x v="4"/>
    <n v="86675.29"/>
    <n v="62.4"/>
    <n v="204"/>
    <n v="145.80000000000001"/>
    <n v="5.0999999999999996"/>
    <n v="172"/>
    <n v="640"/>
    <n v="578"/>
    <s v="FWD"/>
    <n v="5"/>
    <x v="0"/>
    <n v="67.2"/>
    <n v="2345"/>
    <x v="0"/>
    <n v="2"/>
    <x v="0"/>
    <x v="2"/>
    <n v="72572"/>
    <n v="3.35"/>
    <n v="8"/>
  </r>
  <r>
    <x v="2"/>
    <s v="Bolt EUV"/>
    <x v="4"/>
    <x v="4"/>
    <n v="64473.77"/>
    <n v="77.599999999999994"/>
    <n v="293"/>
    <n v="135.5"/>
    <n v="6.86"/>
    <n v="143"/>
    <n v="834"/>
    <n v="769"/>
    <s v="FWD"/>
    <n v="5"/>
    <x v="0"/>
    <n v="66"/>
    <n v="2241"/>
    <x v="0"/>
    <n v="0"/>
    <x v="2"/>
    <x v="1"/>
    <n v="9147"/>
    <n v="3.72"/>
    <n v="4"/>
  </r>
  <r>
    <x v="4"/>
    <s v="Cybertruck"/>
    <x v="3"/>
    <x v="3"/>
    <n v="55743.68"/>
    <n v="46.8"/>
    <n v="183"/>
    <n v="220.8"/>
    <n v="5.76"/>
    <n v="168"/>
    <n v="398"/>
    <n v="339"/>
    <s v="AWD"/>
    <n v="5"/>
    <x v="0"/>
    <n v="52.1"/>
    <n v="2748"/>
    <x v="0"/>
    <n v="2"/>
    <x v="2"/>
    <x v="1"/>
    <n v="237895"/>
    <n v="3.33"/>
    <n v="5"/>
  </r>
  <r>
    <x v="8"/>
    <s v="i30"/>
    <x v="3"/>
    <x v="0"/>
    <n v="72352.97"/>
    <n v="86.6"/>
    <n v="289"/>
    <n v="157.1"/>
    <n v="3.15"/>
    <n v="200"/>
    <n v="921"/>
    <n v="811"/>
    <s v="RWD"/>
    <n v="5"/>
    <x v="2"/>
    <n v="63.6"/>
    <n v="1868"/>
    <x v="2"/>
    <n v="0"/>
    <x v="3"/>
    <x v="2"/>
    <n v="107166"/>
    <n v="3.51"/>
    <n v="4"/>
  </r>
  <r>
    <x v="4"/>
    <s v="Model 3"/>
    <x v="2"/>
    <x v="0"/>
    <n v="92846.92"/>
    <n v="75.3"/>
    <n v="265"/>
    <n v="226.2"/>
    <n v="4.28"/>
    <n v="180"/>
    <n v="653"/>
    <n v="618"/>
    <s v="RWD"/>
    <n v="5"/>
    <x v="5"/>
    <n v="21.8"/>
    <n v="1500"/>
    <x v="2"/>
    <n v="2"/>
    <x v="2"/>
    <x v="2"/>
    <n v="187727"/>
    <n v="3.9"/>
    <n v="4"/>
  </r>
  <r>
    <x v="7"/>
    <s v="Dolphin"/>
    <x v="3"/>
    <x v="3"/>
    <n v="64952.61"/>
    <n v="79.2"/>
    <n v="299"/>
    <n v="135.5"/>
    <n v="7.42"/>
    <n v="144"/>
    <n v="769"/>
    <n v="669"/>
    <s v="AWD"/>
    <n v="7"/>
    <x v="4"/>
    <n v="35"/>
    <n v="1563"/>
    <x v="1"/>
    <n v="2"/>
    <x v="4"/>
    <x v="1"/>
    <n v="246706"/>
    <n v="3.79"/>
    <n v="4"/>
  </r>
  <r>
    <x v="2"/>
    <s v="Equinox EV"/>
    <x v="2"/>
    <x v="3"/>
    <n v="32869.42"/>
    <n v="73.8"/>
    <n v="276"/>
    <n v="87.4"/>
    <n v="5.87"/>
    <n v="157"/>
    <n v="282"/>
    <n v="288"/>
    <s v="FWD"/>
    <n v="5"/>
    <x v="1"/>
    <n v="40"/>
    <n v="2125"/>
    <x v="2"/>
    <n v="0"/>
    <x v="2"/>
    <x v="3"/>
    <n v="10258"/>
    <n v="3.6"/>
    <n v="4"/>
  </r>
  <r>
    <x v="15"/>
    <s v="C40 Recharge"/>
    <x v="1"/>
    <x v="3"/>
    <n v="46215.01"/>
    <n v="45.9"/>
    <n v="150"/>
    <n v="127.8"/>
    <n v="5.43"/>
    <n v="165"/>
    <n v="215"/>
    <n v="200"/>
    <s v="FWD"/>
    <n v="5"/>
    <x v="3"/>
    <n v="20.7"/>
    <n v="1790"/>
    <x v="1"/>
    <n v="1"/>
    <x v="5"/>
    <x v="1"/>
    <n v="17974"/>
    <n v="3.32"/>
    <n v="3"/>
  </r>
  <r>
    <x v="4"/>
    <s v="Model 3"/>
    <x v="3"/>
    <x v="1"/>
    <n v="109716.37"/>
    <n v="72.900000000000006"/>
    <n v="254"/>
    <n v="269"/>
    <n v="7.48"/>
    <n v="140"/>
    <n v="761"/>
    <n v="696"/>
    <s v="AWD"/>
    <n v="7"/>
    <x v="0"/>
    <n v="75.7"/>
    <n v="2588"/>
    <x v="1"/>
    <n v="2"/>
    <x v="2"/>
    <x v="0"/>
    <n v="176733"/>
    <n v="3.77"/>
    <n v="4"/>
  </r>
  <r>
    <x v="0"/>
    <s v="ID.4"/>
    <x v="1"/>
    <x v="2"/>
    <n v="82795.09"/>
    <n v="103.2"/>
    <n v="345"/>
    <n v="103.7"/>
    <n v="4.66"/>
    <n v="181"/>
    <n v="931"/>
    <n v="861"/>
    <s v="AWD"/>
    <n v="7"/>
    <x v="4"/>
    <n v="20.5"/>
    <n v="1581"/>
    <x v="0"/>
    <n v="0"/>
    <x v="0"/>
    <x v="2"/>
    <n v="263434"/>
    <n v="3.53"/>
    <n v="5"/>
  </r>
  <r>
    <x v="9"/>
    <s v="Mustang Mach-E"/>
    <x v="5"/>
    <x v="2"/>
    <n v="61924.92"/>
    <n v="108.2"/>
    <n v="354"/>
    <n v="77.3"/>
    <n v="5.13"/>
    <n v="168"/>
    <n v="651"/>
    <n v="587"/>
    <s v="FWD"/>
    <n v="7"/>
    <x v="2"/>
    <n v="68.3"/>
    <n v="1684"/>
    <x v="0"/>
    <n v="1"/>
    <x v="2"/>
    <x v="1"/>
    <n v="37462"/>
    <n v="3.75"/>
    <n v="5"/>
  </r>
  <r>
    <x v="7"/>
    <s v="Leaf 50X"/>
    <x v="3"/>
    <x v="2"/>
    <n v="51480.21"/>
    <n v="84.7"/>
    <n v="320"/>
    <n v="50.9"/>
    <n v="5.99"/>
    <n v="158"/>
    <n v="596"/>
    <n v="507"/>
    <s v="AWD"/>
    <n v="5"/>
    <x v="3"/>
    <n v="21.7"/>
    <n v="1730"/>
    <x v="1"/>
    <n v="0"/>
    <x v="4"/>
    <x v="1"/>
    <n v="132415"/>
    <n v="3.44"/>
    <n v="5"/>
  </r>
  <r>
    <x v="3"/>
    <s v="Sportage EV"/>
    <x v="5"/>
    <x v="4"/>
    <n v="75695.59"/>
    <n v="58.1"/>
    <n v="208"/>
    <n v="85.2"/>
    <n v="6.28"/>
    <n v="151"/>
    <n v="904"/>
    <n v="810"/>
    <s v="AWD"/>
    <n v="5"/>
    <x v="1"/>
    <n v="56.3"/>
    <n v="1910"/>
    <x v="0"/>
    <n v="2"/>
    <x v="3"/>
    <x v="2"/>
    <n v="99994"/>
    <n v="3.36"/>
    <n v="4"/>
  </r>
  <r>
    <x v="2"/>
    <s v="Blazer EV"/>
    <x v="0"/>
    <x v="3"/>
    <n v="30572.73"/>
    <n v="55.2"/>
    <n v="208"/>
    <n v="113.6"/>
    <n v="7.82"/>
    <n v="134"/>
    <n v="222"/>
    <n v="209"/>
    <s v="AWD"/>
    <n v="7"/>
    <x v="4"/>
    <n v="34.1"/>
    <n v="1561"/>
    <x v="0"/>
    <n v="0"/>
    <x v="2"/>
    <x v="3"/>
    <n v="13459"/>
    <n v="3.31"/>
    <n v="4"/>
  </r>
  <r>
    <x v="3"/>
    <s v="Sportage EV"/>
    <x v="4"/>
    <x v="0"/>
    <n v="92296.55"/>
    <n v="118.8"/>
    <n v="403"/>
    <n v="218.8"/>
    <n v="3.5"/>
    <n v="197"/>
    <n v="1000"/>
    <n v="906"/>
    <s v="RWD"/>
    <n v="5"/>
    <x v="1"/>
    <n v="49.7"/>
    <n v="2329"/>
    <x v="1"/>
    <n v="0"/>
    <x v="3"/>
    <x v="2"/>
    <n v="79309"/>
    <n v="3.97"/>
    <n v="4"/>
  </r>
  <r>
    <x v="4"/>
    <s v="Model S"/>
    <x v="0"/>
    <x v="3"/>
    <n v="41460.269999999997"/>
    <n v="53.8"/>
    <n v="191"/>
    <n v="277"/>
    <n v="6.4"/>
    <n v="155"/>
    <n v="277"/>
    <n v="278"/>
    <s v="RWD"/>
    <n v="5"/>
    <x v="2"/>
    <n v="78.400000000000006"/>
    <n v="1500"/>
    <x v="0"/>
    <n v="2"/>
    <x v="2"/>
    <x v="1"/>
    <n v="119951"/>
    <n v="3.56"/>
    <n v="4"/>
  </r>
  <r>
    <x v="0"/>
    <s v="ID.3"/>
    <x v="3"/>
    <x v="4"/>
    <n v="53934.12"/>
    <n v="54.5"/>
    <n v="187"/>
    <n v="68.5"/>
    <n v="6.33"/>
    <n v="143"/>
    <n v="534"/>
    <n v="464"/>
    <s v="FWD"/>
    <n v="7"/>
    <x v="5"/>
    <n v="33.700000000000003"/>
    <n v="1763"/>
    <x v="1"/>
    <n v="1"/>
    <x v="0"/>
    <x v="1"/>
    <n v="220093"/>
    <n v="3.36"/>
    <n v="3"/>
  </r>
  <r>
    <x v="9"/>
    <s v="Explorer EV"/>
    <x v="2"/>
    <x v="1"/>
    <n v="86809.78"/>
    <n v="64"/>
    <n v="201"/>
    <n v="144.5"/>
    <n v="7.58"/>
    <n v="126"/>
    <n v="1000"/>
    <n v="931"/>
    <s v="AWD"/>
    <n v="7"/>
    <x v="0"/>
    <n v="78.599999999999994"/>
    <n v="2676"/>
    <x v="0"/>
    <n v="2"/>
    <x v="2"/>
    <x v="2"/>
    <n v="40976"/>
    <n v="3"/>
    <n v="3"/>
  </r>
  <r>
    <x v="3"/>
    <s v="EV9"/>
    <x v="2"/>
    <x v="0"/>
    <n v="107669.85"/>
    <n v="101.4"/>
    <n v="345"/>
    <n v="247.6"/>
    <n v="2.61"/>
    <n v="200"/>
    <n v="1000"/>
    <n v="905"/>
    <s v="AWD"/>
    <n v="7"/>
    <x v="1"/>
    <n v="42.4"/>
    <n v="1870"/>
    <x v="1"/>
    <n v="0"/>
    <x v="3"/>
    <x v="0"/>
    <n v="128063"/>
    <n v="4.17"/>
    <n v="4"/>
  </r>
  <r>
    <x v="4"/>
    <s v="Cybertruck"/>
    <x v="3"/>
    <x v="1"/>
    <n v="113505.79"/>
    <n v="80.7"/>
    <n v="286"/>
    <n v="323.10000000000002"/>
    <n v="6.52"/>
    <n v="155"/>
    <n v="854"/>
    <n v="760"/>
    <s v="RWD"/>
    <n v="5"/>
    <x v="0"/>
    <n v="51.4"/>
    <n v="2737"/>
    <x v="0"/>
    <n v="3"/>
    <x v="2"/>
    <x v="0"/>
    <n v="162101"/>
    <n v="3.9"/>
    <n v="5"/>
  </r>
  <r>
    <x v="2"/>
    <s v="Bolt EV"/>
    <x v="2"/>
    <x v="4"/>
    <n v="37659.35"/>
    <n v="52.6"/>
    <n v="166"/>
    <n v="66.3"/>
    <n v="6.06"/>
    <n v="154"/>
    <n v="425"/>
    <n v="341"/>
    <s v="AWD"/>
    <n v="7"/>
    <x v="5"/>
    <n v="29.7"/>
    <n v="1500"/>
    <x v="1"/>
    <n v="0"/>
    <x v="2"/>
    <x v="1"/>
    <n v="14766"/>
    <n v="3.22"/>
    <n v="4"/>
  </r>
  <r>
    <x v="4"/>
    <s v="Cybertruck"/>
    <x v="3"/>
    <x v="2"/>
    <n v="118632.47"/>
    <n v="86.9"/>
    <n v="300"/>
    <n v="238.9"/>
    <n v="4.75"/>
    <n v="168"/>
    <n v="867"/>
    <n v="784"/>
    <s v="FWD"/>
    <n v="5"/>
    <x v="0"/>
    <n v="62.8"/>
    <n v="2731"/>
    <x v="1"/>
    <n v="2"/>
    <x v="2"/>
    <x v="0"/>
    <n v="209669"/>
    <n v="3.98"/>
    <n v="5"/>
  </r>
  <r>
    <x v="2"/>
    <s v="Bolt EUV"/>
    <x v="5"/>
    <x v="1"/>
    <n v="71451.17"/>
    <n v="77"/>
    <n v="267"/>
    <n v="102.3"/>
    <n v="7.57"/>
    <n v="130"/>
    <n v="979"/>
    <n v="856"/>
    <s v="AWD"/>
    <n v="7"/>
    <x v="2"/>
    <n v="71.5"/>
    <n v="1633"/>
    <x v="1"/>
    <n v="0"/>
    <x v="2"/>
    <x v="2"/>
    <n v="1367"/>
    <n v="3.49"/>
    <n v="3"/>
  </r>
  <r>
    <x v="4"/>
    <s v="Model S"/>
    <x v="3"/>
    <x v="3"/>
    <n v="66113.759999999995"/>
    <n v="42.6"/>
    <n v="168"/>
    <n v="261"/>
    <n v="7.33"/>
    <n v="137"/>
    <n v="469"/>
    <n v="481"/>
    <s v="RWD"/>
    <n v="7"/>
    <x v="5"/>
    <n v="34"/>
    <n v="1665"/>
    <x v="0"/>
    <n v="2"/>
    <x v="2"/>
    <x v="2"/>
    <n v="185813"/>
    <n v="3.27"/>
    <n v="5"/>
  </r>
  <r>
    <x v="1"/>
    <s v="bZ4X"/>
    <x v="1"/>
    <x v="1"/>
    <n v="46862.78"/>
    <n v="63.4"/>
    <n v="215"/>
    <n v="101.5"/>
    <n v="6.6"/>
    <n v="151"/>
    <n v="390"/>
    <n v="345"/>
    <s v="AWD"/>
    <n v="7"/>
    <x v="5"/>
    <n v="26.9"/>
    <n v="1614"/>
    <x v="1"/>
    <n v="0"/>
    <x v="1"/>
    <x v="1"/>
    <n v="1920"/>
    <n v="3.39"/>
    <n v="4"/>
  </r>
  <r>
    <x v="0"/>
    <s v="ID.3"/>
    <x v="0"/>
    <x v="0"/>
    <n v="70444.740000000005"/>
    <n v="90.5"/>
    <n v="338"/>
    <n v="176.8"/>
    <n v="4.38"/>
    <n v="185"/>
    <n v="775"/>
    <n v="702"/>
    <s v="FWD"/>
    <n v="7"/>
    <x v="0"/>
    <n v="67.099999999999994"/>
    <n v="2184"/>
    <x v="0"/>
    <n v="2"/>
    <x v="0"/>
    <x v="2"/>
    <n v="214221"/>
    <n v="3.69"/>
    <n v="4"/>
  </r>
  <r>
    <x v="7"/>
    <s v="Qin"/>
    <x v="1"/>
    <x v="2"/>
    <n v="77020.14"/>
    <n v="86.6"/>
    <n v="333"/>
    <n v="87.9"/>
    <n v="5.6"/>
    <n v="161"/>
    <n v="792"/>
    <n v="733"/>
    <s v="FWD"/>
    <n v="5"/>
    <x v="2"/>
    <n v="74.400000000000006"/>
    <n v="1500"/>
    <x v="1"/>
    <n v="1"/>
    <x v="4"/>
    <x v="2"/>
    <n v="167490"/>
    <n v="3.58"/>
    <n v="4"/>
  </r>
  <r>
    <x v="4"/>
    <s v="Model S"/>
    <x v="3"/>
    <x v="0"/>
    <n v="169177.37"/>
    <n v="89.9"/>
    <n v="303"/>
    <n v="309.60000000000002"/>
    <n v="3.53"/>
    <n v="200"/>
    <n v="1000"/>
    <n v="898"/>
    <s v="RWD"/>
    <n v="7"/>
    <x v="1"/>
    <n v="66.8"/>
    <n v="2131"/>
    <x v="0"/>
    <n v="3"/>
    <x v="2"/>
    <x v="0"/>
    <n v="130032"/>
    <n v="3.68"/>
    <n v="6"/>
  </r>
  <r>
    <x v="7"/>
    <s v="Atto 3"/>
    <x v="3"/>
    <x v="3"/>
    <n v="39603.870000000003"/>
    <n v="75.099999999999994"/>
    <n v="266"/>
    <n v="100.7"/>
    <n v="5.93"/>
    <n v="158"/>
    <n v="525"/>
    <n v="432"/>
    <s v="AWD"/>
    <n v="5"/>
    <x v="2"/>
    <n v="76.7"/>
    <n v="1754"/>
    <x v="1"/>
    <n v="0"/>
    <x v="4"/>
    <x v="1"/>
    <n v="195375"/>
    <n v="3.46"/>
    <n v="4"/>
  </r>
  <r>
    <x v="11"/>
    <s v="Q4 e-tron"/>
    <x v="0"/>
    <x v="3"/>
    <n v="48523.32"/>
    <n v="82.6"/>
    <n v="283"/>
    <n v="91.7"/>
    <n v="7.19"/>
    <n v="137"/>
    <n v="157"/>
    <n v="200"/>
    <s v="AWD"/>
    <n v="5"/>
    <x v="1"/>
    <n v="55.9"/>
    <n v="2208"/>
    <x v="1"/>
    <n v="2"/>
    <x v="0"/>
    <x v="1"/>
    <n v="57366"/>
    <n v="3.57"/>
    <n v="6"/>
  </r>
  <r>
    <x v="18"/>
    <s v="SU7"/>
    <x v="4"/>
    <x v="2"/>
    <n v="49221.78"/>
    <n v="80.400000000000006"/>
    <n v="266"/>
    <n v="104.9"/>
    <n v="4.6500000000000004"/>
    <n v="176"/>
    <n v="353"/>
    <n v="314"/>
    <s v="AWD"/>
    <n v="5"/>
    <x v="3"/>
    <n v="28.7"/>
    <n v="1717"/>
    <x v="1"/>
    <n v="2"/>
    <x v="4"/>
    <x v="1"/>
    <n v="23659"/>
    <n v="3.6"/>
    <n v="3"/>
  </r>
  <r>
    <x v="0"/>
    <s v="ID.3"/>
    <x v="0"/>
    <x v="1"/>
    <n v="57817.4"/>
    <n v="40.4"/>
    <n v="167"/>
    <n v="88.6"/>
    <n v="5.78"/>
    <n v="156"/>
    <n v="536"/>
    <n v="511"/>
    <s v="AWD"/>
    <n v="5"/>
    <x v="0"/>
    <n v="70.7"/>
    <n v="2281"/>
    <x v="1"/>
    <n v="1"/>
    <x v="0"/>
    <x v="1"/>
    <n v="227778"/>
    <n v="3.41"/>
    <n v="3"/>
  </r>
  <r>
    <x v="0"/>
    <s v="ID. Buzz"/>
    <x v="6"/>
    <x v="4"/>
    <n v="72240.69"/>
    <n v="59.6"/>
    <n v="178"/>
    <n v="99.9"/>
    <n v="6.94"/>
    <n v="143"/>
    <n v="750"/>
    <n v="689"/>
    <s v="FWD"/>
    <n v="5"/>
    <x v="5"/>
    <n v="34.799999999999997"/>
    <n v="1734"/>
    <x v="0"/>
    <n v="1"/>
    <x v="0"/>
    <x v="2"/>
    <n v="255858"/>
    <n v="3.29"/>
    <n v="3"/>
  </r>
  <r>
    <x v="2"/>
    <s v="Equinox EV"/>
    <x v="1"/>
    <x v="1"/>
    <n v="82968.06"/>
    <n v="75.400000000000006"/>
    <n v="253"/>
    <n v="145.5"/>
    <n v="5.92"/>
    <n v="163"/>
    <n v="1000"/>
    <n v="913"/>
    <s v="AWD"/>
    <n v="7"/>
    <x v="1"/>
    <n v="36.1"/>
    <n v="2053"/>
    <x v="0"/>
    <n v="0"/>
    <x v="2"/>
    <x v="2"/>
    <n v="7825"/>
    <n v="3.4"/>
    <n v="4"/>
  </r>
  <r>
    <x v="11"/>
    <s v="e-tron"/>
    <x v="0"/>
    <x v="2"/>
    <n v="82135.990000000005"/>
    <n v="78.3"/>
    <n v="272"/>
    <n v="70.7"/>
    <n v="4.67"/>
    <n v="170"/>
    <n v="456"/>
    <n v="415"/>
    <s v="AWD"/>
    <n v="5"/>
    <x v="5"/>
    <n v="35.799999999999997"/>
    <n v="1600"/>
    <x v="0"/>
    <n v="1"/>
    <x v="0"/>
    <x v="2"/>
    <n v="56851"/>
    <n v="3.65"/>
    <n v="6"/>
  </r>
  <r>
    <x v="3"/>
    <s v="EV9"/>
    <x v="6"/>
    <x v="3"/>
    <n v="33055.17"/>
    <n v="58.2"/>
    <n v="200"/>
    <n v="83.2"/>
    <n v="6.11"/>
    <n v="158"/>
    <n v="176"/>
    <n v="200"/>
    <s v="AWD"/>
    <n v="7"/>
    <x v="1"/>
    <n v="55.5"/>
    <n v="2035"/>
    <x v="0"/>
    <n v="0"/>
    <x v="3"/>
    <x v="3"/>
    <n v="139463"/>
    <n v="3.31"/>
    <n v="3"/>
  </r>
  <r>
    <x v="0"/>
    <s v="ID.4"/>
    <x v="1"/>
    <x v="0"/>
    <n v="97372.99"/>
    <n v="74.099999999999994"/>
    <n v="240"/>
    <n v="226"/>
    <n v="2.5"/>
    <n v="200"/>
    <n v="1000"/>
    <n v="878"/>
    <s v="AWD"/>
    <n v="5"/>
    <x v="5"/>
    <n v="26"/>
    <n v="1616"/>
    <x v="0"/>
    <n v="0"/>
    <x v="0"/>
    <x v="2"/>
    <n v="246097"/>
    <n v="3.31"/>
    <n v="4"/>
  </r>
  <r>
    <x v="0"/>
    <s v="ID.3"/>
    <x v="2"/>
    <x v="2"/>
    <n v="62606.34"/>
    <n v="101.2"/>
    <n v="370"/>
    <n v="104.7"/>
    <n v="4.37"/>
    <n v="186"/>
    <n v="640"/>
    <n v="593"/>
    <s v="RWD"/>
    <n v="5"/>
    <x v="4"/>
    <n v="27.3"/>
    <n v="1892"/>
    <x v="0"/>
    <n v="0"/>
    <x v="0"/>
    <x v="1"/>
    <n v="233529"/>
    <n v="3.84"/>
    <n v="3"/>
  </r>
  <r>
    <x v="2"/>
    <s v="Silverado EV"/>
    <x v="2"/>
    <x v="1"/>
    <n v="80871.59"/>
    <n v="62.6"/>
    <n v="196"/>
    <n v="135.19999999999999"/>
    <n v="5.27"/>
    <n v="170"/>
    <n v="1000"/>
    <n v="911"/>
    <s v="AWD"/>
    <n v="5"/>
    <x v="3"/>
    <n v="15.1"/>
    <n v="1778"/>
    <x v="2"/>
    <n v="1"/>
    <x v="2"/>
    <x v="2"/>
    <n v="24840"/>
    <n v="3.52"/>
    <n v="3"/>
  </r>
  <r>
    <x v="4"/>
    <s v="Model 3"/>
    <x v="3"/>
    <x v="4"/>
    <n v="27829.58"/>
    <n v="72.900000000000006"/>
    <n v="249"/>
    <n v="215.3"/>
    <n v="5.62"/>
    <n v="177"/>
    <n v="169"/>
    <n v="200"/>
    <s v="RWD"/>
    <n v="7"/>
    <x v="2"/>
    <n v="65.900000000000006"/>
    <n v="1500"/>
    <x v="0"/>
    <n v="2"/>
    <x v="2"/>
    <x v="3"/>
    <n v="110913"/>
    <n v="3.78"/>
    <n v="6"/>
  </r>
  <r>
    <x v="10"/>
    <s v="i3"/>
    <x v="3"/>
    <x v="4"/>
    <n v="104401.84"/>
    <n v="73.3"/>
    <n v="250"/>
    <n v="133.4"/>
    <n v="5.28"/>
    <n v="178"/>
    <n v="879"/>
    <n v="791"/>
    <s v="RWD"/>
    <n v="5"/>
    <x v="4"/>
    <n v="38.9"/>
    <n v="1612"/>
    <x v="1"/>
    <n v="1"/>
    <x v="0"/>
    <x v="0"/>
    <n v="64517"/>
    <n v="3.56"/>
    <n v="5"/>
  </r>
  <r>
    <x v="0"/>
    <s v="ID.3"/>
    <x v="5"/>
    <x v="0"/>
    <n v="77434.92"/>
    <n v="112.5"/>
    <n v="381"/>
    <n v="202"/>
    <n v="3.97"/>
    <n v="195"/>
    <n v="813"/>
    <n v="732"/>
    <s v="RWD"/>
    <n v="5"/>
    <x v="5"/>
    <n v="33.6"/>
    <n v="1972"/>
    <x v="1"/>
    <n v="1"/>
    <x v="0"/>
    <x v="2"/>
    <n v="250773"/>
    <n v="3.82"/>
    <n v="3"/>
  </r>
  <r>
    <x v="9"/>
    <s v="F-150 Lightning"/>
    <x v="3"/>
    <x v="0"/>
    <n v="55789.82"/>
    <n v="103.1"/>
    <n v="355"/>
    <n v="158"/>
    <n v="2.5499999999999998"/>
    <n v="200"/>
    <n v="526"/>
    <n v="443"/>
    <s v="AWD"/>
    <n v="2"/>
    <x v="0"/>
    <n v="57.8"/>
    <n v="2494"/>
    <x v="2"/>
    <n v="0"/>
    <x v="2"/>
    <x v="1"/>
    <n v="58686"/>
    <n v="4"/>
    <n v="4"/>
  </r>
  <r>
    <x v="4"/>
    <s v="Model Y"/>
    <x v="5"/>
    <x v="2"/>
    <n v="43501.07"/>
    <n v="92.1"/>
    <n v="328"/>
    <n v="316"/>
    <n v="4.82"/>
    <n v="177"/>
    <n v="282"/>
    <n v="240"/>
    <s v="FWD"/>
    <n v="7"/>
    <x v="3"/>
    <n v="28.1"/>
    <n v="1575"/>
    <x v="0"/>
    <n v="2"/>
    <x v="2"/>
    <x v="1"/>
    <n v="417203"/>
    <n v="3.88"/>
    <n v="6"/>
  </r>
  <r>
    <x v="3"/>
    <s v="EV9"/>
    <x v="2"/>
    <x v="1"/>
    <n v="73063.27"/>
    <n v="55.1"/>
    <n v="176"/>
    <n v="114.3"/>
    <n v="7.87"/>
    <n v="137"/>
    <n v="826"/>
    <n v="792"/>
    <s v="RWD"/>
    <n v="7"/>
    <x v="1"/>
    <n v="46.4"/>
    <n v="1899"/>
    <x v="1"/>
    <n v="0"/>
    <x v="3"/>
    <x v="2"/>
    <n v="143775"/>
    <n v="3.53"/>
    <n v="4"/>
  </r>
  <r>
    <x v="8"/>
    <s v="Ioniq 5"/>
    <x v="1"/>
    <x v="4"/>
    <n v="34455.089999999997"/>
    <n v="43.1"/>
    <n v="150"/>
    <n v="86.2"/>
    <n v="5.04"/>
    <n v="165"/>
    <n v="227"/>
    <n v="212"/>
    <s v="AWD"/>
    <n v="5"/>
    <x v="2"/>
    <n v="72"/>
    <n v="1606"/>
    <x v="1"/>
    <n v="1"/>
    <x v="3"/>
    <x v="3"/>
    <n v="120724"/>
    <n v="3.13"/>
    <n v="5"/>
  </r>
  <r>
    <x v="10"/>
    <s v="i3"/>
    <x v="2"/>
    <x v="0"/>
    <n v="123235.74"/>
    <n v="117.3"/>
    <n v="428"/>
    <n v="187.9"/>
    <n v="3.59"/>
    <n v="186"/>
    <n v="1000"/>
    <n v="922"/>
    <s v="AWD"/>
    <n v="7"/>
    <x v="0"/>
    <n v="54"/>
    <n v="2571"/>
    <x v="1"/>
    <n v="1"/>
    <x v="0"/>
    <x v="0"/>
    <n v="49531"/>
    <n v="3.97"/>
    <n v="6"/>
  </r>
  <r>
    <x v="4"/>
    <s v="Cybertruck"/>
    <x v="2"/>
    <x v="1"/>
    <n v="117988.5"/>
    <n v="65.2"/>
    <n v="250"/>
    <n v="315.7"/>
    <n v="5.38"/>
    <n v="160"/>
    <n v="846"/>
    <n v="761"/>
    <s v="FWD"/>
    <n v="5"/>
    <x v="0"/>
    <n v="57.5"/>
    <n v="2492"/>
    <x v="0"/>
    <n v="2"/>
    <x v="2"/>
    <x v="0"/>
    <n v="117423"/>
    <n v="3.81"/>
    <n v="5"/>
  </r>
  <r>
    <x v="3"/>
    <s v="Niro EV"/>
    <x v="2"/>
    <x v="4"/>
    <n v="39013.49"/>
    <n v="67.3"/>
    <n v="235"/>
    <n v="97.3"/>
    <n v="5.22"/>
    <n v="171"/>
    <n v="263"/>
    <n v="250"/>
    <s v="RWD"/>
    <n v="7"/>
    <x v="2"/>
    <n v="60.9"/>
    <n v="1500"/>
    <x v="0"/>
    <n v="1"/>
    <x v="3"/>
    <x v="1"/>
    <n v="124150"/>
    <n v="3.57"/>
    <n v="4"/>
  </r>
  <r>
    <x v="3"/>
    <s v="Picanto EV"/>
    <x v="2"/>
    <x v="2"/>
    <n v="50328.06"/>
    <n v="106.7"/>
    <n v="389"/>
    <n v="137.5"/>
    <n v="5.25"/>
    <n v="165"/>
    <n v="491"/>
    <n v="455"/>
    <s v="RWD"/>
    <n v="5"/>
    <x v="3"/>
    <n v="22.9"/>
    <n v="1655"/>
    <x v="0"/>
    <n v="0"/>
    <x v="3"/>
    <x v="1"/>
    <n v="79174"/>
    <n v="3.94"/>
    <n v="3"/>
  </r>
  <r>
    <x v="3"/>
    <s v="Picanto EV"/>
    <x v="3"/>
    <x v="3"/>
    <n v="48934.98"/>
    <n v="67"/>
    <n v="228"/>
    <n v="121.3"/>
    <n v="6.09"/>
    <n v="154"/>
    <n v="439"/>
    <n v="379"/>
    <s v="FWD"/>
    <n v="7"/>
    <x v="4"/>
    <n v="17.899999999999999"/>
    <n v="1500"/>
    <x v="1"/>
    <n v="1"/>
    <x v="3"/>
    <x v="1"/>
    <n v="106640"/>
    <n v="3.38"/>
    <n v="4"/>
  </r>
  <r>
    <x v="3"/>
    <s v="Sportage EV"/>
    <x v="3"/>
    <x v="1"/>
    <n v="89200.56"/>
    <n v="62.2"/>
    <n v="211"/>
    <n v="64.2"/>
    <n v="6.77"/>
    <n v="149"/>
    <n v="1000"/>
    <n v="893"/>
    <s v="AWD"/>
    <n v="7"/>
    <x v="1"/>
    <n v="37.1"/>
    <n v="2168"/>
    <x v="0"/>
    <n v="1"/>
    <x v="3"/>
    <x v="2"/>
    <n v="55676"/>
    <n v="3"/>
    <n v="5"/>
  </r>
  <r>
    <x v="10"/>
    <s v="iX"/>
    <x v="3"/>
    <x v="2"/>
    <n v="133417.07"/>
    <n v="99.6"/>
    <n v="348"/>
    <n v="95.3"/>
    <n v="5.0599999999999996"/>
    <n v="178"/>
    <n v="1000"/>
    <n v="946"/>
    <s v="RWD"/>
    <n v="7"/>
    <x v="2"/>
    <n v="73.3"/>
    <n v="1852"/>
    <x v="0"/>
    <n v="1"/>
    <x v="0"/>
    <x v="0"/>
    <n v="53580"/>
    <n v="3.85"/>
    <n v="8"/>
  </r>
  <r>
    <x v="9"/>
    <s v="Explorer EV"/>
    <x v="3"/>
    <x v="0"/>
    <n v="63490.76"/>
    <n v="108"/>
    <n v="370"/>
    <n v="240.1"/>
    <n v="3.78"/>
    <n v="196"/>
    <n v="712"/>
    <n v="688"/>
    <s v="RWD"/>
    <n v="5"/>
    <x v="5"/>
    <n v="32.299999999999997"/>
    <n v="1500"/>
    <x v="0"/>
    <n v="0"/>
    <x v="2"/>
    <x v="1"/>
    <n v="37708"/>
    <n v="3.81"/>
    <n v="4"/>
  </r>
  <r>
    <x v="7"/>
    <s v="Leaf 50X"/>
    <x v="3"/>
    <x v="1"/>
    <n v="109495.59"/>
    <n v="62.3"/>
    <n v="209"/>
    <n v="109.9"/>
    <n v="6.81"/>
    <n v="147"/>
    <n v="1000"/>
    <n v="906"/>
    <s v="RWD"/>
    <n v="7"/>
    <x v="3"/>
    <n v="29.5"/>
    <n v="1641"/>
    <x v="0"/>
    <n v="0"/>
    <x v="4"/>
    <x v="0"/>
    <n v="180168"/>
    <n v="3.53"/>
    <n v="4"/>
  </r>
  <r>
    <x v="5"/>
    <s v="EQE"/>
    <x v="0"/>
    <x v="4"/>
    <n v="112177.54"/>
    <n v="67.5"/>
    <n v="236"/>
    <n v="115.6"/>
    <n v="7.88"/>
    <n v="128"/>
    <n v="598"/>
    <n v="509"/>
    <s v="RWD"/>
    <n v="7"/>
    <x v="2"/>
    <n v="76.5"/>
    <n v="1500"/>
    <x v="0"/>
    <n v="1"/>
    <x v="0"/>
    <x v="0"/>
    <n v="38676"/>
    <n v="3.75"/>
    <n v="6"/>
  </r>
  <r>
    <x v="8"/>
    <s v="Ioniq 6"/>
    <x v="1"/>
    <x v="1"/>
    <n v="45588.01"/>
    <n v="53.8"/>
    <n v="175"/>
    <n v="86.1"/>
    <n v="5.73"/>
    <n v="159"/>
    <n v="446"/>
    <n v="421"/>
    <s v="AWD"/>
    <n v="5"/>
    <x v="0"/>
    <n v="75.2"/>
    <n v="2462"/>
    <x v="0"/>
    <n v="1"/>
    <x v="3"/>
    <x v="1"/>
    <n v="103603"/>
    <n v="3.49"/>
    <n v="4"/>
  </r>
  <r>
    <x v="4"/>
    <s v="Model Y"/>
    <x v="1"/>
    <x v="2"/>
    <n v="79776.37"/>
    <n v="94.5"/>
    <n v="332"/>
    <n v="311.39999999999998"/>
    <n v="5.72"/>
    <n v="163"/>
    <n v="586"/>
    <n v="542"/>
    <s v="FWD"/>
    <n v="5"/>
    <x v="0"/>
    <n v="51.9"/>
    <n v="2482"/>
    <x v="2"/>
    <n v="2"/>
    <x v="2"/>
    <x v="2"/>
    <n v="488350"/>
    <n v="4"/>
    <n v="4"/>
  </r>
  <r>
    <x v="4"/>
    <s v="Model X"/>
    <x v="2"/>
    <x v="0"/>
    <n v="138879.13"/>
    <n v="102.3"/>
    <n v="358"/>
    <n v="284.2"/>
    <n v="3.61"/>
    <n v="197"/>
    <n v="1000"/>
    <n v="899"/>
    <s v="AWD"/>
    <n v="5"/>
    <x v="5"/>
    <n v="29.3"/>
    <n v="1500"/>
    <x v="0"/>
    <n v="2"/>
    <x v="2"/>
    <x v="0"/>
    <n v="187901"/>
    <n v="4.2300000000000004"/>
    <n v="5"/>
  </r>
  <r>
    <x v="7"/>
    <s v="Qin"/>
    <x v="4"/>
    <x v="1"/>
    <n v="78313.97"/>
    <n v="76.099999999999994"/>
    <n v="270"/>
    <n v="72.099999999999994"/>
    <n v="7.6"/>
    <n v="135"/>
    <n v="953"/>
    <n v="926"/>
    <s v="AWD"/>
    <n v="5"/>
    <x v="5"/>
    <n v="25.7"/>
    <n v="1856"/>
    <x v="0"/>
    <n v="0"/>
    <x v="4"/>
    <x v="2"/>
    <n v="235914"/>
    <n v="3.5"/>
    <n v="4"/>
  </r>
  <r>
    <x v="9"/>
    <s v="E-Transit"/>
    <x v="2"/>
    <x v="4"/>
    <n v="81564.12"/>
    <n v="82.3"/>
    <n v="294"/>
    <n v="77.8"/>
    <n v="6.96"/>
    <n v="151"/>
    <n v="942"/>
    <n v="877"/>
    <s v="AWD"/>
    <n v="5"/>
    <x v="2"/>
    <n v="70"/>
    <n v="1521"/>
    <x v="1"/>
    <n v="0"/>
    <x v="2"/>
    <x v="2"/>
    <n v="70445"/>
    <n v="3.48"/>
    <n v="3"/>
  </r>
  <r>
    <x v="2"/>
    <s v="Silverado EV"/>
    <x v="3"/>
    <x v="3"/>
    <n v="62818"/>
    <n v="73.599999999999994"/>
    <n v="282"/>
    <n v="143.30000000000001"/>
    <n v="6.75"/>
    <n v="140"/>
    <n v="828"/>
    <n v="701"/>
    <s v="RWD"/>
    <n v="7"/>
    <x v="3"/>
    <n v="22.9"/>
    <n v="1500"/>
    <x v="1"/>
    <n v="0"/>
    <x v="2"/>
    <x v="1"/>
    <n v="4921"/>
    <n v="3.66"/>
    <n v="4"/>
  </r>
  <r>
    <x v="9"/>
    <s v="Explorer EV"/>
    <x v="5"/>
    <x v="1"/>
    <n v="99667.98"/>
    <n v="62.4"/>
    <n v="220"/>
    <n v="125.5"/>
    <n v="5.05"/>
    <n v="163"/>
    <n v="1000"/>
    <n v="983"/>
    <s v="RWD"/>
    <n v="5"/>
    <x v="5"/>
    <n v="24.7"/>
    <n v="1528"/>
    <x v="1"/>
    <n v="0"/>
    <x v="2"/>
    <x v="2"/>
    <n v="21835"/>
    <n v="3.4"/>
    <n v="3"/>
  </r>
  <r>
    <x v="8"/>
    <s v="i30"/>
    <x v="0"/>
    <x v="4"/>
    <n v="33062.26"/>
    <n v="78.5"/>
    <n v="266"/>
    <n v="67.8"/>
    <n v="7.78"/>
    <n v="128"/>
    <n v="260"/>
    <n v="262"/>
    <s v="AWD"/>
    <n v="5"/>
    <x v="2"/>
    <n v="72.599999999999994"/>
    <n v="1627"/>
    <x v="1"/>
    <n v="0"/>
    <x v="3"/>
    <x v="3"/>
    <n v="88310"/>
    <n v="3.39"/>
    <n v="4"/>
  </r>
  <r>
    <x v="0"/>
    <s v="ID.3"/>
    <x v="3"/>
    <x v="0"/>
    <n v="46781.599999999999"/>
    <n v="118.1"/>
    <n v="405"/>
    <n v="195.5"/>
    <n v="2.63"/>
    <n v="200"/>
    <n v="384"/>
    <n v="393"/>
    <s v="RWD"/>
    <n v="5"/>
    <x v="0"/>
    <n v="54.2"/>
    <n v="2545"/>
    <x v="1"/>
    <n v="2"/>
    <x v="0"/>
    <x v="1"/>
    <n v="268903"/>
    <n v="3.86"/>
    <n v="5"/>
  </r>
  <r>
    <x v="4"/>
    <s v="Model S"/>
    <x v="1"/>
    <x v="4"/>
    <n v="127540.88"/>
    <n v="49.1"/>
    <n v="186"/>
    <n v="349.5"/>
    <n v="5.72"/>
    <n v="163"/>
    <n v="905"/>
    <n v="847"/>
    <s v="RWD"/>
    <n v="5"/>
    <x v="4"/>
    <n v="33.299999999999997"/>
    <n v="1500"/>
    <x v="2"/>
    <n v="2"/>
    <x v="2"/>
    <x v="0"/>
    <n v="136670"/>
    <n v="3.54"/>
    <n v="5"/>
  </r>
  <r>
    <x v="7"/>
    <s v="Seagull"/>
    <x v="2"/>
    <x v="4"/>
    <n v="53792.67"/>
    <n v="73.2"/>
    <n v="287"/>
    <n v="103.2"/>
    <n v="7.36"/>
    <n v="136"/>
    <n v="515"/>
    <n v="469"/>
    <s v="RWD"/>
    <n v="5"/>
    <x v="1"/>
    <n v="58.7"/>
    <n v="1740"/>
    <x v="0"/>
    <n v="0"/>
    <x v="4"/>
    <x v="1"/>
    <n v="246202"/>
    <n v="3.6"/>
    <n v="5"/>
  </r>
  <r>
    <x v="0"/>
    <s v="ID. Buzz"/>
    <x v="0"/>
    <x v="0"/>
    <n v="110994.9"/>
    <n v="76.8"/>
    <n v="250"/>
    <n v="178.2"/>
    <n v="3.16"/>
    <n v="198"/>
    <n v="1000"/>
    <n v="854"/>
    <s v="RWD"/>
    <n v="5"/>
    <x v="1"/>
    <n v="64.599999999999994"/>
    <n v="2041"/>
    <x v="1"/>
    <n v="2"/>
    <x v="0"/>
    <x v="0"/>
    <n v="225518"/>
    <n v="3.24"/>
    <n v="4"/>
  </r>
  <r>
    <x v="4"/>
    <s v="Model X"/>
    <x v="1"/>
    <x v="2"/>
    <n v="85291.7"/>
    <n v="102.2"/>
    <n v="332"/>
    <n v="213.5"/>
    <n v="4.09"/>
    <n v="184"/>
    <n v="551"/>
    <n v="472"/>
    <s v="FWD"/>
    <n v="7"/>
    <x v="2"/>
    <n v="72.400000000000006"/>
    <n v="1585"/>
    <x v="1"/>
    <n v="3"/>
    <x v="2"/>
    <x v="2"/>
    <n v="146415"/>
    <n v="3.95"/>
    <n v="4"/>
  </r>
  <r>
    <x v="7"/>
    <s v="Seagull"/>
    <x v="2"/>
    <x v="4"/>
    <n v="83643.929999999993"/>
    <n v="76.5"/>
    <n v="285"/>
    <n v="54.8"/>
    <n v="6.71"/>
    <n v="154"/>
    <n v="928"/>
    <n v="833"/>
    <s v="FWD"/>
    <n v="5"/>
    <x v="2"/>
    <n v="62.2"/>
    <n v="1686"/>
    <x v="1"/>
    <n v="0"/>
    <x v="4"/>
    <x v="2"/>
    <n v="218991"/>
    <n v="3.84"/>
    <n v="4"/>
  </r>
  <r>
    <x v="3"/>
    <s v="EV6"/>
    <x v="3"/>
    <x v="0"/>
    <n v="117355.84"/>
    <n v="92.1"/>
    <n v="333"/>
    <n v="226.6"/>
    <n v="4.5"/>
    <n v="191"/>
    <n v="1000"/>
    <n v="877"/>
    <s v="AWD"/>
    <n v="5"/>
    <x v="4"/>
    <n v="17.899999999999999"/>
    <n v="1599"/>
    <x v="0"/>
    <n v="2"/>
    <x v="3"/>
    <x v="0"/>
    <n v="136386"/>
    <n v="3.73"/>
    <n v="4"/>
  </r>
  <r>
    <x v="2"/>
    <s v="Silverado EV"/>
    <x v="0"/>
    <x v="0"/>
    <n v="95648.05"/>
    <n v="112.2"/>
    <n v="409"/>
    <n v="226.3"/>
    <n v="2.96"/>
    <n v="200"/>
    <n v="1000"/>
    <n v="920"/>
    <s v="RWD"/>
    <n v="5"/>
    <x v="0"/>
    <n v="61.7"/>
    <n v="2567"/>
    <x v="0"/>
    <n v="0"/>
    <x v="2"/>
    <x v="2"/>
    <n v="20948"/>
    <n v="3.66"/>
    <n v="5"/>
  </r>
  <r>
    <x v="18"/>
    <s v="SU7"/>
    <x v="3"/>
    <x v="3"/>
    <n v="55836.28"/>
    <n v="53.9"/>
    <n v="182"/>
    <n v="113.5"/>
    <n v="7.22"/>
    <n v="137"/>
    <n v="481"/>
    <n v="404"/>
    <s v="AWD"/>
    <n v="5"/>
    <x v="1"/>
    <n v="64.3"/>
    <n v="2092"/>
    <x v="0"/>
    <n v="1"/>
    <x v="4"/>
    <x v="1"/>
    <n v="22178"/>
    <n v="3.55"/>
    <n v="5"/>
  </r>
  <r>
    <x v="13"/>
    <s v="R2"/>
    <x v="3"/>
    <x v="2"/>
    <n v="102186.85"/>
    <n v="81"/>
    <n v="292"/>
    <n v="92.6"/>
    <n v="4.5"/>
    <n v="180"/>
    <n v="1000"/>
    <n v="892"/>
    <s v="RWD"/>
    <n v="5"/>
    <x v="3"/>
    <n v="30.2"/>
    <n v="1603"/>
    <x v="1"/>
    <n v="0"/>
    <x v="2"/>
    <x v="0"/>
    <n v="2112"/>
    <n v="3.37"/>
    <n v="4"/>
  </r>
  <r>
    <x v="10"/>
    <s v="i4"/>
    <x v="3"/>
    <x v="2"/>
    <n v="101731.56"/>
    <n v="98.6"/>
    <n v="360"/>
    <n v="120.9"/>
    <n v="5.12"/>
    <n v="183"/>
    <n v="853"/>
    <n v="812"/>
    <s v="FWD"/>
    <n v="5"/>
    <x v="0"/>
    <n v="55.2"/>
    <n v="2234"/>
    <x v="0"/>
    <n v="1"/>
    <x v="0"/>
    <x v="0"/>
    <n v="41594"/>
    <n v="3.71"/>
    <n v="7"/>
  </r>
  <r>
    <x v="0"/>
    <s v="ID. Aero"/>
    <x v="0"/>
    <x v="3"/>
    <n v="44658.67"/>
    <n v="73.2"/>
    <n v="219"/>
    <n v="131.4"/>
    <n v="7.67"/>
    <n v="140"/>
    <n v="326"/>
    <n v="304"/>
    <s v="FWD"/>
    <n v="5"/>
    <x v="5"/>
    <n v="27.4"/>
    <n v="1726"/>
    <x v="1"/>
    <n v="1"/>
    <x v="0"/>
    <x v="1"/>
    <n v="256210"/>
    <n v="3.39"/>
    <n v="5"/>
  </r>
  <r>
    <x v="10"/>
    <s v="i3"/>
    <x v="2"/>
    <x v="1"/>
    <n v="104797.89"/>
    <n v="46.5"/>
    <n v="162"/>
    <n v="73.900000000000006"/>
    <n v="5.75"/>
    <n v="160"/>
    <n v="916"/>
    <n v="795"/>
    <s v="AWD"/>
    <n v="7"/>
    <x v="3"/>
    <n v="17.2"/>
    <n v="1658"/>
    <x v="1"/>
    <n v="2"/>
    <x v="0"/>
    <x v="0"/>
    <n v="26942"/>
    <n v="3.17"/>
    <n v="7"/>
  </r>
  <r>
    <x v="9"/>
    <s v="F-150 Lightning"/>
    <x v="3"/>
    <x v="1"/>
    <n v="53246.45"/>
    <n v="42.9"/>
    <n v="171"/>
    <n v="69.900000000000006"/>
    <n v="8"/>
    <n v="137"/>
    <n v="543"/>
    <n v="481"/>
    <s v="RWD"/>
    <n v="2"/>
    <x v="0"/>
    <n v="66.599999999999994"/>
    <n v="2253"/>
    <x v="0"/>
    <n v="2"/>
    <x v="2"/>
    <x v="1"/>
    <n v="30016"/>
    <n v="3.29"/>
    <n v="3"/>
  </r>
  <r>
    <x v="4"/>
    <s v="Model S"/>
    <x v="3"/>
    <x v="1"/>
    <n v="176582.51"/>
    <n v="50.4"/>
    <n v="188"/>
    <n v="237.2"/>
    <n v="6.19"/>
    <n v="153"/>
    <n v="1000"/>
    <n v="901"/>
    <s v="RWD"/>
    <n v="5"/>
    <x v="1"/>
    <n v="49.2"/>
    <n v="1951"/>
    <x v="0"/>
    <n v="2"/>
    <x v="2"/>
    <x v="0"/>
    <n v="199834"/>
    <n v="3.74"/>
    <n v="4"/>
  </r>
  <r>
    <x v="0"/>
    <s v="ID.4"/>
    <x v="0"/>
    <x v="2"/>
    <n v="78653.83"/>
    <n v="94.4"/>
    <n v="350"/>
    <n v="75.5"/>
    <n v="4.49"/>
    <n v="189"/>
    <n v="818"/>
    <n v="716"/>
    <s v="FWD"/>
    <n v="7"/>
    <x v="4"/>
    <n v="25"/>
    <n v="1665"/>
    <x v="1"/>
    <n v="0"/>
    <x v="0"/>
    <x v="2"/>
    <n v="204287"/>
    <n v="3.97"/>
    <n v="4"/>
  </r>
  <r>
    <x v="5"/>
    <s v="EQC"/>
    <x v="2"/>
    <x v="4"/>
    <n v="113687.69"/>
    <n v="81.5"/>
    <n v="274"/>
    <n v="139.1"/>
    <n v="7.69"/>
    <n v="128"/>
    <n v="650"/>
    <n v="556"/>
    <s v="FWD"/>
    <n v="7"/>
    <x v="2"/>
    <n v="60.8"/>
    <n v="1500"/>
    <x v="0"/>
    <n v="2"/>
    <x v="0"/>
    <x v="0"/>
    <n v="59376"/>
    <n v="3.82"/>
    <n v="8"/>
  </r>
  <r>
    <x v="0"/>
    <s v="ID.4"/>
    <x v="2"/>
    <x v="0"/>
    <n v="61036.31"/>
    <n v="77.7"/>
    <n v="243"/>
    <n v="248"/>
    <n v="3.41"/>
    <n v="193"/>
    <n v="616"/>
    <n v="531"/>
    <s v="AWD"/>
    <n v="5"/>
    <x v="4"/>
    <n v="36"/>
    <n v="1750"/>
    <x v="0"/>
    <n v="1"/>
    <x v="0"/>
    <x v="1"/>
    <n v="274419"/>
    <n v="3.18"/>
    <n v="4"/>
  </r>
  <r>
    <x v="3"/>
    <s v="EV6"/>
    <x v="5"/>
    <x v="0"/>
    <n v="46823.3"/>
    <n v="98.4"/>
    <n v="366"/>
    <n v="151.69999999999999"/>
    <n v="3.16"/>
    <n v="198"/>
    <n v="473"/>
    <n v="442"/>
    <s v="RWD"/>
    <n v="5"/>
    <x v="5"/>
    <n v="34.700000000000003"/>
    <n v="1581"/>
    <x v="2"/>
    <n v="0"/>
    <x v="3"/>
    <x v="1"/>
    <n v="141318"/>
    <n v="3.75"/>
    <n v="3"/>
  </r>
  <r>
    <x v="3"/>
    <s v="Picanto EV"/>
    <x v="1"/>
    <x v="2"/>
    <n v="73622.080000000002"/>
    <n v="94.4"/>
    <n v="291"/>
    <n v="141.69999999999999"/>
    <n v="4.0199999999999996"/>
    <n v="187"/>
    <n v="852"/>
    <n v="746"/>
    <s v="FWD"/>
    <n v="5"/>
    <x v="1"/>
    <n v="41.4"/>
    <n v="1901"/>
    <x v="1"/>
    <n v="2"/>
    <x v="3"/>
    <x v="2"/>
    <n v="128389"/>
    <n v="3.38"/>
    <n v="4"/>
  </r>
  <r>
    <x v="4"/>
    <s v="Cybertruck"/>
    <x v="5"/>
    <x v="0"/>
    <n v="70200.56"/>
    <n v="85"/>
    <n v="286"/>
    <n v="209.3"/>
    <n v="3.65"/>
    <n v="189"/>
    <n v="498"/>
    <n v="438"/>
    <s v="RWD"/>
    <n v="5"/>
    <x v="0"/>
    <n v="73.400000000000006"/>
    <n v="2486"/>
    <x v="1"/>
    <n v="2"/>
    <x v="2"/>
    <x v="2"/>
    <n v="166507"/>
    <n v="3.89"/>
    <n v="4"/>
  </r>
  <r>
    <x v="0"/>
    <s v="ID. Aero"/>
    <x v="3"/>
    <x v="0"/>
    <n v="86735.2"/>
    <n v="77.5"/>
    <n v="296"/>
    <n v="203.5"/>
    <n v="4.3099999999999996"/>
    <n v="188"/>
    <n v="975"/>
    <n v="841"/>
    <s v="AWD"/>
    <n v="7"/>
    <x v="2"/>
    <n v="72.5"/>
    <n v="1665"/>
    <x v="1"/>
    <n v="0"/>
    <x v="0"/>
    <x v="2"/>
    <n v="261533"/>
    <n v="3.15"/>
    <n v="3"/>
  </r>
  <r>
    <x v="7"/>
    <s v="Max"/>
    <x v="2"/>
    <x v="1"/>
    <n v="105441.86"/>
    <n v="57.2"/>
    <n v="209"/>
    <n v="54.8"/>
    <n v="6.44"/>
    <n v="152"/>
    <n v="1000"/>
    <n v="896"/>
    <s v="AWD"/>
    <n v="7"/>
    <x v="0"/>
    <n v="53.1"/>
    <n v="2431"/>
    <x v="1"/>
    <n v="0"/>
    <x v="4"/>
    <x v="0"/>
    <n v="226549"/>
    <n v="3.32"/>
    <n v="5"/>
  </r>
  <r>
    <x v="4"/>
    <s v="Cybertruck"/>
    <x v="3"/>
    <x v="3"/>
    <n v="98106.32"/>
    <n v="49.7"/>
    <n v="172"/>
    <n v="224.2"/>
    <n v="7.4"/>
    <n v="143"/>
    <n v="674"/>
    <n v="592"/>
    <s v="AWD"/>
    <n v="5"/>
    <x v="0"/>
    <n v="52.7"/>
    <n v="2705"/>
    <x v="0"/>
    <n v="2"/>
    <x v="2"/>
    <x v="2"/>
    <n v="221459"/>
    <n v="3.6"/>
    <n v="5"/>
  </r>
  <r>
    <x v="4"/>
    <s v="Model 3"/>
    <x v="2"/>
    <x v="1"/>
    <n v="128470.34"/>
    <n v="75.7"/>
    <n v="268"/>
    <n v="263.7"/>
    <n v="7.17"/>
    <n v="140"/>
    <n v="913"/>
    <n v="812"/>
    <s v="RWD"/>
    <n v="7"/>
    <x v="0"/>
    <n v="77.7"/>
    <n v="2712"/>
    <x v="2"/>
    <n v="2"/>
    <x v="2"/>
    <x v="0"/>
    <n v="244654"/>
    <n v="3.62"/>
    <n v="6"/>
  </r>
  <r>
    <x v="5"/>
    <s v="GLE EV"/>
    <x v="3"/>
    <x v="1"/>
    <n v="92407.64"/>
    <n v="58"/>
    <n v="199"/>
    <n v="90.5"/>
    <n v="6.1"/>
    <n v="167"/>
    <n v="380"/>
    <n v="329"/>
    <s v="RWD"/>
    <n v="5"/>
    <x v="5"/>
    <n v="21.4"/>
    <n v="1500"/>
    <x v="0"/>
    <n v="1"/>
    <x v="0"/>
    <x v="2"/>
    <n v="22464"/>
    <n v="3.52"/>
    <n v="5"/>
  </r>
  <r>
    <x v="7"/>
    <s v="Dolphin"/>
    <x v="1"/>
    <x v="3"/>
    <n v="71011.58"/>
    <n v="47.4"/>
    <n v="159"/>
    <n v="97"/>
    <n v="7.76"/>
    <n v="132"/>
    <n v="792"/>
    <n v="662"/>
    <s v="FWD"/>
    <n v="5"/>
    <x v="1"/>
    <n v="45.2"/>
    <n v="2283"/>
    <x v="0"/>
    <n v="0"/>
    <x v="4"/>
    <x v="2"/>
    <n v="210658"/>
    <n v="3.09"/>
    <n v="4"/>
  </r>
  <r>
    <x v="8"/>
    <s v="Kona Electric"/>
    <x v="3"/>
    <x v="2"/>
    <n v="92989.48"/>
    <n v="91"/>
    <n v="315"/>
    <n v="115.3"/>
    <n v="5.49"/>
    <n v="166"/>
    <n v="1000"/>
    <n v="954"/>
    <s v="RWD"/>
    <n v="7"/>
    <x v="1"/>
    <n v="50.4"/>
    <n v="1766"/>
    <x v="1"/>
    <n v="2"/>
    <x v="3"/>
    <x v="2"/>
    <n v="132728"/>
    <n v="3.62"/>
    <n v="4"/>
  </r>
  <r>
    <x v="7"/>
    <s v="Leaf 50X"/>
    <x v="0"/>
    <x v="4"/>
    <n v="74284.45"/>
    <n v="84.2"/>
    <n v="286"/>
    <n v="132.1"/>
    <n v="6.13"/>
    <n v="162"/>
    <n v="865"/>
    <n v="781"/>
    <s v="FWD"/>
    <n v="5"/>
    <x v="0"/>
    <n v="57.8"/>
    <n v="2198"/>
    <x v="1"/>
    <n v="1"/>
    <x v="4"/>
    <x v="2"/>
    <n v="128075"/>
    <n v="3.77"/>
    <n v="5"/>
  </r>
  <r>
    <x v="12"/>
    <s v="ET6"/>
    <x v="2"/>
    <x v="4"/>
    <n v="78059.06"/>
    <n v="66.599999999999994"/>
    <n v="252"/>
    <n v="118.3"/>
    <n v="6.02"/>
    <n v="157"/>
    <n v="657"/>
    <n v="597"/>
    <s v="FWD"/>
    <n v="7"/>
    <x v="1"/>
    <n v="36.6"/>
    <n v="2102"/>
    <x v="1"/>
    <n v="0"/>
    <x v="4"/>
    <x v="2"/>
    <n v="24158"/>
    <n v="3.33"/>
    <n v="5"/>
  </r>
  <r>
    <x v="7"/>
    <s v="Seagull"/>
    <x v="0"/>
    <x v="1"/>
    <n v="109450.6"/>
    <n v="64.2"/>
    <n v="232"/>
    <n v="67.3"/>
    <n v="7.02"/>
    <n v="143"/>
    <n v="1000"/>
    <n v="898"/>
    <s v="AWD"/>
    <n v="5"/>
    <x v="5"/>
    <n v="31"/>
    <n v="1504"/>
    <x v="1"/>
    <n v="2"/>
    <x v="4"/>
    <x v="0"/>
    <n v="128508"/>
    <n v="3.59"/>
    <n v="4"/>
  </r>
  <r>
    <x v="0"/>
    <s v="ID.3"/>
    <x v="2"/>
    <x v="1"/>
    <n v="49550.91"/>
    <n v="41.8"/>
    <n v="150"/>
    <n v="143.1"/>
    <n v="6.85"/>
    <n v="153"/>
    <n v="490"/>
    <n v="386"/>
    <s v="AWD"/>
    <n v="7"/>
    <x v="4"/>
    <n v="32"/>
    <n v="1737"/>
    <x v="2"/>
    <n v="1"/>
    <x v="0"/>
    <x v="1"/>
    <n v="222078"/>
    <n v="3.54"/>
    <n v="4"/>
  </r>
  <r>
    <x v="5"/>
    <s v="EQG"/>
    <x v="3"/>
    <x v="2"/>
    <n v="102050.83"/>
    <n v="92.4"/>
    <n v="312"/>
    <n v="53.2"/>
    <n v="4.32"/>
    <n v="178"/>
    <n v="474"/>
    <n v="389"/>
    <s v="AWD"/>
    <n v="5"/>
    <x v="4"/>
    <n v="24.1"/>
    <n v="1700"/>
    <x v="1"/>
    <n v="1"/>
    <x v="0"/>
    <x v="0"/>
    <n v="26785"/>
    <n v="3.93"/>
    <n v="7"/>
  </r>
  <r>
    <x v="5"/>
    <s v="EQE"/>
    <x v="5"/>
    <x v="1"/>
    <n v="93286.78"/>
    <n v="82.1"/>
    <n v="282"/>
    <n v="142.9"/>
    <n v="7.41"/>
    <n v="136"/>
    <n v="457"/>
    <n v="407"/>
    <s v="FWD"/>
    <n v="5"/>
    <x v="3"/>
    <n v="37.5"/>
    <n v="1500"/>
    <x v="2"/>
    <n v="1"/>
    <x v="0"/>
    <x v="2"/>
    <n v="49781"/>
    <n v="3.74"/>
    <n v="8"/>
  </r>
  <r>
    <x v="4"/>
    <s v="Model X"/>
    <x v="0"/>
    <x v="0"/>
    <n v="164467.67000000001"/>
    <n v="113.9"/>
    <n v="371"/>
    <n v="279.39999999999998"/>
    <n v="3.22"/>
    <n v="200"/>
    <n v="1000"/>
    <n v="848"/>
    <s v="RWD"/>
    <n v="5"/>
    <x v="2"/>
    <n v="66"/>
    <n v="1822"/>
    <x v="1"/>
    <n v="2"/>
    <x v="2"/>
    <x v="0"/>
    <n v="146842"/>
    <n v="3.92"/>
    <n v="4"/>
  </r>
  <r>
    <x v="9"/>
    <s v="Mustang Mach-E"/>
    <x v="3"/>
    <x v="2"/>
    <n v="62237.09"/>
    <n v="86.7"/>
    <n v="299"/>
    <n v="97"/>
    <n v="5.35"/>
    <n v="166"/>
    <n v="680"/>
    <n v="604"/>
    <s v="FWD"/>
    <n v="5"/>
    <x v="5"/>
    <n v="25.1"/>
    <n v="1557"/>
    <x v="1"/>
    <n v="1"/>
    <x v="2"/>
    <x v="1"/>
    <n v="34572"/>
    <n v="3.49"/>
    <n v="4"/>
  </r>
  <r>
    <x v="8"/>
    <s v="Ioniq 5"/>
    <x v="0"/>
    <x v="4"/>
    <n v="55335.519999999997"/>
    <n v="51.9"/>
    <n v="156"/>
    <n v="87.3"/>
    <n v="5.55"/>
    <n v="176"/>
    <n v="665"/>
    <n v="612"/>
    <s v="FWD"/>
    <n v="5"/>
    <x v="2"/>
    <n v="60.1"/>
    <n v="1644"/>
    <x v="2"/>
    <n v="0"/>
    <x v="3"/>
    <x v="1"/>
    <n v="84896"/>
    <n v="3.28"/>
    <n v="5"/>
  </r>
  <r>
    <x v="8"/>
    <s v="Ioniq"/>
    <x v="5"/>
    <x v="4"/>
    <n v="37257.29"/>
    <n v="52.5"/>
    <n v="164"/>
    <n v="104.7"/>
    <n v="5.96"/>
    <n v="160"/>
    <n v="257"/>
    <n v="213"/>
    <s v="AWD"/>
    <n v="5"/>
    <x v="1"/>
    <n v="43"/>
    <n v="2264"/>
    <x v="2"/>
    <n v="1"/>
    <x v="3"/>
    <x v="1"/>
    <n v="64933"/>
    <n v="3.24"/>
    <n v="5"/>
  </r>
  <r>
    <x v="4"/>
    <s v="Cybertruck"/>
    <x v="3"/>
    <x v="2"/>
    <n v="45726.22"/>
    <n v="92.1"/>
    <n v="327"/>
    <n v="234.9"/>
    <n v="5.54"/>
    <n v="161"/>
    <n v="336"/>
    <n v="360"/>
    <s v="RWD"/>
    <n v="5"/>
    <x v="0"/>
    <n v="58.1"/>
    <n v="2592"/>
    <x v="1"/>
    <n v="2"/>
    <x v="2"/>
    <x v="1"/>
    <n v="240212"/>
    <n v="3.99"/>
    <n v="5"/>
  </r>
  <r>
    <x v="4"/>
    <s v="Model Y"/>
    <x v="3"/>
    <x v="2"/>
    <n v="107944.96000000001"/>
    <n v="81"/>
    <n v="289"/>
    <n v="219.3"/>
    <n v="5.45"/>
    <n v="162"/>
    <n v="773"/>
    <n v="713"/>
    <s v="AWD"/>
    <n v="7"/>
    <x v="3"/>
    <n v="37.4"/>
    <n v="1644"/>
    <x v="0"/>
    <n v="2"/>
    <x v="2"/>
    <x v="0"/>
    <n v="410789"/>
    <n v="3.91"/>
    <n v="5"/>
  </r>
  <r>
    <x v="2"/>
    <s v="Silverado EV"/>
    <x v="6"/>
    <x v="2"/>
    <n v="45327.78"/>
    <n v="86.2"/>
    <n v="305"/>
    <n v="77.599999999999994"/>
    <n v="4.96"/>
    <n v="174"/>
    <n v="493"/>
    <n v="447"/>
    <s v="AWD"/>
    <n v="5"/>
    <x v="4"/>
    <n v="35.5"/>
    <n v="1796"/>
    <x v="0"/>
    <n v="0"/>
    <x v="2"/>
    <x v="1"/>
    <n v="20824"/>
    <n v="3.63"/>
    <n v="3"/>
  </r>
  <r>
    <x v="8"/>
    <s v="Ioniq 5"/>
    <x v="0"/>
    <x v="2"/>
    <n v="41738.1"/>
    <n v="88.1"/>
    <n v="330"/>
    <n v="140.9"/>
    <n v="5.47"/>
    <n v="167"/>
    <n v="392"/>
    <n v="339"/>
    <s v="RWD"/>
    <n v="7"/>
    <x v="3"/>
    <n v="36.5"/>
    <n v="1697"/>
    <x v="1"/>
    <n v="0"/>
    <x v="3"/>
    <x v="1"/>
    <n v="92151"/>
    <n v="3.69"/>
    <n v="4"/>
  </r>
  <r>
    <x v="0"/>
    <s v="ID. Aero"/>
    <x v="5"/>
    <x v="3"/>
    <n v="69452.44"/>
    <n v="63.6"/>
    <n v="224"/>
    <n v="70.099999999999994"/>
    <n v="6.86"/>
    <n v="148"/>
    <n v="732"/>
    <n v="617"/>
    <s v="RWD"/>
    <n v="7"/>
    <x v="2"/>
    <n v="65.3"/>
    <n v="1614"/>
    <x v="0"/>
    <n v="0"/>
    <x v="0"/>
    <x v="2"/>
    <n v="260693"/>
    <n v="3.66"/>
    <n v="5"/>
  </r>
  <r>
    <x v="2"/>
    <s v="Equinox EV"/>
    <x v="4"/>
    <x v="0"/>
    <n v="65656.759999999995"/>
    <n v="86.5"/>
    <n v="340"/>
    <n v="170"/>
    <n v="4.0599999999999996"/>
    <n v="190"/>
    <n v="876"/>
    <n v="788"/>
    <s v="AWD"/>
    <n v="5"/>
    <x v="1"/>
    <n v="59.1"/>
    <n v="2129"/>
    <x v="1"/>
    <n v="0"/>
    <x v="2"/>
    <x v="2"/>
    <n v="12802"/>
    <n v="3.96"/>
    <n v="5"/>
  </r>
  <r>
    <x v="9"/>
    <s v="E-Transit"/>
    <x v="3"/>
    <x v="3"/>
    <n v="61660.35"/>
    <n v="67.900000000000006"/>
    <n v="221"/>
    <n v="89.6"/>
    <n v="5.21"/>
    <n v="167"/>
    <n v="673"/>
    <n v="572"/>
    <s v="RWD"/>
    <n v="7"/>
    <x v="4"/>
    <n v="27.1"/>
    <n v="1660"/>
    <x v="0"/>
    <n v="2"/>
    <x v="2"/>
    <x v="1"/>
    <n v="27087"/>
    <n v="3.6"/>
    <n v="5"/>
  </r>
  <r>
    <x v="4"/>
    <s v="Model 3"/>
    <x v="3"/>
    <x v="4"/>
    <n v="72436.36"/>
    <n v="83"/>
    <n v="289"/>
    <n v="317.2"/>
    <n v="5.85"/>
    <n v="147"/>
    <n v="541"/>
    <n v="464"/>
    <s v="AWD"/>
    <n v="7"/>
    <x v="2"/>
    <n v="64.400000000000006"/>
    <n v="1777"/>
    <x v="2"/>
    <n v="3"/>
    <x v="2"/>
    <x v="2"/>
    <n v="139369"/>
    <n v="3.74"/>
    <n v="5"/>
  </r>
  <r>
    <x v="3"/>
    <s v="EV9"/>
    <x v="3"/>
    <x v="2"/>
    <n v="49012.19"/>
    <n v="102.8"/>
    <n v="368"/>
    <n v="149.19999999999999"/>
    <n v="4.4800000000000004"/>
    <n v="185"/>
    <n v="484"/>
    <n v="432"/>
    <s v="AWD"/>
    <n v="5"/>
    <x v="1"/>
    <n v="52.7"/>
    <n v="1708"/>
    <x v="1"/>
    <n v="0"/>
    <x v="3"/>
    <x v="1"/>
    <n v="114969"/>
    <n v="3.93"/>
    <n v="4"/>
  </r>
  <r>
    <x v="4"/>
    <s v="Model S"/>
    <x v="5"/>
    <x v="3"/>
    <n v="119417.95"/>
    <n v="65.3"/>
    <n v="248"/>
    <n v="212.2"/>
    <n v="7.14"/>
    <n v="145"/>
    <n v="885"/>
    <n v="775"/>
    <s v="AWD"/>
    <n v="7"/>
    <x v="5"/>
    <n v="24.6"/>
    <n v="1500"/>
    <x v="1"/>
    <n v="2"/>
    <x v="2"/>
    <x v="0"/>
    <n v="170811"/>
    <n v="3.7"/>
    <n v="4"/>
  </r>
  <r>
    <x v="2"/>
    <s v="Equinox EV"/>
    <x v="2"/>
    <x v="4"/>
    <n v="34301.370000000003"/>
    <n v="70"/>
    <n v="218"/>
    <n v="59.2"/>
    <n v="5.68"/>
    <n v="163"/>
    <n v="333"/>
    <n v="310"/>
    <s v="RWD"/>
    <n v="7"/>
    <x v="1"/>
    <n v="39.4"/>
    <n v="2077"/>
    <x v="0"/>
    <n v="1"/>
    <x v="2"/>
    <x v="3"/>
    <n v="738"/>
    <n v="3.6"/>
    <n v="3"/>
  </r>
  <r>
    <x v="10"/>
    <s v="i3"/>
    <x v="0"/>
    <x v="2"/>
    <n v="122665.71"/>
    <n v="102.1"/>
    <n v="360"/>
    <n v="92"/>
    <n v="4.21"/>
    <n v="190"/>
    <n v="1000"/>
    <n v="935"/>
    <s v="FWD"/>
    <n v="5"/>
    <x v="3"/>
    <n v="38.299999999999997"/>
    <n v="1500"/>
    <x v="1"/>
    <n v="2"/>
    <x v="0"/>
    <x v="0"/>
    <n v="66187"/>
    <n v="3.78"/>
    <n v="7"/>
  </r>
  <r>
    <x v="1"/>
    <s v="bZ4X"/>
    <x v="2"/>
    <x v="0"/>
    <n v="66816.55"/>
    <n v="110.6"/>
    <n v="367"/>
    <n v="236.3"/>
    <n v="4.25"/>
    <n v="181"/>
    <n v="783"/>
    <n v="733"/>
    <s v="AWD"/>
    <n v="5"/>
    <x v="3"/>
    <n v="23.1"/>
    <n v="1863"/>
    <x v="0"/>
    <n v="0"/>
    <x v="1"/>
    <x v="2"/>
    <n v="11062"/>
    <n v="3.79"/>
    <n v="4"/>
  </r>
  <r>
    <x v="4"/>
    <s v="Model 3"/>
    <x v="3"/>
    <x v="2"/>
    <n v="49281.26"/>
    <n v="90.6"/>
    <n v="325"/>
    <n v="325.60000000000002"/>
    <n v="5.55"/>
    <n v="167"/>
    <n v="351"/>
    <n v="324"/>
    <s v="RWD"/>
    <n v="7"/>
    <x v="0"/>
    <n v="74.599999999999994"/>
    <n v="2920"/>
    <x v="2"/>
    <n v="3"/>
    <x v="2"/>
    <x v="1"/>
    <n v="224804"/>
    <n v="4.0999999999999996"/>
    <n v="6"/>
  </r>
  <r>
    <x v="4"/>
    <s v="Model X"/>
    <x v="5"/>
    <x v="1"/>
    <n v="139665.73000000001"/>
    <n v="70.7"/>
    <n v="248"/>
    <n v="330.7"/>
    <n v="5.07"/>
    <n v="175"/>
    <n v="1000"/>
    <n v="875"/>
    <s v="RWD"/>
    <n v="5"/>
    <x v="4"/>
    <n v="34.799999999999997"/>
    <n v="1500"/>
    <x v="2"/>
    <n v="2"/>
    <x v="2"/>
    <x v="0"/>
    <n v="165373"/>
    <n v="3.66"/>
    <n v="4"/>
  </r>
  <r>
    <x v="7"/>
    <s v="Qin"/>
    <x v="3"/>
    <x v="1"/>
    <n v="47547.88"/>
    <n v="67.400000000000006"/>
    <n v="246"/>
    <n v="67.2"/>
    <n v="6.76"/>
    <n v="156"/>
    <n v="522"/>
    <n v="494"/>
    <s v="RWD"/>
    <n v="5"/>
    <x v="4"/>
    <n v="28.5"/>
    <n v="1512"/>
    <x v="0"/>
    <n v="0"/>
    <x v="4"/>
    <x v="1"/>
    <n v="214113"/>
    <n v="3.41"/>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bZ Compact SUV"/>
    <x v="0"/>
    <s v="Long Range"/>
    <n v="70748.34"/>
    <n v="94.2"/>
    <n v="335"/>
    <n v="169"/>
    <s v="SUV"/>
    <n v="5"/>
    <s v="Japan"/>
    <s v="Premium"/>
    <n v="2261"/>
    <n v="3.72"/>
    <n v="4"/>
    <n v="159961996.73999998"/>
  </r>
  <r>
    <x v="1"/>
    <s v="Ronin"/>
    <x v="0"/>
    <s v="Performance"/>
    <n v="143106.79"/>
    <n v="75.3"/>
    <n v="272"/>
    <n v="197"/>
    <s v="Hatchback"/>
    <n v="4"/>
    <s v="US"/>
    <s v="Luxury"/>
    <n v="18708"/>
    <n v="3.53"/>
    <n v="4"/>
    <n v="2677241827.3200002"/>
  </r>
  <r>
    <x v="2"/>
    <s v="Model S"/>
    <x v="0"/>
    <s v="Performance"/>
    <n v="102900.51"/>
    <n v="74.099999999999994"/>
    <n v="231"/>
    <n v="200"/>
    <s v="Truck"/>
    <n v="3"/>
    <s v="US"/>
    <s v="Luxury"/>
    <n v="184383"/>
    <n v="3.8"/>
    <n v="5"/>
    <n v="18973104735.329998"/>
  </r>
  <r>
    <x v="3"/>
    <s v="Max"/>
    <x v="0"/>
    <s v="Base"/>
    <n v="67729.77"/>
    <n v="44.2"/>
    <n v="157"/>
    <n v="137"/>
    <s v="Truck"/>
    <n v="4"/>
    <s v="China"/>
    <s v="Premium"/>
    <n v="160145"/>
    <n v="3.2"/>
    <n v="4"/>
    <n v="10846584016.650002"/>
  </r>
  <r>
    <x v="4"/>
    <s v="Q6 e-tron"/>
    <x v="0"/>
    <s v="Long Range"/>
    <n v="76665.86"/>
    <n v="103.7"/>
    <n v="353"/>
    <n v="165"/>
    <s v="Hatchback"/>
    <n v="4"/>
    <s v="Germany"/>
    <s v="Premium"/>
    <n v="32828"/>
    <n v="3.4"/>
    <n v="5"/>
    <n v="2516786852.0799999"/>
  </r>
  <r>
    <x v="2"/>
    <s v="Model Y"/>
    <x v="0"/>
    <s v="Long Range"/>
    <n v="96390.76"/>
    <n v="80.400000000000006"/>
    <n v="287"/>
    <n v="160"/>
    <s v="Van"/>
    <n v="4"/>
    <s v="US"/>
    <s v="Premium"/>
    <n v="498047"/>
    <n v="3.82"/>
    <n v="5"/>
    <n v="48007128845.719994"/>
  </r>
  <r>
    <x v="3"/>
    <s v="Atto 3"/>
    <x v="0"/>
    <s v="Performance"/>
    <n v="102787.75"/>
    <n v="92.6"/>
    <n v="323"/>
    <n v="194"/>
    <s v="Van"/>
    <n v="4"/>
    <s v="China"/>
    <s v="Luxury"/>
    <n v="117639"/>
    <n v="3.79"/>
    <n v="5"/>
    <n v="12091848122.25"/>
  </r>
  <r>
    <x v="5"/>
    <s v="Niro EV"/>
    <x v="0"/>
    <s v="Base"/>
    <n v="46532.99"/>
    <n v="75.900000000000006"/>
    <n v="260"/>
    <n v="156"/>
    <s v="Van"/>
    <n v="4"/>
    <s v="South Korea"/>
    <s v="Mid-range"/>
    <n v="63258"/>
    <n v="3.48"/>
    <n v="4"/>
    <n v="2943583881.4200001"/>
  </r>
  <r>
    <x v="3"/>
    <s v="Dolphin"/>
    <x v="0"/>
    <s v="Standard"/>
    <n v="70472.75"/>
    <n v="66.3"/>
    <n v="241"/>
    <n v="138"/>
    <s v="Van"/>
    <n v="3"/>
    <s v="China"/>
    <s v="Premium"/>
    <n v="199656"/>
    <n v="3.4"/>
    <n v="4"/>
    <n v="14070307374"/>
  </r>
  <r>
    <x v="6"/>
    <s v="Ioniq 5"/>
    <x v="0"/>
    <s v="Standard"/>
    <n v="50630.65"/>
    <n v="64"/>
    <n v="203"/>
    <n v="171"/>
    <s v="Hatchback"/>
    <n v="5"/>
    <s v="South Korea"/>
    <s v="Mid-range"/>
    <n v="60112"/>
    <n v="3.39"/>
    <n v="3"/>
    <n v="3043509632.8000002"/>
  </r>
  <r>
    <x v="4"/>
    <s v="Q6 e-tron"/>
    <x v="0"/>
    <s v="Standard"/>
    <n v="102595.23"/>
    <n v="84.1"/>
    <n v="278"/>
    <n v="128"/>
    <s v="Coupe"/>
    <n v="3"/>
    <s v="Germany"/>
    <s v="Luxury"/>
    <n v="45569"/>
    <n v="3.67"/>
    <n v="8"/>
    <n v="4675162035.8699999"/>
  </r>
  <r>
    <x v="7"/>
    <s v="ID. Aero"/>
    <x v="0"/>
    <s v="Long Range"/>
    <n v="40762.980000000003"/>
    <n v="101.5"/>
    <n v="332"/>
    <n v="164"/>
    <s v="Coupe"/>
    <n v="4"/>
    <s v="Germany"/>
    <s v="Mid-range"/>
    <n v="220087"/>
    <n v="3.39"/>
    <n v="4"/>
    <n v="8971401979.2600002"/>
  </r>
  <r>
    <x v="0"/>
    <s v="bZ Compact SUV"/>
    <x v="0"/>
    <s v="Base"/>
    <n v="47569.79"/>
    <n v="41.5"/>
    <n v="160"/>
    <n v="133"/>
    <s v="SUV"/>
    <n v="4"/>
    <s v="Japan"/>
    <s v="Mid-range"/>
    <n v="28709"/>
    <n v="3.17"/>
    <n v="4"/>
    <n v="1365681101.1100001"/>
  </r>
  <r>
    <x v="3"/>
    <s v="Seagull"/>
    <x v="0"/>
    <s v="Long Range"/>
    <n v="48719.93"/>
    <n v="95.3"/>
    <n v="342"/>
    <n v="166"/>
    <s v="Coupe"/>
    <n v="4"/>
    <s v="China"/>
    <s v="Mid-range"/>
    <n v="158941"/>
    <n v="3.72"/>
    <n v="4"/>
    <n v="7743594394.1300001"/>
  </r>
  <r>
    <x v="8"/>
    <s v="F-150 Lightning"/>
    <x v="0"/>
    <s v="Long Range"/>
    <n v="67768.09"/>
    <n v="83.3"/>
    <n v="291"/>
    <n v="173"/>
    <s v="Truck"/>
    <n v="5"/>
    <s v="US"/>
    <s v="Premium"/>
    <n v="25258"/>
    <n v="3.54"/>
    <n v="4"/>
    <n v="1711686417.22"/>
  </r>
  <r>
    <x v="5"/>
    <s v="Picanto EV"/>
    <x v="0"/>
    <s v="Base"/>
    <n v="44609.33"/>
    <n v="80.3"/>
    <n v="255"/>
    <n v="155"/>
    <s v="Sedan"/>
    <n v="4"/>
    <s v="South Korea"/>
    <s v="Mid-range"/>
    <n v="62067"/>
    <n v="3.61"/>
    <n v="5"/>
    <n v="2768767285.1100001"/>
  </r>
  <r>
    <x v="3"/>
    <s v="Qin"/>
    <x v="0"/>
    <s v="Long Range"/>
    <n v="36752.050000000003"/>
    <n v="84.7"/>
    <n v="308"/>
    <n v="189"/>
    <s v="Sedan"/>
    <n v="4"/>
    <s v="China"/>
    <s v="Mid-range"/>
    <n v="178041"/>
    <n v="3.55"/>
    <n v="4"/>
    <n v="6543371734.0500002"/>
  </r>
  <r>
    <x v="5"/>
    <s v="Sportage EV"/>
    <x v="0"/>
    <s v="Standard"/>
    <n v="26731.95"/>
    <n v="75.8"/>
    <n v="257"/>
    <n v="160"/>
    <s v="SUV"/>
    <n v="5"/>
    <s v="South Korea"/>
    <s v="Budget"/>
    <n v="147499"/>
    <n v="3.27"/>
    <n v="4"/>
    <n v="3942935893.0500002"/>
  </r>
  <r>
    <x v="9"/>
    <s v="i5"/>
    <x v="0"/>
    <s v="Base"/>
    <n v="93337.36"/>
    <n v="72.7"/>
    <n v="232"/>
    <n v="176"/>
    <s v="Truck"/>
    <n v="5"/>
    <s v="Germany"/>
    <s v="Premium"/>
    <n v="25170"/>
    <n v="3.43"/>
    <n v="8"/>
    <n v="2349301351.1999998"/>
  </r>
  <r>
    <x v="2"/>
    <s v="Model S"/>
    <x v="0"/>
    <s v="Performance"/>
    <n v="164703.81"/>
    <n v="113.2"/>
    <n v="397"/>
    <n v="187"/>
    <s v="Sedan"/>
    <n v="5"/>
    <s v="US"/>
    <s v="Luxury"/>
    <n v="159470"/>
    <n v="4.1100000000000003"/>
    <n v="4"/>
    <n v="26265316580.700001"/>
  </r>
  <r>
    <x v="2"/>
    <s v="Model 3"/>
    <x v="0"/>
    <s v="Long Range"/>
    <n v="65735.100000000006"/>
    <n v="91.3"/>
    <n v="319"/>
    <n v="178"/>
    <s v="Coupe"/>
    <n v="3"/>
    <s v="US"/>
    <s v="Premium"/>
    <n v="120134"/>
    <n v="4.09"/>
    <n v="4"/>
    <n v="7897020503.4000006"/>
  </r>
  <r>
    <x v="10"/>
    <n v="2"/>
    <x v="0"/>
    <s v="Base"/>
    <n v="82455.28"/>
    <n v="57.3"/>
    <n v="204"/>
    <n v="156"/>
    <s v="Van"/>
    <n v="4"/>
    <s v="Sweden"/>
    <s v="Premium"/>
    <n v="12945"/>
    <n v="3.41"/>
    <n v="3"/>
    <n v="1067383599.6"/>
  </r>
  <r>
    <x v="0"/>
    <s v="bZ Compact SUV"/>
    <x v="0"/>
    <s v="Base"/>
    <n v="30416.52"/>
    <n v="72.2"/>
    <n v="257"/>
    <n v="153"/>
    <s v="SUV"/>
    <n v="4"/>
    <s v="Japan"/>
    <s v="Budget"/>
    <n v="15941"/>
    <n v="3.54"/>
    <n v="3"/>
    <n v="484869745.31999999"/>
  </r>
  <r>
    <x v="9"/>
    <s v="i7"/>
    <x v="0"/>
    <s v="Premium"/>
    <n v="84308.51"/>
    <n v="76.3"/>
    <n v="242"/>
    <n v="144"/>
    <s v="Truck"/>
    <n v="5"/>
    <s v="Germany"/>
    <s v="Premium"/>
    <n v="53466"/>
    <n v="3.48"/>
    <n v="6"/>
    <n v="4507638795.6599998"/>
  </r>
  <r>
    <x v="6"/>
    <s v="Ioniq"/>
    <x v="0"/>
    <s v="Performance"/>
    <n v="74306.48"/>
    <n v="85.9"/>
    <n v="286"/>
    <n v="200"/>
    <s v="Truck"/>
    <n v="5"/>
    <s v="South Korea"/>
    <s v="Premium"/>
    <n v="113130"/>
    <n v="3.67"/>
    <n v="4"/>
    <n v="8406292082.3999996"/>
  </r>
  <r>
    <x v="8"/>
    <s v="E-Transit"/>
    <x v="0"/>
    <s v="Standard"/>
    <n v="62155.3"/>
    <n v="60.7"/>
    <n v="186"/>
    <n v="161"/>
    <s v="Van"/>
    <n v="5"/>
    <s v="US"/>
    <s v="Mid-range"/>
    <n v="60595"/>
    <n v="3.4"/>
    <n v="4"/>
    <n v="3766300403.5"/>
  </r>
  <r>
    <x v="5"/>
    <s v="EV9"/>
    <x v="0"/>
    <s v="Long Range"/>
    <n v="70023.960000000006"/>
    <n v="107.3"/>
    <n v="379"/>
    <n v="190"/>
    <s v="SUV"/>
    <n v="5"/>
    <s v="South Korea"/>
    <s v="Premium"/>
    <n v="63318"/>
    <n v="3.7"/>
    <n v="4"/>
    <n v="4433777099.2800007"/>
  </r>
  <r>
    <x v="3"/>
    <s v="Seagull"/>
    <x v="0"/>
    <s v="Performance"/>
    <n v="61584.07"/>
    <n v="117"/>
    <n v="409"/>
    <n v="196"/>
    <s v="Sedan"/>
    <n v="5"/>
    <s v="China"/>
    <s v="Mid-range"/>
    <n v="190643"/>
    <n v="3.93"/>
    <n v="5"/>
    <n v="11740571857.01"/>
  </r>
  <r>
    <x v="5"/>
    <s v="EV6"/>
    <x v="0"/>
    <s v="Standard"/>
    <n v="29338.85"/>
    <n v="40.5"/>
    <n v="157"/>
    <n v="165"/>
    <s v="SUV"/>
    <n v="4"/>
    <s v="South Korea"/>
    <s v="Budget"/>
    <n v="61921"/>
    <n v="3.18"/>
    <n v="3"/>
    <n v="1816690930.8499999"/>
  </r>
  <r>
    <x v="7"/>
    <s v="ID.4"/>
    <x v="0"/>
    <s v="Premium"/>
    <n v="48608.56"/>
    <n v="41.4"/>
    <n v="163"/>
    <n v="175"/>
    <s v="Truck"/>
    <n v="5"/>
    <s v="Germany"/>
    <s v="Mid-range"/>
    <n v="221203"/>
    <n v="3.43"/>
    <n v="4"/>
    <n v="10752359297.68"/>
  </r>
  <r>
    <x v="9"/>
    <s v="i5"/>
    <x v="0"/>
    <s v="Standard"/>
    <n v="94185.600000000006"/>
    <n v="41.2"/>
    <n v="150"/>
    <n v="159"/>
    <s v="Coupe"/>
    <n v="4"/>
    <s v="Germany"/>
    <s v="Premium"/>
    <n v="43577"/>
    <n v="3.37"/>
    <n v="8"/>
    <n v="4104325891.2000003"/>
  </r>
  <r>
    <x v="11"/>
    <s v="R2"/>
    <x v="0"/>
    <s v="Standard"/>
    <n v="74902.509999999995"/>
    <n v="63.7"/>
    <n v="219"/>
    <n v="142"/>
    <s v="Coupe"/>
    <n v="4"/>
    <s v="US"/>
    <s v="Premium"/>
    <n v="16890"/>
    <n v="3.32"/>
    <n v="5"/>
    <n v="1265103393.8999999"/>
  </r>
  <r>
    <x v="11"/>
    <s v="R1T"/>
    <x v="0"/>
    <s v="Base"/>
    <n v="64055.95"/>
    <n v="77.900000000000006"/>
    <n v="280"/>
    <n v="136"/>
    <s v="Truck"/>
    <n v="5"/>
    <s v="US"/>
    <s v="Mid-range"/>
    <n v="12678"/>
    <n v="3.7"/>
    <n v="4"/>
    <n v="812101334.0999999"/>
  </r>
  <r>
    <x v="7"/>
    <s v="ID.4"/>
    <x v="0"/>
    <s v="Base"/>
    <n v="27139.23"/>
    <n v="78.900000000000006"/>
    <n v="261"/>
    <n v="130"/>
    <s v="Hatchback"/>
    <n v="4"/>
    <s v="Germany"/>
    <s v="Budget"/>
    <n v="271891"/>
    <n v="3.57"/>
    <n v="4"/>
    <n v="7378912383.9300003"/>
  </r>
  <r>
    <x v="7"/>
    <s v="ID.3"/>
    <x v="0"/>
    <s v="Long Range"/>
    <n v="81317.3"/>
    <n v="77.900000000000006"/>
    <n v="298"/>
    <n v="182"/>
    <s v="Truck"/>
    <n v="4"/>
    <s v="Germany"/>
    <s v="Premium"/>
    <n v="205086"/>
    <n v="3.62"/>
    <n v="3"/>
    <n v="16677039787.800001"/>
  </r>
  <r>
    <x v="5"/>
    <s v="Picanto EV"/>
    <x v="0"/>
    <s v="Performance"/>
    <n v="51182.15"/>
    <n v="115.1"/>
    <n v="444"/>
    <n v="200"/>
    <s v="Van"/>
    <n v="5"/>
    <s v="South Korea"/>
    <s v="Mid-range"/>
    <n v="106543"/>
    <n v="3.82"/>
    <n v="4"/>
    <n v="5453099807.4499998"/>
  </r>
  <r>
    <x v="7"/>
    <s v="ID. Buzz"/>
    <x v="0"/>
    <s v="Standard"/>
    <n v="72240.69"/>
    <n v="59.6"/>
    <n v="178"/>
    <n v="143"/>
    <s v="Sedan"/>
    <n v="4"/>
    <s v="Germany"/>
    <s v="Premium"/>
    <n v="255858"/>
    <n v="3.29"/>
    <n v="3"/>
    <n v="18483358462.02"/>
  </r>
  <r>
    <x v="5"/>
    <s v="EV9"/>
    <x v="0"/>
    <s v="Base"/>
    <n v="33055.17"/>
    <n v="58.2"/>
    <n v="200"/>
    <n v="158"/>
    <s v="SUV"/>
    <n v="4"/>
    <s v="South Korea"/>
    <s v="Budget"/>
    <n v="139463"/>
    <n v="3.31"/>
    <n v="3"/>
    <n v="4609973173.71"/>
  </r>
  <r>
    <x v="12"/>
    <s v="Silverado EV"/>
    <x v="0"/>
    <s v="Long Range"/>
    <n v="45327.78"/>
    <n v="86.2"/>
    <n v="305"/>
    <n v="174"/>
    <s v="Coupe"/>
    <n v="4"/>
    <s v="US"/>
    <s v="Mid-range"/>
    <n v="20824"/>
    <n v="3.63"/>
    <n v="3"/>
    <n v="943905690.72000003"/>
  </r>
  <r>
    <x v="5"/>
    <s v="Niro EV"/>
    <x v="1"/>
    <s v="Premium"/>
    <n v="80530.570000000007"/>
    <n v="54.6"/>
    <n v="184"/>
    <n v="137"/>
    <s v="Hatchback"/>
    <n v="3"/>
    <s v="South Korea"/>
    <s v="Premium"/>
    <n v="90830"/>
    <n v="3.11"/>
    <n v="4"/>
    <n v="7314591673.1000004"/>
  </r>
  <r>
    <x v="7"/>
    <s v="ID.3"/>
    <x v="1"/>
    <s v="Long Range"/>
    <n v="52966.98"/>
    <n v="96.8"/>
    <n v="311"/>
    <n v="171"/>
    <s v="Coupe"/>
    <n v="5"/>
    <s v="Germany"/>
    <s v="Mid-range"/>
    <n v="232633"/>
    <n v="3.55"/>
    <n v="5"/>
    <n v="12321867458.34"/>
  </r>
  <r>
    <x v="11"/>
    <s v="R3"/>
    <x v="1"/>
    <s v="Base"/>
    <n v="60978.95"/>
    <n v="84.5"/>
    <n v="304"/>
    <n v="153"/>
    <s v="Hatchback"/>
    <n v="5"/>
    <s v="US"/>
    <s v="Mid-range"/>
    <n v="7599"/>
    <n v="3.41"/>
    <n v="6"/>
    <n v="463379041.04999995"/>
  </r>
  <r>
    <x v="6"/>
    <s v="Ioniq"/>
    <x v="1"/>
    <s v="Premium"/>
    <n v="81529.22"/>
    <n v="52"/>
    <n v="173"/>
    <n v="175"/>
    <s v="Truck"/>
    <n v="4"/>
    <s v="South Korea"/>
    <s v="Premium"/>
    <n v="137712"/>
    <n v="3.33"/>
    <n v="4"/>
    <n v="11227551944.639999"/>
  </r>
  <r>
    <x v="3"/>
    <s v="Qin"/>
    <x v="1"/>
    <s v="Standard"/>
    <n v="47541.74"/>
    <n v="75.3"/>
    <n v="274"/>
    <n v="133"/>
    <s v="SUV"/>
    <n v="3"/>
    <s v="China"/>
    <s v="Mid-range"/>
    <n v="230454"/>
    <n v="3.4"/>
    <n v="5"/>
    <n v="10956184149.959999"/>
  </r>
  <r>
    <x v="2"/>
    <s v="Cybertruck"/>
    <x v="1"/>
    <s v="Base"/>
    <n v="98646.080000000002"/>
    <n v="76"/>
    <n v="242"/>
    <n v="143"/>
    <s v="Truck"/>
    <n v="5"/>
    <s v="US"/>
    <s v="Premium"/>
    <n v="235244"/>
    <n v="3.9"/>
    <n v="6"/>
    <n v="23205898443.52"/>
  </r>
  <r>
    <x v="5"/>
    <s v="EV6"/>
    <x v="1"/>
    <s v="Long Range"/>
    <n v="66633.95"/>
    <n v="75.099999999999994"/>
    <n v="272"/>
    <n v="170"/>
    <s v="Coupe"/>
    <n v="5"/>
    <s v="South Korea"/>
    <s v="Premium"/>
    <n v="57850"/>
    <n v="3.25"/>
    <n v="5"/>
    <n v="3854774007.5"/>
  </r>
  <r>
    <x v="9"/>
    <s v="i5"/>
    <x v="1"/>
    <s v="Standard"/>
    <n v="94181.96"/>
    <n v="40.799999999999997"/>
    <n v="160"/>
    <n v="176"/>
    <s v="Coupe"/>
    <n v="5"/>
    <s v="Germany"/>
    <s v="Premium"/>
    <n v="79673"/>
    <n v="3.08"/>
    <n v="7"/>
    <n v="7503759299.0800009"/>
  </r>
  <r>
    <x v="7"/>
    <s v="ID.4"/>
    <x v="1"/>
    <s v="Premium"/>
    <n v="107417.79"/>
    <n v="54.2"/>
    <n v="201"/>
    <n v="176"/>
    <s v="Hatchback"/>
    <n v="5"/>
    <s v="Germany"/>
    <s v="Luxury"/>
    <n v="254098"/>
    <n v="3.37"/>
    <n v="4"/>
    <n v="27294645603.419998"/>
  </r>
  <r>
    <x v="4"/>
    <s v="e-tron GT"/>
    <x v="1"/>
    <s v="Base"/>
    <n v="80311.97"/>
    <n v="74.599999999999994"/>
    <n v="241"/>
    <n v="157"/>
    <s v="Sedan"/>
    <n v="5"/>
    <s v="Germany"/>
    <s v="Premium"/>
    <n v="55803"/>
    <n v="3.52"/>
    <n v="6"/>
    <n v="4481648861.9099998"/>
  </r>
  <r>
    <x v="13"/>
    <s v="EQE"/>
    <x v="1"/>
    <s v="Performance"/>
    <n v="165233.4"/>
    <n v="100.3"/>
    <n v="329"/>
    <n v="194"/>
    <s v="Van"/>
    <n v="4"/>
    <s v="Germany"/>
    <s v="Luxury"/>
    <n v="35726"/>
    <n v="3.78"/>
    <n v="6"/>
    <n v="5903128448.3999996"/>
  </r>
  <r>
    <x v="8"/>
    <s v="Explorer EV"/>
    <x v="1"/>
    <s v="Long Range"/>
    <n v="77562.36"/>
    <n v="104.2"/>
    <n v="348"/>
    <n v="156"/>
    <s v="Hatchback"/>
    <n v="4"/>
    <s v="US"/>
    <s v="Premium"/>
    <n v="27293"/>
    <n v="3.54"/>
    <n v="3"/>
    <n v="2116909491.48"/>
  </r>
  <r>
    <x v="8"/>
    <s v="F-150 Lightning"/>
    <x v="1"/>
    <s v="Base"/>
    <n v="63458.62"/>
    <n v="66.8"/>
    <n v="253"/>
    <n v="136"/>
    <s v="Truck"/>
    <n v="4"/>
    <s v="US"/>
    <s v="Mid-range"/>
    <n v="76517"/>
    <n v="3.4"/>
    <n v="4"/>
    <n v="4855663226.54"/>
  </r>
  <r>
    <x v="2"/>
    <s v="Model X"/>
    <x v="1"/>
    <s v="Standard"/>
    <n v="27945.8"/>
    <n v="48.4"/>
    <n v="157"/>
    <n v="149"/>
    <s v="Hatchback"/>
    <n v="5"/>
    <s v="US"/>
    <s v="Budget"/>
    <n v="162791"/>
    <n v="3.38"/>
    <n v="6"/>
    <n v="4549324727.8000002"/>
  </r>
  <r>
    <x v="3"/>
    <s v="Seagull"/>
    <x v="1"/>
    <s v="Standard"/>
    <n v="73231.02"/>
    <n v="46.1"/>
    <n v="166"/>
    <n v="141"/>
    <s v="Sedan"/>
    <n v="4"/>
    <s v="China"/>
    <s v="Premium"/>
    <n v="227938"/>
    <n v="3.21"/>
    <n v="4"/>
    <n v="16692132236.76"/>
  </r>
  <r>
    <x v="2"/>
    <s v="Model Y"/>
    <x v="1"/>
    <s v="Standard"/>
    <n v="49771.040000000001"/>
    <n v="62.5"/>
    <n v="225"/>
    <n v="175"/>
    <s v="Coupe"/>
    <n v="3"/>
    <s v="US"/>
    <s v="Mid-range"/>
    <n v="483023"/>
    <n v="3.69"/>
    <n v="5"/>
    <n v="24040557053.920002"/>
  </r>
  <r>
    <x v="12"/>
    <s v="Bolt EUV"/>
    <x v="1"/>
    <s v="Standard"/>
    <n v="44183.28"/>
    <n v="58.8"/>
    <n v="207"/>
    <n v="169"/>
    <s v="Van"/>
    <n v="5"/>
    <s v="US"/>
    <s v="Mid-range"/>
    <n v="22786"/>
    <n v="3.51"/>
    <n v="4"/>
    <n v="1006760218.0799999"/>
  </r>
  <r>
    <x v="3"/>
    <s v="Leaf 50X"/>
    <x v="1"/>
    <s v="Premium"/>
    <n v="32842.629999999997"/>
    <n v="55.1"/>
    <n v="180"/>
    <n v="139"/>
    <s v="SUV"/>
    <n v="4"/>
    <s v="China"/>
    <s v="Budget"/>
    <n v="173134"/>
    <n v="3.1"/>
    <n v="4"/>
    <n v="5686175902.4199991"/>
  </r>
  <r>
    <x v="5"/>
    <s v="Niro EV"/>
    <x v="1"/>
    <s v="Premium"/>
    <n v="101333.39"/>
    <n v="70.5"/>
    <n v="249"/>
    <n v="170"/>
    <s v="Van"/>
    <n v="4"/>
    <s v="South Korea"/>
    <s v="Luxury"/>
    <n v="89918"/>
    <n v="3.29"/>
    <n v="4"/>
    <n v="9111695762.0200005"/>
  </r>
  <r>
    <x v="3"/>
    <s v="Leaf 50X"/>
    <x v="1"/>
    <s v="Performance"/>
    <n v="86937.42"/>
    <n v="114.7"/>
    <n v="426"/>
    <n v="200"/>
    <s v="Sedan"/>
    <n v="5"/>
    <s v="China"/>
    <s v="Premium"/>
    <n v="145646"/>
    <n v="4.13"/>
    <n v="4"/>
    <n v="12662087473.32"/>
  </r>
  <r>
    <x v="5"/>
    <s v="EV9"/>
    <x v="1"/>
    <s v="Long Range"/>
    <n v="60641.55"/>
    <n v="109.9"/>
    <n v="404"/>
    <n v="168"/>
    <s v="SUV"/>
    <n v="5"/>
    <s v="South Korea"/>
    <s v="Mid-range"/>
    <n v="116742"/>
    <n v="3.9"/>
    <n v="5"/>
    <n v="7079415830.1000004"/>
  </r>
  <r>
    <x v="3"/>
    <s v="Leaf 50X"/>
    <x v="1"/>
    <s v="Base"/>
    <n v="44708.41"/>
    <n v="55.8"/>
    <n v="204"/>
    <n v="146"/>
    <s v="Hatchback"/>
    <n v="4"/>
    <s v="China"/>
    <s v="Mid-range"/>
    <n v="132992"/>
    <n v="3.34"/>
    <n v="4"/>
    <n v="5945860862.7200003"/>
  </r>
  <r>
    <x v="9"/>
    <s v="iX"/>
    <x v="1"/>
    <s v="Performance"/>
    <n v="122478.25"/>
    <n v="85.4"/>
    <n v="288"/>
    <n v="194"/>
    <s v="Hatchback"/>
    <n v="3"/>
    <s v="Germany"/>
    <s v="Luxury"/>
    <n v="61194"/>
    <n v="3.64"/>
    <n v="6"/>
    <n v="7494934030.5"/>
  </r>
  <r>
    <x v="2"/>
    <s v="Model S"/>
    <x v="1"/>
    <s v="Premium"/>
    <n v="108109.05"/>
    <n v="82.6"/>
    <n v="273"/>
    <n v="128"/>
    <s v="Van"/>
    <n v="4"/>
    <s v="US"/>
    <s v="Luxury"/>
    <n v="201131"/>
    <n v="3.9"/>
    <n v="5"/>
    <n v="21744081335.549999"/>
  </r>
  <r>
    <x v="7"/>
    <s v="ID. Aero"/>
    <x v="1"/>
    <s v="Long Range"/>
    <n v="76214.899999999994"/>
    <n v="92.3"/>
    <n v="348"/>
    <n v="172"/>
    <s v="Truck"/>
    <n v="5"/>
    <s v="Germany"/>
    <s v="Premium"/>
    <n v="249899"/>
    <n v="3.71"/>
    <n v="4"/>
    <n v="19046027295.099998"/>
  </r>
  <r>
    <x v="2"/>
    <s v="Model S"/>
    <x v="1"/>
    <s v="Base"/>
    <n v="109935.85"/>
    <n v="84.2"/>
    <n v="288"/>
    <n v="127"/>
    <s v="Truck"/>
    <n v="4"/>
    <s v="US"/>
    <s v="Luxury"/>
    <n v="117148"/>
    <n v="3.95"/>
    <n v="5"/>
    <n v="12878764955.800001"/>
  </r>
  <r>
    <x v="2"/>
    <s v="Model 3"/>
    <x v="1"/>
    <s v="Standard"/>
    <n v="24979.98"/>
    <n v="81.099999999999994"/>
    <n v="271"/>
    <n v="135"/>
    <s v="Hatchback"/>
    <n v="5"/>
    <s v="US"/>
    <s v="Budget"/>
    <n v="132068"/>
    <n v="3.73"/>
    <n v="4"/>
    <n v="3299055998.6399999"/>
  </r>
  <r>
    <x v="3"/>
    <s v="Seagull"/>
    <x v="1"/>
    <s v="Base"/>
    <n v="53782.86"/>
    <n v="84.7"/>
    <n v="314"/>
    <n v="169"/>
    <s v="Van"/>
    <n v="4"/>
    <s v="China"/>
    <s v="Mid-range"/>
    <n v="162990"/>
    <n v="3.75"/>
    <n v="3"/>
    <n v="8766068351.3999996"/>
  </r>
  <r>
    <x v="9"/>
    <s v="iX"/>
    <x v="1"/>
    <s v="Standard"/>
    <n v="82329.27"/>
    <n v="71.8"/>
    <n v="258"/>
    <n v="150"/>
    <s v="Hatchback"/>
    <n v="4"/>
    <s v="Germany"/>
    <s v="Premium"/>
    <n v="59553"/>
    <n v="3.74"/>
    <n v="6"/>
    <n v="4902955016.3100004"/>
  </r>
  <r>
    <x v="3"/>
    <s v="Atto 3"/>
    <x v="1"/>
    <s v="Performance"/>
    <n v="91712.12"/>
    <n v="80.099999999999994"/>
    <n v="268"/>
    <n v="193"/>
    <s v="Hatchback"/>
    <n v="5"/>
    <s v="China"/>
    <s v="Premium"/>
    <n v="177248"/>
    <n v="3.63"/>
    <n v="3"/>
    <n v="16255789845.759998"/>
  </r>
  <r>
    <x v="9"/>
    <s v="i5"/>
    <x v="1"/>
    <s v="Premium"/>
    <n v="139020.51"/>
    <n v="63.5"/>
    <n v="232"/>
    <n v="131"/>
    <s v="Truck"/>
    <n v="5"/>
    <s v="Germany"/>
    <s v="Luxury"/>
    <n v="48199"/>
    <n v="3.44"/>
    <n v="5"/>
    <n v="6700649561.4900007"/>
  </r>
  <r>
    <x v="7"/>
    <s v="ID. Aero"/>
    <x v="1"/>
    <s v="Standard"/>
    <n v="60392.45"/>
    <n v="68"/>
    <n v="225"/>
    <n v="137"/>
    <s v="Truck"/>
    <n v="3"/>
    <s v="Germany"/>
    <s v="Mid-range"/>
    <n v="256880"/>
    <n v="3.23"/>
    <n v="3"/>
    <n v="15513612556"/>
  </r>
  <r>
    <x v="2"/>
    <s v="Model X"/>
    <x v="1"/>
    <s v="Premium"/>
    <n v="97027.76"/>
    <n v="71.400000000000006"/>
    <n v="235"/>
    <n v="150"/>
    <s v="Van"/>
    <n v="4"/>
    <s v="US"/>
    <s v="Premium"/>
    <n v="229836"/>
    <n v="3.91"/>
    <n v="4"/>
    <n v="22300472247.360001"/>
  </r>
  <r>
    <x v="5"/>
    <s v="Niro EV"/>
    <x v="1"/>
    <s v="Performance"/>
    <n v="51783.96"/>
    <n v="99.9"/>
    <n v="345"/>
    <n v="197"/>
    <s v="SUV"/>
    <n v="5"/>
    <s v="South Korea"/>
    <s v="Mid-range"/>
    <n v="94100"/>
    <n v="3.93"/>
    <n v="4"/>
    <n v="4872870636"/>
  </r>
  <r>
    <x v="9"/>
    <s v="i3"/>
    <x v="1"/>
    <s v="Long Range"/>
    <n v="102095.14"/>
    <n v="106.5"/>
    <n v="364"/>
    <n v="178"/>
    <s v="Coupe"/>
    <n v="4"/>
    <s v="Germany"/>
    <s v="Luxury"/>
    <n v="29444"/>
    <n v="3.44"/>
    <n v="5"/>
    <n v="3006089302.1599998"/>
  </r>
  <r>
    <x v="4"/>
    <s v="e-tron"/>
    <x v="1"/>
    <s v="Performance"/>
    <n v="119078.45"/>
    <n v="118.6"/>
    <n v="396"/>
    <n v="200"/>
    <s v="Coupe"/>
    <n v="5"/>
    <s v="Germany"/>
    <s v="Luxury"/>
    <n v="62009"/>
    <n v="3.84"/>
    <n v="8"/>
    <n v="7383935606.0500002"/>
  </r>
  <r>
    <x v="3"/>
    <s v="Dolphin"/>
    <x v="1"/>
    <s v="Performance"/>
    <n v="43985.87"/>
    <n v="97.2"/>
    <n v="348"/>
    <n v="200"/>
    <s v="Coupe"/>
    <n v="4"/>
    <s v="China"/>
    <s v="Mid-range"/>
    <n v="213365"/>
    <n v="3.76"/>
    <n v="4"/>
    <n v="9385045152.5500011"/>
  </r>
  <r>
    <x v="14"/>
    <s v="EL8"/>
    <x v="1"/>
    <s v="Long Range"/>
    <n v="55221.99"/>
    <n v="108.2"/>
    <n v="383"/>
    <n v="187"/>
    <s v="Coupe"/>
    <n v="4"/>
    <s v="China"/>
    <s v="Mid-range"/>
    <n v="7302"/>
    <n v="3.7"/>
    <n v="3"/>
    <n v="403230970.97999996"/>
  </r>
  <r>
    <x v="12"/>
    <s v="Silverado EV"/>
    <x v="1"/>
    <s v="Premium"/>
    <n v="53395.89"/>
    <n v="42.6"/>
    <n v="150"/>
    <n v="163"/>
    <s v="Sedan"/>
    <n v="4"/>
    <s v="US"/>
    <s v="Mid-range"/>
    <n v="1550"/>
    <n v="3.22"/>
    <n v="4"/>
    <n v="82763629.5"/>
  </r>
  <r>
    <x v="5"/>
    <s v="Picanto EV"/>
    <x v="1"/>
    <s v="Performance"/>
    <n v="106510.25"/>
    <n v="75.099999999999994"/>
    <n v="275"/>
    <n v="200"/>
    <s v="Van"/>
    <n v="5"/>
    <s v="South Korea"/>
    <s v="Luxury"/>
    <n v="120403"/>
    <n v="3.37"/>
    <n v="3"/>
    <n v="12824153630.75"/>
  </r>
  <r>
    <x v="13"/>
    <s v="EQE"/>
    <x v="1"/>
    <s v="Standard"/>
    <n v="115665.62"/>
    <n v="57.4"/>
    <n v="162"/>
    <n v="169"/>
    <s v="Hatchback"/>
    <n v="4"/>
    <s v="Germany"/>
    <s v="Luxury"/>
    <n v="25083"/>
    <n v="3.26"/>
    <n v="7"/>
    <n v="2901240746.46"/>
  </r>
  <r>
    <x v="12"/>
    <s v="Bolt EUV"/>
    <x v="1"/>
    <s v="Base"/>
    <n v="40119.64"/>
    <n v="79"/>
    <n v="282"/>
    <n v="141"/>
    <s v="SUV"/>
    <n v="5"/>
    <s v="US"/>
    <s v="Mid-range"/>
    <n v="25340"/>
    <n v="3.36"/>
    <n v="4"/>
    <n v="1016631677.6"/>
  </r>
  <r>
    <x v="9"/>
    <s v="i7"/>
    <x v="1"/>
    <s v="Long Range"/>
    <n v="75380.59"/>
    <n v="109"/>
    <n v="366"/>
    <n v="181"/>
    <s v="SUV"/>
    <n v="4"/>
    <s v="Germany"/>
    <s v="Premium"/>
    <n v="62356"/>
    <n v="3.91"/>
    <n v="7"/>
    <n v="4700432070.04"/>
  </r>
  <r>
    <x v="5"/>
    <s v="EV9"/>
    <x v="1"/>
    <s v="Standard"/>
    <n v="32210.63"/>
    <n v="78.099999999999994"/>
    <n v="270"/>
    <n v="137"/>
    <s v="SUV"/>
    <n v="5"/>
    <s v="South Korea"/>
    <s v="Budget"/>
    <n v="60096"/>
    <n v="3.21"/>
    <n v="5"/>
    <n v="1935730020.48"/>
  </r>
  <r>
    <x v="3"/>
    <s v="Seagull"/>
    <x v="1"/>
    <s v="Performance"/>
    <n v="106411.54"/>
    <n v="95.1"/>
    <n v="346"/>
    <n v="200"/>
    <s v="Van"/>
    <n v="5"/>
    <s v="China"/>
    <s v="Luxury"/>
    <n v="180190"/>
    <n v="3.58"/>
    <n v="3"/>
    <n v="19174295392.599998"/>
  </r>
  <r>
    <x v="11"/>
    <s v="R1T"/>
    <x v="1"/>
    <s v="Standard"/>
    <n v="75009.919999999998"/>
    <n v="69.099999999999994"/>
    <n v="263"/>
    <n v="141"/>
    <s v="Truck"/>
    <n v="5"/>
    <s v="US"/>
    <s v="Premium"/>
    <n v="1899"/>
    <n v="3.57"/>
    <n v="4"/>
    <n v="142443838.07999998"/>
  </r>
  <r>
    <x v="7"/>
    <s v="ID. Aero"/>
    <x v="1"/>
    <s v="Performance"/>
    <n v="102347.9"/>
    <n v="83.8"/>
    <n v="290"/>
    <n v="200"/>
    <s v="SUV"/>
    <n v="5"/>
    <s v="Germany"/>
    <s v="Luxury"/>
    <n v="251849"/>
    <n v="3.65"/>
    <n v="4"/>
    <n v="25776216267.099998"/>
  </r>
  <r>
    <x v="3"/>
    <s v="Yuan Plus"/>
    <x v="1"/>
    <s v="Base"/>
    <n v="24412.01"/>
    <n v="82.7"/>
    <n v="290"/>
    <n v="152"/>
    <s v="Truck"/>
    <n v="5"/>
    <s v="China"/>
    <s v="Budget"/>
    <n v="206262"/>
    <n v="3.68"/>
    <n v="4"/>
    <n v="5035270006.6199999"/>
  </r>
  <r>
    <x v="15"/>
    <s v="Macan Electric"/>
    <x v="1"/>
    <s v="Standard"/>
    <n v="163150.51999999999"/>
    <n v="73.900000000000006"/>
    <n v="281"/>
    <n v="137"/>
    <s v="Van"/>
    <n v="5"/>
    <s v="Germany"/>
    <s v="Luxury"/>
    <n v="2340"/>
    <n v="4.03"/>
    <n v="6"/>
    <n v="381772216.79999995"/>
  </r>
  <r>
    <x v="5"/>
    <s v="EV6"/>
    <x v="1"/>
    <s v="Premium"/>
    <n v="91322.04"/>
    <n v="65.900000000000006"/>
    <n v="229"/>
    <n v="156"/>
    <s v="SUV"/>
    <n v="4"/>
    <s v="South Korea"/>
    <s v="Premium"/>
    <n v="103135"/>
    <n v="3.43"/>
    <n v="3"/>
    <n v="9418498595.3999996"/>
  </r>
  <r>
    <x v="2"/>
    <s v="Model Y"/>
    <x v="1"/>
    <s v="Standard"/>
    <n v="116565.3"/>
    <n v="80.7"/>
    <n v="282"/>
    <n v="136"/>
    <s v="Sedan"/>
    <n v="5"/>
    <s v="US"/>
    <s v="Luxury"/>
    <n v="458264"/>
    <n v="3.95"/>
    <n v="6"/>
    <n v="53417680639.200005"/>
  </r>
  <r>
    <x v="9"/>
    <s v="i3"/>
    <x v="1"/>
    <s v="Premium"/>
    <n v="119496.22"/>
    <n v="73.8"/>
    <n v="254"/>
    <n v="133"/>
    <s v="Van"/>
    <n v="5"/>
    <s v="Germany"/>
    <s v="Luxury"/>
    <n v="47944"/>
    <n v="3.44"/>
    <n v="6"/>
    <n v="5729126771.6800003"/>
  </r>
  <r>
    <x v="2"/>
    <s v="Model Y"/>
    <x v="1"/>
    <s v="Base"/>
    <n v="59816.02"/>
    <n v="58.9"/>
    <n v="204"/>
    <n v="157"/>
    <s v="Van"/>
    <n v="4"/>
    <s v="US"/>
    <s v="Mid-range"/>
    <n v="446207"/>
    <n v="3.67"/>
    <n v="6"/>
    <n v="26690326836.139999"/>
  </r>
  <r>
    <x v="3"/>
    <s v="Seagull"/>
    <x v="1"/>
    <s v="Performance"/>
    <n v="99786.36"/>
    <n v="108.9"/>
    <n v="369"/>
    <n v="200"/>
    <s v="Sedan"/>
    <n v="5"/>
    <s v="China"/>
    <s v="Premium"/>
    <n v="126447"/>
    <n v="3.92"/>
    <n v="3"/>
    <n v="12617685862.92"/>
  </r>
  <r>
    <x v="9"/>
    <s v="iX"/>
    <x v="1"/>
    <s v="Long Range"/>
    <n v="86702.14"/>
    <n v="97.3"/>
    <n v="331"/>
    <n v="176"/>
    <s v="SUV"/>
    <n v="3"/>
    <s v="Germany"/>
    <s v="Premium"/>
    <n v="40089"/>
    <n v="3.69"/>
    <n v="7"/>
    <n v="3475802090.46"/>
  </r>
  <r>
    <x v="2"/>
    <s v="Model Y"/>
    <x v="1"/>
    <s v="Premium"/>
    <n v="60365.37"/>
    <n v="70.3"/>
    <n v="225"/>
    <n v="155"/>
    <s v="Sedan"/>
    <n v="5"/>
    <s v="US"/>
    <s v="Mid-range"/>
    <n v="438670"/>
    <n v="3.68"/>
    <n v="4"/>
    <n v="26480476857.900002"/>
  </r>
  <r>
    <x v="6"/>
    <s v="Ioniq"/>
    <x v="1"/>
    <s v="Standard"/>
    <n v="33847.360000000001"/>
    <n v="58.9"/>
    <n v="209"/>
    <n v="158"/>
    <s v="Sedan"/>
    <n v="3"/>
    <s v="South Korea"/>
    <s v="Budget"/>
    <n v="145242"/>
    <n v="3.32"/>
    <n v="3"/>
    <n v="4916058261.1199999"/>
  </r>
  <r>
    <x v="6"/>
    <s v="Ioniq"/>
    <x v="1"/>
    <s v="Performance"/>
    <n v="54289.29"/>
    <n v="101.8"/>
    <n v="323"/>
    <n v="196"/>
    <s v="Hatchback"/>
    <n v="4"/>
    <s v="South Korea"/>
    <s v="Mid-range"/>
    <n v="110889"/>
    <n v="3.69"/>
    <n v="4"/>
    <n v="6020085078.8100004"/>
  </r>
  <r>
    <x v="9"/>
    <s v="i7"/>
    <x v="1"/>
    <s v="Base"/>
    <n v="76431.360000000001"/>
    <n v="47"/>
    <n v="150"/>
    <n v="160"/>
    <s v="Sedan"/>
    <n v="4"/>
    <s v="Germany"/>
    <s v="Premium"/>
    <n v="30267"/>
    <n v="3.08"/>
    <n v="5"/>
    <n v="2313347973.1199999"/>
  </r>
  <r>
    <x v="7"/>
    <s v="ID.4"/>
    <x v="1"/>
    <s v="Premium"/>
    <n v="105115.96"/>
    <n v="73.099999999999994"/>
    <n v="242"/>
    <n v="143"/>
    <s v="Truck"/>
    <n v="4"/>
    <s v="Germany"/>
    <s v="Luxury"/>
    <n v="297514"/>
    <n v="3.44"/>
    <n v="5"/>
    <n v="31273469723.440002"/>
  </r>
  <r>
    <x v="7"/>
    <s v="ID.5"/>
    <x v="1"/>
    <s v="Long Range"/>
    <n v="44741.31"/>
    <n v="93.3"/>
    <n v="312"/>
    <n v="186"/>
    <s v="Sedan"/>
    <n v="5"/>
    <s v="Germany"/>
    <s v="Mid-range"/>
    <n v="254746"/>
    <n v="3.41"/>
    <n v="4"/>
    <n v="11397669757.26"/>
  </r>
  <r>
    <x v="3"/>
    <s v="Qin"/>
    <x v="1"/>
    <s v="Base"/>
    <n v="25493.200000000001"/>
    <n v="79"/>
    <n v="290"/>
    <n v="147"/>
    <s v="SUV"/>
    <n v="4"/>
    <s v="China"/>
    <s v="Budget"/>
    <n v="203716"/>
    <n v="3.59"/>
    <n v="3"/>
    <n v="5193372731.1999998"/>
  </r>
  <r>
    <x v="7"/>
    <s v="ID. Buzz"/>
    <x v="1"/>
    <s v="Long Range"/>
    <n v="35869.49"/>
    <n v="82.6"/>
    <n v="267"/>
    <n v="165"/>
    <s v="Truck"/>
    <n v="3"/>
    <s v="Germany"/>
    <s v="Mid-range"/>
    <n v="202031"/>
    <n v="3.79"/>
    <n v="3"/>
    <n v="7246748934.1899996"/>
  </r>
  <r>
    <x v="2"/>
    <s v="Model S"/>
    <x v="1"/>
    <s v="Premium"/>
    <n v="143043.07999999999"/>
    <n v="60"/>
    <n v="222"/>
    <n v="153"/>
    <s v="SUV"/>
    <n v="5"/>
    <s v="US"/>
    <s v="Luxury"/>
    <n v="139115"/>
    <n v="3.55"/>
    <n v="5"/>
    <n v="19899438074.199997"/>
  </r>
  <r>
    <x v="2"/>
    <s v="Model X"/>
    <x v="1"/>
    <s v="Base"/>
    <n v="66814.080000000002"/>
    <n v="57.8"/>
    <n v="194"/>
    <n v="136"/>
    <s v="Truck"/>
    <n v="4"/>
    <s v="US"/>
    <s v="Premium"/>
    <n v="228985"/>
    <n v="3.76"/>
    <n v="6"/>
    <n v="15299422108.800001"/>
  </r>
  <r>
    <x v="12"/>
    <s v="Bolt EV"/>
    <x v="1"/>
    <s v="Performance"/>
    <n v="47454.86"/>
    <n v="102.7"/>
    <n v="354"/>
    <n v="200"/>
    <s v="Van"/>
    <n v="4"/>
    <s v="US"/>
    <s v="Mid-range"/>
    <n v="7468"/>
    <n v="3.83"/>
    <n v="3"/>
    <n v="354392894.48000002"/>
  </r>
  <r>
    <x v="12"/>
    <s v="Equinox EV"/>
    <x v="1"/>
    <s v="Long Range"/>
    <n v="61755.21"/>
    <n v="79.099999999999994"/>
    <n v="270"/>
    <n v="165"/>
    <s v="SUV"/>
    <n v="5"/>
    <s v="US"/>
    <s v="Mid-range"/>
    <n v="9557"/>
    <n v="3.66"/>
    <n v="3"/>
    <n v="590194541.97000003"/>
  </r>
  <r>
    <x v="12"/>
    <s v="Bolt EV"/>
    <x v="1"/>
    <s v="Base"/>
    <n v="57965.58"/>
    <n v="67"/>
    <n v="237"/>
    <n v="159"/>
    <s v="Van"/>
    <n v="4"/>
    <s v="US"/>
    <s v="Mid-range"/>
    <n v="3168"/>
    <n v="3.49"/>
    <n v="4"/>
    <n v="183634957.44"/>
  </r>
  <r>
    <x v="3"/>
    <s v="Yuan Plus"/>
    <x v="1"/>
    <s v="Performance"/>
    <n v="36438.81"/>
    <n v="91.3"/>
    <n v="319"/>
    <n v="192"/>
    <s v="Coupe"/>
    <n v="4"/>
    <s v="China"/>
    <s v="Mid-range"/>
    <n v="110969"/>
    <n v="3.76"/>
    <n v="4"/>
    <n v="4043578306.8899999"/>
  </r>
  <r>
    <x v="8"/>
    <s v="Explorer EV"/>
    <x v="1"/>
    <s v="Premium"/>
    <n v="97933.8"/>
    <n v="43.7"/>
    <n v="150"/>
    <n v="142"/>
    <s v="SUV"/>
    <n v="4"/>
    <s v="US"/>
    <s v="Premium"/>
    <n v="45842"/>
    <n v="3.05"/>
    <n v="4"/>
    <n v="4489481259.6000004"/>
  </r>
  <r>
    <x v="11"/>
    <s v="R2"/>
    <x v="1"/>
    <s v="Performance"/>
    <n v="113614.29"/>
    <n v="108.1"/>
    <n v="387"/>
    <n v="200"/>
    <s v="Hatchback"/>
    <n v="5"/>
    <s v="US"/>
    <s v="Luxury"/>
    <n v="4505"/>
    <n v="3.89"/>
    <n v="5"/>
    <n v="511832376.44999999"/>
  </r>
  <r>
    <x v="2"/>
    <s v="Model X"/>
    <x v="1"/>
    <s v="Premium"/>
    <n v="118010.78"/>
    <n v="64.7"/>
    <n v="229"/>
    <n v="141"/>
    <s v="Hatchback"/>
    <n v="4"/>
    <s v="US"/>
    <s v="Luxury"/>
    <n v="177339"/>
    <n v="3.7"/>
    <n v="5"/>
    <n v="20927913714.419998"/>
  </r>
  <r>
    <x v="2"/>
    <s v="Model X"/>
    <x v="1"/>
    <s v="Long Range"/>
    <n v="118192.05"/>
    <n v="92.9"/>
    <n v="329"/>
    <n v="162"/>
    <s v="Coupe"/>
    <n v="5"/>
    <s v="US"/>
    <s v="Luxury"/>
    <n v="123098"/>
    <n v="3.96"/>
    <n v="5"/>
    <n v="14549204970.9"/>
  </r>
  <r>
    <x v="2"/>
    <s v="Model S"/>
    <x v="1"/>
    <s v="Performance"/>
    <n v="76847.7"/>
    <n v="116.8"/>
    <n v="418"/>
    <n v="197"/>
    <s v="Coupe"/>
    <n v="5"/>
    <s v="US"/>
    <s v="Premium"/>
    <n v="229674"/>
    <n v="4"/>
    <n v="5"/>
    <n v="17649918649.799999"/>
  </r>
  <r>
    <x v="2"/>
    <s v="Model X"/>
    <x v="1"/>
    <s v="Premium"/>
    <n v="100894.61"/>
    <n v="84.8"/>
    <n v="304"/>
    <n v="161"/>
    <s v="SUV"/>
    <n v="5"/>
    <s v="US"/>
    <s v="Luxury"/>
    <n v="201220"/>
    <n v="3.9"/>
    <n v="5"/>
    <n v="20302013424.200001"/>
  </r>
  <r>
    <x v="0"/>
    <s v="bZ4X"/>
    <x v="1"/>
    <s v="Performance"/>
    <n v="93898.99"/>
    <n v="117.1"/>
    <n v="375"/>
    <n v="182"/>
    <s v="Coupe"/>
    <n v="5"/>
    <s v="Japan"/>
    <s v="Premium"/>
    <n v="29112"/>
    <n v="3.93"/>
    <n v="3"/>
    <n v="2733587396.8800001"/>
  </r>
  <r>
    <x v="13"/>
    <s v="GLE EV"/>
    <x v="1"/>
    <s v="Long Range"/>
    <n v="133886.35"/>
    <n v="108.5"/>
    <n v="379"/>
    <n v="159"/>
    <s v="Van"/>
    <n v="4"/>
    <s v="Germany"/>
    <s v="Luxury"/>
    <n v="61011"/>
    <n v="4"/>
    <n v="7"/>
    <n v="8168540099.8500004"/>
  </r>
  <r>
    <x v="5"/>
    <s v="EV9"/>
    <x v="1"/>
    <s v="Long Range"/>
    <n v="56383.76"/>
    <n v="77.599999999999994"/>
    <n v="294"/>
    <n v="162"/>
    <s v="SUV"/>
    <n v="5"/>
    <s v="South Korea"/>
    <s v="Mid-range"/>
    <n v="85632"/>
    <n v="3.6"/>
    <n v="3"/>
    <n v="4828254136.3200006"/>
  </r>
  <r>
    <x v="3"/>
    <s v="Dolphin"/>
    <x v="1"/>
    <s v="Premium"/>
    <n v="107053.36"/>
    <n v="82.6"/>
    <n v="300"/>
    <n v="164"/>
    <s v="Coupe"/>
    <n v="3"/>
    <s v="China"/>
    <s v="Luxury"/>
    <n v="216609"/>
    <n v="3.76"/>
    <n v="4"/>
    <n v="23188721256.240002"/>
  </r>
  <r>
    <x v="5"/>
    <s v="EV6"/>
    <x v="1"/>
    <s v="Premium"/>
    <n v="36092.980000000003"/>
    <n v="41.6"/>
    <n v="150"/>
    <n v="170"/>
    <s v="SUV"/>
    <n v="5"/>
    <s v="South Korea"/>
    <s v="Mid-range"/>
    <n v="73706"/>
    <n v="3"/>
    <n v="3"/>
    <n v="2660269183.8800001"/>
  </r>
  <r>
    <x v="7"/>
    <s v="ID.3"/>
    <x v="1"/>
    <s v="Long Range"/>
    <n v="70654.720000000001"/>
    <n v="88.4"/>
    <n v="317"/>
    <n v="163"/>
    <s v="Hatchback"/>
    <n v="4"/>
    <s v="Germany"/>
    <s v="Premium"/>
    <n v="211095"/>
    <n v="3.8"/>
    <n v="5"/>
    <n v="14914858118.4"/>
  </r>
  <r>
    <x v="13"/>
    <s v="GLE EV"/>
    <x v="1"/>
    <s v="Performance"/>
    <n v="167760.51"/>
    <n v="110.2"/>
    <n v="367"/>
    <n v="189"/>
    <s v="Hatchback"/>
    <n v="5"/>
    <s v="Germany"/>
    <s v="Luxury"/>
    <n v="66576"/>
    <n v="3.8"/>
    <n v="8"/>
    <n v="11168823713.76"/>
  </r>
  <r>
    <x v="2"/>
    <s v="Cybertruck"/>
    <x v="1"/>
    <s v="Base"/>
    <n v="64613.56"/>
    <n v="49.8"/>
    <n v="175"/>
    <n v="130"/>
    <s v="Truck"/>
    <n v="4"/>
    <s v="US"/>
    <s v="Mid-range"/>
    <n v="243316"/>
    <n v="3.49"/>
    <n v="5"/>
    <n v="15721512964.959999"/>
  </r>
  <r>
    <x v="3"/>
    <s v="Dolphin"/>
    <x v="1"/>
    <s v="Standard"/>
    <n v="36671.61"/>
    <n v="51.7"/>
    <n v="195"/>
    <n v="166"/>
    <s v="Truck"/>
    <n v="4"/>
    <s v="China"/>
    <s v="Mid-range"/>
    <n v="112221"/>
    <n v="3.41"/>
    <n v="4"/>
    <n v="4115324745.8099999"/>
  </r>
  <r>
    <x v="12"/>
    <s v="Bolt EUV"/>
    <x v="1"/>
    <s v="Standard"/>
    <n v="64473.77"/>
    <n v="77.599999999999994"/>
    <n v="293"/>
    <n v="143"/>
    <s v="Truck"/>
    <n v="4"/>
    <s v="US"/>
    <s v="Mid-range"/>
    <n v="9147"/>
    <n v="3.72"/>
    <n v="4"/>
    <n v="589741574.18999994"/>
  </r>
  <r>
    <x v="5"/>
    <s v="Sportage EV"/>
    <x v="1"/>
    <s v="Performance"/>
    <n v="92296.55"/>
    <n v="118.8"/>
    <n v="403"/>
    <n v="197"/>
    <s v="SUV"/>
    <n v="5"/>
    <s v="South Korea"/>
    <s v="Premium"/>
    <n v="79309"/>
    <n v="3.97"/>
    <n v="4"/>
    <n v="7319947083.9499998"/>
  </r>
  <r>
    <x v="16"/>
    <s v="SU7"/>
    <x v="1"/>
    <s v="Long Range"/>
    <n v="49221.78"/>
    <n v="80.400000000000006"/>
    <n v="266"/>
    <n v="176"/>
    <s v="Hatchback"/>
    <n v="5"/>
    <s v="China"/>
    <s v="Mid-range"/>
    <n v="23659"/>
    <n v="3.6"/>
    <n v="3"/>
    <n v="1164538093.02"/>
  </r>
  <r>
    <x v="3"/>
    <s v="Qin"/>
    <x v="1"/>
    <s v="Premium"/>
    <n v="78313.97"/>
    <n v="76.099999999999994"/>
    <n v="270"/>
    <n v="135"/>
    <s v="Sedan"/>
    <n v="4"/>
    <s v="China"/>
    <s v="Premium"/>
    <n v="235914"/>
    <n v="3.5"/>
    <n v="4"/>
    <n v="18475361918.580002"/>
  </r>
  <r>
    <x v="12"/>
    <s v="Equinox EV"/>
    <x v="1"/>
    <s v="Performance"/>
    <n v="65656.759999999995"/>
    <n v="86.5"/>
    <n v="340"/>
    <n v="190"/>
    <s v="SUV"/>
    <n v="5"/>
    <s v="US"/>
    <s v="Premium"/>
    <n v="12802"/>
    <n v="3.96"/>
    <n v="5"/>
    <n v="840537841.51999998"/>
  </r>
  <r>
    <x v="0"/>
    <s v="bZ Compact SUV"/>
    <x v="2"/>
    <s v="Premium"/>
    <n v="48217.41"/>
    <n v="58.8"/>
    <n v="219"/>
    <n v="159"/>
    <s v="SUV"/>
    <n v="4"/>
    <s v="Japan"/>
    <s v="Mid-range"/>
    <n v="7146"/>
    <n v="3.56"/>
    <n v="3"/>
    <n v="344561611.86000001"/>
  </r>
  <r>
    <x v="2"/>
    <s v="Model 3"/>
    <x v="2"/>
    <s v="Long Range"/>
    <n v="144079.87"/>
    <n v="93.9"/>
    <n v="314"/>
    <n v="165"/>
    <s v="SUV"/>
    <n v="4"/>
    <s v="US"/>
    <s v="Luxury"/>
    <n v="196401"/>
    <n v="3.83"/>
    <n v="4"/>
    <n v="28297430547.869999"/>
  </r>
  <r>
    <x v="15"/>
    <s v="Macan Electric"/>
    <x v="2"/>
    <s v="Long Range"/>
    <n v="101897.93"/>
    <n v="76.099999999999994"/>
    <n v="254"/>
    <n v="163"/>
    <s v="Truck"/>
    <n v="5"/>
    <s v="Germany"/>
    <s v="Luxury"/>
    <n v="26972"/>
    <n v="3.68"/>
    <n v="7"/>
    <n v="2748390967.96"/>
  </r>
  <r>
    <x v="3"/>
    <s v="Qin"/>
    <x v="2"/>
    <s v="Standard"/>
    <n v="37515.42"/>
    <n v="52.5"/>
    <n v="194"/>
    <n v="137"/>
    <s v="Truck"/>
    <n v="4"/>
    <s v="China"/>
    <s v="Mid-range"/>
    <n v="192045"/>
    <n v="3.31"/>
    <n v="5"/>
    <n v="7204648833.8999996"/>
  </r>
  <r>
    <x v="6"/>
    <s v="Kona Electric"/>
    <x v="2"/>
    <s v="Long Range"/>
    <n v="84513.62"/>
    <n v="109.9"/>
    <n v="400"/>
    <n v="165"/>
    <s v="Coupe"/>
    <n v="4"/>
    <s v="South Korea"/>
    <s v="Premium"/>
    <n v="95418"/>
    <n v="3.69"/>
    <n v="4"/>
    <n v="8064120593.1599998"/>
  </r>
  <r>
    <x v="14"/>
    <s v="EL8"/>
    <x v="2"/>
    <s v="Base"/>
    <n v="53544.18"/>
    <n v="45"/>
    <n v="186"/>
    <n v="172"/>
    <s v="SUV"/>
    <n v="4"/>
    <s v="China"/>
    <s v="Mid-range"/>
    <n v="10495"/>
    <n v="3.38"/>
    <n v="5"/>
    <n v="561946169.10000002"/>
  </r>
  <r>
    <x v="1"/>
    <s v="Ocean"/>
    <x v="2"/>
    <s v="Long Range"/>
    <n v="59484.88"/>
    <n v="82.4"/>
    <n v="287"/>
    <n v="163"/>
    <s v="Hatchback"/>
    <n v="5"/>
    <s v="US"/>
    <s v="Mid-range"/>
    <n v="23860"/>
    <n v="3.43"/>
    <n v="5"/>
    <n v="1419309236.8"/>
  </r>
  <r>
    <x v="2"/>
    <s v="Model S"/>
    <x v="2"/>
    <s v="Long Range"/>
    <n v="133033.76"/>
    <n v="83.6"/>
    <n v="310"/>
    <n v="181"/>
    <s v="Coupe"/>
    <n v="5"/>
    <s v="US"/>
    <s v="Luxury"/>
    <n v="213496"/>
    <n v="3.81"/>
    <n v="5"/>
    <n v="28402175624.960003"/>
  </r>
  <r>
    <x v="5"/>
    <s v="EV6"/>
    <x v="2"/>
    <s v="Base"/>
    <n v="59652.7"/>
    <n v="67.900000000000006"/>
    <n v="238"/>
    <n v="156"/>
    <s v="SUV"/>
    <n v="5"/>
    <s v="South Korea"/>
    <s v="Mid-range"/>
    <n v="145797"/>
    <n v="3.55"/>
    <n v="3"/>
    <n v="8697184701.8999996"/>
  </r>
  <r>
    <x v="12"/>
    <s v="Blazer EV"/>
    <x v="2"/>
    <s v="Base"/>
    <n v="24572.41"/>
    <n v="46.5"/>
    <n v="182"/>
    <n v="168"/>
    <s v="Truck"/>
    <n v="4"/>
    <s v="US"/>
    <s v="Budget"/>
    <n v="9346"/>
    <n v="3.53"/>
    <n v="3"/>
    <n v="229653743.85999998"/>
  </r>
  <r>
    <x v="6"/>
    <s v="i30"/>
    <x v="2"/>
    <s v="Standard"/>
    <n v="35583.1"/>
    <n v="60.1"/>
    <n v="220"/>
    <n v="157"/>
    <s v="Sedan"/>
    <n v="5"/>
    <s v="South Korea"/>
    <s v="Mid-range"/>
    <n v="116403"/>
    <n v="3.38"/>
    <n v="3"/>
    <n v="4141979589.2999997"/>
  </r>
  <r>
    <x v="3"/>
    <s v="Yuan Plus"/>
    <x v="2"/>
    <s v="Standard"/>
    <n v="27939.32"/>
    <n v="56.5"/>
    <n v="182"/>
    <n v="141"/>
    <s v="SUV"/>
    <n v="5"/>
    <s v="China"/>
    <s v="Budget"/>
    <n v="100593"/>
    <n v="3.2"/>
    <n v="4"/>
    <n v="2810500016.7599998"/>
  </r>
  <r>
    <x v="2"/>
    <s v="Model Y"/>
    <x v="2"/>
    <s v="Long Range"/>
    <n v="112382.86"/>
    <n v="81.900000000000006"/>
    <n v="270"/>
    <n v="182"/>
    <s v="Coupe"/>
    <n v="4"/>
    <s v="US"/>
    <s v="Luxury"/>
    <n v="494879"/>
    <n v="3.77"/>
    <n v="4"/>
    <n v="55615917373.940002"/>
  </r>
  <r>
    <x v="7"/>
    <s v="ID.5"/>
    <x v="2"/>
    <s v="Premium"/>
    <n v="62108.39"/>
    <n v="82.1"/>
    <n v="268"/>
    <n v="137"/>
    <s v="SUV"/>
    <n v="5"/>
    <s v="Germany"/>
    <s v="Mid-range"/>
    <n v="222675"/>
    <n v="3.19"/>
    <n v="5"/>
    <n v="13829985743.25"/>
  </r>
  <r>
    <x v="5"/>
    <s v="Picanto EV"/>
    <x v="2"/>
    <s v="Performance"/>
    <n v="111175.38"/>
    <n v="89.2"/>
    <n v="319"/>
    <n v="190"/>
    <s v="Hatchback"/>
    <n v="5"/>
    <s v="South Korea"/>
    <s v="Luxury"/>
    <n v="51798"/>
    <n v="3.75"/>
    <n v="5"/>
    <n v="5758662333.2399998"/>
  </r>
  <r>
    <x v="14"/>
    <s v="EL6"/>
    <x v="2"/>
    <s v="Standard"/>
    <n v="69452.42"/>
    <n v="47.9"/>
    <n v="170"/>
    <n v="147"/>
    <s v="Sedan"/>
    <n v="5"/>
    <s v="China"/>
    <s v="Premium"/>
    <n v="28334"/>
    <n v="3.19"/>
    <n v="5"/>
    <n v="1967864868.28"/>
  </r>
  <r>
    <x v="3"/>
    <s v="Atto 3"/>
    <x v="2"/>
    <s v="Performance"/>
    <n v="38276.480000000003"/>
    <n v="92"/>
    <n v="283"/>
    <n v="199"/>
    <s v="Van"/>
    <n v="4"/>
    <s v="China"/>
    <s v="Mid-range"/>
    <n v="175542"/>
    <n v="3.44"/>
    <n v="5"/>
    <n v="6719129852.1600008"/>
  </r>
  <r>
    <x v="5"/>
    <s v="Picanto EV"/>
    <x v="2"/>
    <s v="Long Range"/>
    <n v="76439.210000000006"/>
    <n v="93"/>
    <n v="337"/>
    <n v="164"/>
    <s v="Truck"/>
    <n v="5"/>
    <s v="South Korea"/>
    <s v="Premium"/>
    <n v="85577"/>
    <n v="3.72"/>
    <n v="3"/>
    <n v="6541438274.1700001"/>
  </r>
  <r>
    <x v="4"/>
    <s v="e-tron GT"/>
    <x v="2"/>
    <s v="Premium"/>
    <n v="98374.44"/>
    <n v="50.7"/>
    <n v="166"/>
    <n v="164"/>
    <s v="Truck"/>
    <n v="5"/>
    <s v="Germany"/>
    <s v="Premium"/>
    <n v="45293"/>
    <n v="3.1"/>
    <n v="7"/>
    <n v="4455673510.9200001"/>
  </r>
  <r>
    <x v="6"/>
    <s v="Ioniq 5"/>
    <x v="2"/>
    <s v="Premium"/>
    <n v="72159.44"/>
    <n v="56.2"/>
    <n v="163"/>
    <n v="132"/>
    <s v="Van"/>
    <n v="4"/>
    <s v="South Korea"/>
    <s v="Premium"/>
    <n v="119329"/>
    <n v="3.43"/>
    <n v="4"/>
    <n v="8610713815.7600002"/>
  </r>
  <r>
    <x v="5"/>
    <s v="EV6"/>
    <x v="2"/>
    <s v="Long Range"/>
    <n v="90771.15"/>
    <n v="86.2"/>
    <n v="305"/>
    <n v="179"/>
    <s v="Truck"/>
    <n v="4"/>
    <s v="South Korea"/>
    <s v="Premium"/>
    <n v="86318"/>
    <n v="3.46"/>
    <n v="3"/>
    <n v="7835184125.6999998"/>
  </r>
  <r>
    <x v="2"/>
    <s v="Model S"/>
    <x v="2"/>
    <s v="Premium"/>
    <n v="59089.35"/>
    <n v="76.7"/>
    <n v="268"/>
    <n v="153"/>
    <s v="Sedan"/>
    <n v="5"/>
    <s v="US"/>
    <s v="Mid-range"/>
    <n v="130707"/>
    <n v="3.64"/>
    <n v="5"/>
    <n v="7723391670.4499998"/>
  </r>
  <r>
    <x v="2"/>
    <s v="Cybertruck"/>
    <x v="2"/>
    <s v="Performance"/>
    <n v="170128.32"/>
    <n v="84.4"/>
    <n v="303"/>
    <n v="186"/>
    <s v="Truck"/>
    <n v="4"/>
    <s v="US"/>
    <s v="Luxury"/>
    <n v="163960"/>
    <n v="4.09"/>
    <n v="5"/>
    <n v="27894239347.200001"/>
  </r>
  <r>
    <x v="5"/>
    <s v="Picanto EV"/>
    <x v="2"/>
    <s v="Base"/>
    <n v="43745.72"/>
    <n v="58.3"/>
    <n v="197"/>
    <n v="141"/>
    <s v="Hatchback"/>
    <n v="5"/>
    <s v="South Korea"/>
    <s v="Mid-range"/>
    <n v="77441"/>
    <n v="3.34"/>
    <n v="4"/>
    <n v="3387712302.52"/>
  </r>
  <r>
    <x v="0"/>
    <s v="bZ4X"/>
    <x v="2"/>
    <s v="Standard"/>
    <n v="69982.490000000005"/>
    <n v="42.6"/>
    <n v="156"/>
    <n v="153"/>
    <s v="Truck"/>
    <n v="5"/>
    <s v="Japan"/>
    <s v="Premium"/>
    <n v="8818"/>
    <n v="3.15"/>
    <n v="3"/>
    <n v="617105596.82000005"/>
  </r>
  <r>
    <x v="12"/>
    <s v="Bolt EV"/>
    <x v="2"/>
    <s v="Long Range"/>
    <n v="49443.87"/>
    <n v="82.7"/>
    <n v="262"/>
    <n v="179"/>
    <s v="Van"/>
    <n v="4"/>
    <s v="US"/>
    <s v="Mid-range"/>
    <n v="17112"/>
    <n v="3.4"/>
    <n v="3"/>
    <n v="846083503.44000006"/>
  </r>
  <r>
    <x v="3"/>
    <s v="Atto 3"/>
    <x v="2"/>
    <s v="Premium"/>
    <n v="36072.31"/>
    <n v="77.7"/>
    <n v="251"/>
    <n v="154"/>
    <s v="Van"/>
    <n v="4"/>
    <s v="China"/>
    <s v="Mid-range"/>
    <n v="159638"/>
    <n v="3.48"/>
    <n v="4"/>
    <n v="5758511423.7799997"/>
  </r>
  <r>
    <x v="7"/>
    <s v="ID.3"/>
    <x v="2"/>
    <s v="Standard"/>
    <n v="73902.850000000006"/>
    <n v="64"/>
    <n v="231"/>
    <n v="168"/>
    <s v="Van"/>
    <n v="4"/>
    <s v="Germany"/>
    <s v="Premium"/>
    <n v="251288"/>
    <n v="3.32"/>
    <n v="4"/>
    <n v="18570899370.800003"/>
  </r>
  <r>
    <x v="0"/>
    <s v="bZ Compact SUV"/>
    <x v="2"/>
    <s v="Base"/>
    <n v="59240.75"/>
    <n v="70.099999999999994"/>
    <n v="267"/>
    <n v="162"/>
    <s v="SUV"/>
    <n v="4"/>
    <s v="Japan"/>
    <s v="Mid-range"/>
    <n v="18789"/>
    <n v="3.47"/>
    <n v="4"/>
    <n v="1113074451.75"/>
  </r>
  <r>
    <x v="9"/>
    <s v="i7"/>
    <x v="2"/>
    <s v="Standard"/>
    <n v="69932.429999999993"/>
    <n v="67"/>
    <n v="249"/>
    <n v="140"/>
    <s v="Hatchback"/>
    <n v="5"/>
    <s v="Germany"/>
    <s v="Premium"/>
    <n v="52868"/>
    <n v="3.54"/>
    <n v="7"/>
    <n v="3697187709.2399998"/>
  </r>
  <r>
    <x v="5"/>
    <s v="EV9"/>
    <x v="2"/>
    <s v="Performance"/>
    <n v="67330.570000000007"/>
    <n v="77.099999999999994"/>
    <n v="284"/>
    <n v="194"/>
    <s v="SUV"/>
    <n v="5"/>
    <s v="South Korea"/>
    <s v="Premium"/>
    <n v="91349"/>
    <n v="3.46"/>
    <n v="4"/>
    <n v="6150580238.9300003"/>
  </r>
  <r>
    <x v="7"/>
    <s v="ID.4"/>
    <x v="2"/>
    <s v="Performance"/>
    <n v="102466.68"/>
    <n v="77.599999999999994"/>
    <n v="281"/>
    <n v="189"/>
    <s v="Truck"/>
    <n v="5"/>
    <s v="Germany"/>
    <s v="Luxury"/>
    <n v="252835"/>
    <n v="3.37"/>
    <n v="5"/>
    <n v="25907163037.799999"/>
  </r>
  <r>
    <x v="2"/>
    <s v="Model S"/>
    <x v="2"/>
    <s v="Long Range"/>
    <n v="119080.01"/>
    <n v="82.3"/>
    <n v="284"/>
    <n v="159"/>
    <s v="Truck"/>
    <n v="5"/>
    <s v="US"/>
    <s v="Luxury"/>
    <n v="124340"/>
    <n v="3.98"/>
    <n v="6"/>
    <n v="14806408443.4"/>
  </r>
  <r>
    <x v="9"/>
    <s v="iX"/>
    <x v="2"/>
    <s v="Base"/>
    <n v="61657.41"/>
    <n v="79.900000000000006"/>
    <n v="273"/>
    <n v="174"/>
    <s v="SUV"/>
    <n v="5"/>
    <s v="Germany"/>
    <s v="Mid-range"/>
    <n v="21575"/>
    <n v="3.67"/>
    <n v="6"/>
    <n v="1330258620.75"/>
  </r>
  <r>
    <x v="2"/>
    <s v="Model Y"/>
    <x v="2"/>
    <s v="Premium"/>
    <n v="74321.009999999995"/>
    <n v="61.2"/>
    <n v="226"/>
    <n v="118"/>
    <s v="Truck"/>
    <n v="5"/>
    <s v="US"/>
    <s v="Premium"/>
    <n v="438573"/>
    <n v="3.82"/>
    <n v="5"/>
    <n v="32595188318.73"/>
  </r>
  <r>
    <x v="4"/>
    <s v="Q6 e-tron"/>
    <x v="2"/>
    <s v="Base"/>
    <n v="87894.85"/>
    <n v="84.4"/>
    <n v="315"/>
    <n v="136"/>
    <s v="Hatchback"/>
    <n v="5"/>
    <s v="Germany"/>
    <s v="Premium"/>
    <n v="64291"/>
    <n v="3.45"/>
    <n v="6"/>
    <n v="5650847801.3500004"/>
  </r>
  <r>
    <x v="0"/>
    <s v="bZ Compact SUV"/>
    <x v="2"/>
    <s v="Performance"/>
    <n v="56751.98"/>
    <n v="90.8"/>
    <n v="324"/>
    <n v="191"/>
    <s v="SUV"/>
    <n v="5"/>
    <s v="Japan"/>
    <s v="Mid-range"/>
    <n v="9887"/>
    <n v="3.39"/>
    <n v="3"/>
    <n v="561106826.25999999"/>
  </r>
  <r>
    <x v="12"/>
    <s v="Blazer EV"/>
    <x v="2"/>
    <s v="Standard"/>
    <n v="55685.25"/>
    <n v="80.400000000000006"/>
    <n v="288"/>
    <n v="158"/>
    <s v="Sedan"/>
    <n v="4"/>
    <s v="US"/>
    <s v="Mid-range"/>
    <n v="22694"/>
    <n v="3.58"/>
    <n v="4"/>
    <n v="1263721063.5"/>
  </r>
  <r>
    <x v="2"/>
    <s v="Model 3"/>
    <x v="2"/>
    <s v="Premium"/>
    <n v="74667.63"/>
    <n v="60.5"/>
    <n v="201"/>
    <n v="159"/>
    <s v="Truck"/>
    <n v="5"/>
    <s v="US"/>
    <s v="Premium"/>
    <n v="245609"/>
    <n v="3.71"/>
    <n v="4"/>
    <n v="18339041936.670002"/>
  </r>
  <r>
    <x v="2"/>
    <s v="Model X"/>
    <x v="2"/>
    <s v="Performance"/>
    <n v="66277.97"/>
    <n v="97.7"/>
    <n v="340"/>
    <n v="189"/>
    <s v="Truck"/>
    <n v="3"/>
    <s v="US"/>
    <s v="Premium"/>
    <n v="108652"/>
    <n v="4.1100000000000003"/>
    <n v="4"/>
    <n v="7201233996.4400005"/>
  </r>
  <r>
    <x v="6"/>
    <s v="Ioniq 5"/>
    <x v="2"/>
    <s v="Performance"/>
    <n v="81725.25"/>
    <n v="71.7"/>
    <n v="234"/>
    <n v="197"/>
    <s v="Sedan"/>
    <n v="5"/>
    <s v="South Korea"/>
    <s v="Premium"/>
    <n v="72070"/>
    <n v="3.48"/>
    <n v="4"/>
    <n v="5889938767.5"/>
  </r>
  <r>
    <x v="3"/>
    <s v="Atto 3"/>
    <x v="2"/>
    <s v="Premium"/>
    <n v="107436.09"/>
    <n v="65.7"/>
    <n v="255"/>
    <n v="137"/>
    <s v="SUV"/>
    <n v="5"/>
    <s v="China"/>
    <s v="Luxury"/>
    <n v="201045"/>
    <n v="3.64"/>
    <n v="3"/>
    <n v="21599488714.049999"/>
  </r>
  <r>
    <x v="12"/>
    <s v="Blazer EV"/>
    <x v="2"/>
    <s v="Long Range"/>
    <n v="54305.64"/>
    <n v="86.4"/>
    <n v="289"/>
    <n v="162"/>
    <s v="Van"/>
    <n v="5"/>
    <s v="US"/>
    <s v="Mid-range"/>
    <n v="18445"/>
    <n v="3.56"/>
    <n v="4"/>
    <n v="1001667529.8"/>
  </r>
  <r>
    <x v="2"/>
    <s v="Cybertruck"/>
    <x v="2"/>
    <s v="Performance"/>
    <n v="161513.5"/>
    <n v="115.3"/>
    <n v="420"/>
    <n v="200"/>
    <s v="Truck"/>
    <n v="4"/>
    <s v="US"/>
    <s v="Luxury"/>
    <n v="172224"/>
    <n v="4.09"/>
    <n v="4"/>
    <n v="27816501024"/>
  </r>
  <r>
    <x v="2"/>
    <s v="Model Y"/>
    <x v="2"/>
    <s v="Base"/>
    <n v="75540.09"/>
    <n v="49.6"/>
    <n v="150"/>
    <n v="154"/>
    <s v="Coupe"/>
    <n v="5"/>
    <s v="US"/>
    <s v="Premium"/>
    <n v="455317"/>
    <n v="3.27"/>
    <n v="6"/>
    <n v="34394687158.529999"/>
  </r>
  <r>
    <x v="2"/>
    <s v="Cybertruck"/>
    <x v="2"/>
    <s v="Performance"/>
    <n v="39719.769999999997"/>
    <n v="75.3"/>
    <n v="297"/>
    <n v="200"/>
    <s v="Truck"/>
    <n v="5"/>
    <s v="US"/>
    <s v="Mid-range"/>
    <n v="220959"/>
    <n v="4"/>
    <n v="5"/>
    <n v="8776440659.4299984"/>
  </r>
  <r>
    <x v="9"/>
    <s v="i7"/>
    <x v="2"/>
    <s v="Long Range"/>
    <n v="115394.15"/>
    <n v="98.5"/>
    <n v="343"/>
    <n v="167"/>
    <s v="Sedan"/>
    <n v="5"/>
    <s v="Germany"/>
    <s v="Luxury"/>
    <n v="58674"/>
    <n v="3.4"/>
    <n v="5"/>
    <n v="6770636357.0999994"/>
  </r>
  <r>
    <x v="6"/>
    <s v="Ioniq"/>
    <x v="2"/>
    <s v="Long Range"/>
    <n v="67747.05"/>
    <n v="89.8"/>
    <n v="333"/>
    <n v="173"/>
    <s v="Coupe"/>
    <n v="5"/>
    <s v="South Korea"/>
    <s v="Premium"/>
    <n v="100096"/>
    <n v="3.57"/>
    <n v="4"/>
    <n v="6781208716.8000002"/>
  </r>
  <r>
    <x v="2"/>
    <s v="Model X"/>
    <x v="2"/>
    <s v="Standard"/>
    <n v="45367.75"/>
    <n v="80.8"/>
    <n v="287"/>
    <n v="134"/>
    <s v="Sedan"/>
    <n v="5"/>
    <s v="US"/>
    <s v="Mid-range"/>
    <n v="112809"/>
    <n v="3.72"/>
    <n v="5"/>
    <n v="5117890509.75"/>
  </r>
  <r>
    <x v="12"/>
    <s v="Silverado EV"/>
    <x v="2"/>
    <s v="Base"/>
    <n v="39747.919999999998"/>
    <n v="47.2"/>
    <n v="152"/>
    <n v="152"/>
    <s v="Van"/>
    <n v="5"/>
    <s v="US"/>
    <s v="Mid-range"/>
    <n v="29407"/>
    <n v="3.09"/>
    <n v="4"/>
    <n v="1168867083.4400001"/>
  </r>
  <r>
    <x v="2"/>
    <s v="Cybertruck"/>
    <x v="2"/>
    <s v="Base"/>
    <n v="83011.59"/>
    <n v="78.2"/>
    <n v="288"/>
    <n v="147"/>
    <s v="Truck"/>
    <n v="4"/>
    <s v="US"/>
    <s v="Premium"/>
    <n v="132378"/>
    <n v="4.12"/>
    <n v="5"/>
    <n v="10988908261.02"/>
  </r>
  <r>
    <x v="9"/>
    <s v="i4"/>
    <x v="2"/>
    <s v="Base"/>
    <n v="87727.18"/>
    <n v="75.099999999999994"/>
    <n v="238"/>
    <n v="150"/>
    <s v="Van"/>
    <n v="5"/>
    <s v="Germany"/>
    <s v="Premium"/>
    <n v="35030"/>
    <n v="3.42"/>
    <n v="6"/>
    <n v="3073083115.3999996"/>
  </r>
  <r>
    <x v="5"/>
    <s v="Picanto EV"/>
    <x v="2"/>
    <s v="Standard"/>
    <n v="39229.86"/>
    <n v="42.7"/>
    <n v="154"/>
    <n v="170"/>
    <s v="Hatchback"/>
    <n v="4"/>
    <s v="South Korea"/>
    <s v="Mid-range"/>
    <n v="92917"/>
    <n v="3.02"/>
    <n v="4"/>
    <n v="3645120901.6199999"/>
  </r>
  <r>
    <x v="7"/>
    <s v="ID.5"/>
    <x v="2"/>
    <s v="Premium"/>
    <n v="90567.3"/>
    <n v="69.5"/>
    <n v="208"/>
    <n v="147"/>
    <s v="Truck"/>
    <n v="5"/>
    <s v="Germany"/>
    <s v="Premium"/>
    <n v="266134"/>
    <n v="3.28"/>
    <n v="4"/>
    <n v="24103037818.200001"/>
  </r>
  <r>
    <x v="2"/>
    <s v="Model X"/>
    <x v="2"/>
    <s v="Standard"/>
    <n v="98265.87"/>
    <n v="83.7"/>
    <n v="298"/>
    <n v="173"/>
    <s v="Hatchback"/>
    <n v="4"/>
    <s v="US"/>
    <s v="Premium"/>
    <n v="144367"/>
    <n v="3.63"/>
    <n v="5"/>
    <n v="14186348854.289999"/>
  </r>
  <r>
    <x v="2"/>
    <s v="Cybertruck"/>
    <x v="2"/>
    <s v="Premium"/>
    <n v="154962.64000000001"/>
    <n v="53.2"/>
    <n v="157"/>
    <n v="135"/>
    <s v="Truck"/>
    <n v="5"/>
    <s v="US"/>
    <s v="Luxury"/>
    <n v="148718"/>
    <n v="3.67"/>
    <n v="6"/>
    <n v="23045733895.52"/>
  </r>
  <r>
    <x v="11"/>
    <s v="R1S"/>
    <x v="2"/>
    <s v="Base"/>
    <n v="64347.55"/>
    <n v="45.6"/>
    <n v="150"/>
    <n v="152"/>
    <s v="SUV"/>
    <n v="5"/>
    <s v="US"/>
    <s v="Mid-range"/>
    <n v="3522"/>
    <n v="3.26"/>
    <n v="5"/>
    <n v="226632071.10000002"/>
  </r>
  <r>
    <x v="3"/>
    <s v="Atto 3"/>
    <x v="2"/>
    <s v="Base"/>
    <n v="21384.75"/>
    <n v="62.9"/>
    <n v="201"/>
    <n v="146"/>
    <s v="Hatchback"/>
    <n v="5"/>
    <s v="China"/>
    <s v="Budget"/>
    <n v="233873"/>
    <n v="3.28"/>
    <n v="3"/>
    <n v="5001315636.75"/>
  </r>
  <r>
    <x v="2"/>
    <s v="Cybertruck"/>
    <x v="2"/>
    <s v="Long Range"/>
    <n v="93999.45"/>
    <n v="88.3"/>
    <n v="333"/>
    <n v="167"/>
    <s v="Truck"/>
    <n v="5"/>
    <s v="US"/>
    <s v="Premium"/>
    <n v="124977"/>
    <n v="3.96"/>
    <n v="5"/>
    <n v="11747769262.65"/>
  </r>
  <r>
    <x v="2"/>
    <s v="Model Y"/>
    <x v="2"/>
    <s v="Long Range"/>
    <n v="38805.29"/>
    <n v="86.7"/>
    <n v="295"/>
    <n v="190"/>
    <s v="Truck"/>
    <n v="5"/>
    <s v="US"/>
    <s v="Mid-range"/>
    <n v="424786"/>
    <n v="4.1399999999999997"/>
    <n v="4"/>
    <n v="16483943917.940001"/>
  </r>
  <r>
    <x v="7"/>
    <s v="ID.5"/>
    <x v="2"/>
    <s v="Premium"/>
    <n v="70140.570000000007"/>
    <n v="83.5"/>
    <n v="319"/>
    <n v="142"/>
    <s v="Hatchback"/>
    <n v="5"/>
    <s v="Germany"/>
    <s v="Premium"/>
    <n v="203826"/>
    <n v="3.8"/>
    <n v="5"/>
    <n v="14296471820.820002"/>
  </r>
  <r>
    <x v="0"/>
    <s v="bZ4X"/>
    <x v="2"/>
    <s v="Standard"/>
    <n v="55775.75"/>
    <n v="84.6"/>
    <n v="281"/>
    <n v="163"/>
    <s v="Coupe"/>
    <n v="4"/>
    <s v="Japan"/>
    <s v="Mid-range"/>
    <n v="18523"/>
    <n v="3.32"/>
    <n v="3"/>
    <n v="1033134217.25"/>
  </r>
  <r>
    <x v="2"/>
    <s v="Model S"/>
    <x v="2"/>
    <s v="Premium"/>
    <n v="163492.79999999999"/>
    <n v="65.400000000000006"/>
    <n v="193"/>
    <n v="154"/>
    <s v="Hatchback"/>
    <n v="5"/>
    <s v="US"/>
    <s v="Luxury"/>
    <n v="241709"/>
    <n v="3.96"/>
    <n v="5"/>
    <n v="39517681195.199997"/>
  </r>
  <r>
    <x v="3"/>
    <s v="Atto 3"/>
    <x v="2"/>
    <s v="Base"/>
    <n v="49226.29"/>
    <n v="46.7"/>
    <n v="177"/>
    <n v="160"/>
    <s v="Coupe"/>
    <n v="5"/>
    <s v="China"/>
    <s v="Mid-range"/>
    <n v="172454"/>
    <n v="3.29"/>
    <n v="4"/>
    <n v="8489270615.6599998"/>
  </r>
  <r>
    <x v="4"/>
    <s v="e-tron GT"/>
    <x v="2"/>
    <s v="Premium"/>
    <n v="137631.97"/>
    <n v="43.1"/>
    <n v="150"/>
    <n v="168"/>
    <s v="Truck"/>
    <n v="4"/>
    <s v="Germany"/>
    <s v="Luxury"/>
    <n v="74974"/>
    <n v="3.3"/>
    <n v="5"/>
    <n v="10318819318.780001"/>
  </r>
  <r>
    <x v="5"/>
    <s v="Niro EV"/>
    <x v="2"/>
    <s v="Premium"/>
    <n v="93773.43"/>
    <n v="61.9"/>
    <n v="194"/>
    <n v="152"/>
    <s v="Truck"/>
    <n v="5"/>
    <s v="South Korea"/>
    <s v="Premium"/>
    <n v="126881"/>
    <n v="3.6"/>
    <n v="3"/>
    <n v="11898066571.83"/>
  </r>
  <r>
    <x v="9"/>
    <s v="i5"/>
    <x v="2"/>
    <s v="Performance"/>
    <n v="102440.51"/>
    <n v="94.7"/>
    <n v="337"/>
    <n v="184"/>
    <s v="Hatchback"/>
    <n v="3"/>
    <s v="Germany"/>
    <s v="Luxury"/>
    <n v="23392"/>
    <n v="3.69"/>
    <n v="7"/>
    <n v="2396288409.9200001"/>
  </r>
  <r>
    <x v="5"/>
    <s v="EV6"/>
    <x v="2"/>
    <s v="Performance"/>
    <n v="48028.480000000003"/>
    <n v="102.7"/>
    <n v="351"/>
    <n v="200"/>
    <s v="Hatchback"/>
    <n v="4"/>
    <s v="South Korea"/>
    <s v="Mid-range"/>
    <n v="81607"/>
    <n v="3.7"/>
    <n v="5"/>
    <n v="3919460167.3600001"/>
  </r>
  <r>
    <x v="6"/>
    <s v="i30"/>
    <x v="2"/>
    <s v="Base"/>
    <n v="52457.02"/>
    <n v="61.6"/>
    <n v="184"/>
    <n v="139"/>
    <s v="Sedan"/>
    <n v="5"/>
    <s v="South Korea"/>
    <s v="Mid-range"/>
    <n v="72150"/>
    <n v="3.34"/>
    <n v="5"/>
    <n v="3784773993"/>
  </r>
  <r>
    <x v="8"/>
    <s v="E-Transit"/>
    <x v="2"/>
    <s v="Premium"/>
    <n v="72686.399999999994"/>
    <n v="58.3"/>
    <n v="197"/>
    <n v="135"/>
    <s v="Coupe"/>
    <n v="3"/>
    <s v="US"/>
    <s v="Premium"/>
    <n v="32038"/>
    <n v="3.44"/>
    <n v="3"/>
    <n v="2328726883.1999998"/>
  </r>
  <r>
    <x v="2"/>
    <s v="Model 3"/>
    <x v="2"/>
    <s v="Long Range"/>
    <n v="84609.91"/>
    <n v="107.2"/>
    <n v="365"/>
    <n v="165"/>
    <s v="SUV"/>
    <n v="4"/>
    <s v="US"/>
    <s v="Premium"/>
    <n v="171529"/>
    <n v="4.12"/>
    <n v="6"/>
    <n v="14513053252.390001"/>
  </r>
  <r>
    <x v="13"/>
    <s v="GLE EV"/>
    <x v="2"/>
    <s v="Base"/>
    <n v="94570.880000000005"/>
    <n v="72.7"/>
    <n v="257"/>
    <n v="162"/>
    <s v="Truck"/>
    <n v="5"/>
    <s v="Germany"/>
    <s v="Premium"/>
    <n v="59270"/>
    <n v="3.75"/>
    <n v="5"/>
    <n v="5605216057.6000004"/>
  </r>
  <r>
    <x v="2"/>
    <s v="Model 3"/>
    <x v="2"/>
    <s v="Standard"/>
    <n v="112086.56"/>
    <n v="61.2"/>
    <n v="215"/>
    <n v="152"/>
    <s v="Sedan"/>
    <n v="5"/>
    <s v="US"/>
    <s v="Luxury"/>
    <n v="140793"/>
    <n v="3.65"/>
    <n v="5"/>
    <n v="15781003042.08"/>
  </r>
  <r>
    <x v="13"/>
    <s v="EQG"/>
    <x v="2"/>
    <s v="Base"/>
    <n v="64416.89"/>
    <n v="70"/>
    <n v="262"/>
    <n v="142"/>
    <s v="SUV"/>
    <n v="5"/>
    <s v="Germany"/>
    <s v="Mid-range"/>
    <n v="31870"/>
    <n v="3.9"/>
    <n v="6"/>
    <n v="2052966284.3"/>
  </r>
  <r>
    <x v="8"/>
    <s v="F-150 Lightning"/>
    <x v="2"/>
    <s v="Premium"/>
    <n v="39147.79"/>
    <n v="52.5"/>
    <n v="215"/>
    <n v="170"/>
    <s v="Truck"/>
    <n v="4"/>
    <s v="US"/>
    <s v="Mid-range"/>
    <n v="78104"/>
    <n v="3.41"/>
    <n v="4"/>
    <n v="3057598990.1599998"/>
  </r>
  <r>
    <x v="7"/>
    <s v="ID.5"/>
    <x v="2"/>
    <s v="Performance"/>
    <n v="46348.56"/>
    <n v="90"/>
    <n v="333"/>
    <n v="188"/>
    <s v="SUV"/>
    <n v="4"/>
    <s v="Germany"/>
    <s v="Mid-range"/>
    <n v="219975"/>
    <n v="3.79"/>
    <n v="4"/>
    <n v="10195524486"/>
  </r>
  <r>
    <x v="2"/>
    <s v="Cybertruck"/>
    <x v="2"/>
    <s v="Long Range"/>
    <n v="109130.05"/>
    <n v="91.6"/>
    <n v="339"/>
    <n v="160"/>
    <s v="Truck"/>
    <n v="5"/>
    <s v="US"/>
    <s v="Luxury"/>
    <n v="161385"/>
    <n v="4.17"/>
    <n v="4"/>
    <n v="17611953119.25"/>
  </r>
  <r>
    <x v="3"/>
    <s v="Atto 3"/>
    <x v="2"/>
    <s v="Long Range"/>
    <n v="59084.31"/>
    <n v="100.3"/>
    <n v="349"/>
    <n v="182"/>
    <s v="Hatchback"/>
    <n v="4"/>
    <s v="China"/>
    <s v="Mid-range"/>
    <n v="242445"/>
    <n v="3.57"/>
    <n v="3"/>
    <n v="14324695537.949999"/>
  </r>
  <r>
    <x v="9"/>
    <s v="i5"/>
    <x v="2"/>
    <s v="Performance"/>
    <n v="74178.539999999994"/>
    <n v="74"/>
    <n v="257"/>
    <n v="187"/>
    <s v="Coupe"/>
    <n v="5"/>
    <s v="Germany"/>
    <s v="Premium"/>
    <n v="60959"/>
    <n v="3.29"/>
    <n v="5"/>
    <n v="4521849619.8599997"/>
  </r>
  <r>
    <x v="3"/>
    <s v="Qin"/>
    <x v="2"/>
    <s v="Base"/>
    <n v="51140.49"/>
    <n v="58.3"/>
    <n v="209"/>
    <n v="182"/>
    <s v="Van"/>
    <n v="5"/>
    <s v="China"/>
    <s v="Mid-range"/>
    <n v="122452"/>
    <n v="3.62"/>
    <n v="5"/>
    <n v="6262255281.4799995"/>
  </r>
  <r>
    <x v="11"/>
    <s v="R1S"/>
    <x v="2"/>
    <s v="Premium"/>
    <n v="102878.64"/>
    <n v="67.400000000000006"/>
    <n v="249"/>
    <n v="161"/>
    <s v="Sedan"/>
    <n v="5"/>
    <s v="US"/>
    <s v="Luxury"/>
    <n v="27062"/>
    <n v="3.19"/>
    <n v="5"/>
    <n v="2784101755.6799998"/>
  </r>
  <r>
    <x v="17"/>
    <s v="XC90 Recharge"/>
    <x v="2"/>
    <s v="Performance"/>
    <n v="74428.14"/>
    <n v="86.1"/>
    <n v="316"/>
    <n v="191"/>
    <s v="Truck"/>
    <n v="5"/>
    <s v="Sweden"/>
    <s v="Premium"/>
    <n v="3031"/>
    <n v="3.51"/>
    <n v="3"/>
    <n v="225591692.34"/>
  </r>
  <r>
    <x v="5"/>
    <s v="EV9"/>
    <x v="2"/>
    <s v="Long Range"/>
    <n v="73675.86"/>
    <n v="96"/>
    <n v="333"/>
    <n v="183"/>
    <s v="SUV"/>
    <n v="5"/>
    <s v="South Korea"/>
    <s v="Premium"/>
    <n v="89937"/>
    <n v="3.58"/>
    <n v="3"/>
    <n v="6626185820.8199997"/>
  </r>
  <r>
    <x v="0"/>
    <s v="bZ4X"/>
    <x v="2"/>
    <s v="Base"/>
    <n v="35115.72"/>
    <n v="61.4"/>
    <n v="238"/>
    <n v="138"/>
    <s v="Hatchback"/>
    <n v="4"/>
    <s v="Japan"/>
    <s v="Mid-range"/>
    <n v="3528"/>
    <n v="3.67"/>
    <n v="3"/>
    <n v="123888260.16000001"/>
  </r>
  <r>
    <x v="9"/>
    <s v="i4"/>
    <x v="2"/>
    <s v="Standard"/>
    <n v="99869.64"/>
    <n v="50.6"/>
    <n v="193"/>
    <n v="135"/>
    <s v="Coupe"/>
    <n v="4"/>
    <s v="Germany"/>
    <s v="Premium"/>
    <n v="76842"/>
    <n v="3.62"/>
    <n v="5"/>
    <n v="7674182876.8800001"/>
  </r>
  <r>
    <x v="3"/>
    <s v="Dolphin"/>
    <x v="2"/>
    <s v="Standard"/>
    <n v="30805.35"/>
    <n v="40"/>
    <n v="150"/>
    <n v="141"/>
    <s v="Truck"/>
    <n v="5"/>
    <s v="China"/>
    <s v="Budget"/>
    <n v="133529"/>
    <n v="3.4"/>
    <n v="3"/>
    <n v="4113407580.1499996"/>
  </r>
  <r>
    <x v="13"/>
    <s v="EQG"/>
    <x v="2"/>
    <s v="Standard"/>
    <n v="126403.53"/>
    <n v="64.900000000000006"/>
    <n v="225"/>
    <n v="137"/>
    <s v="SUV"/>
    <n v="4"/>
    <s v="Germany"/>
    <s v="Luxury"/>
    <n v="37272"/>
    <n v="3.78"/>
    <n v="7"/>
    <n v="4711312370.1599998"/>
  </r>
  <r>
    <x v="3"/>
    <s v="Seagull"/>
    <x v="2"/>
    <s v="Long Range"/>
    <n v="53237.26"/>
    <n v="103"/>
    <n v="376"/>
    <n v="186"/>
    <s v="Truck"/>
    <n v="5"/>
    <s v="China"/>
    <s v="Mid-range"/>
    <n v="163016"/>
    <n v="3.81"/>
    <n v="3"/>
    <n v="8678525176.1599998"/>
  </r>
  <r>
    <x v="13"/>
    <s v="EQC"/>
    <x v="2"/>
    <s v="Premium"/>
    <n v="155446.31"/>
    <n v="72.7"/>
    <n v="265"/>
    <n v="175"/>
    <s v="Sedan"/>
    <n v="5"/>
    <s v="Germany"/>
    <s v="Luxury"/>
    <n v="41853"/>
    <n v="3.77"/>
    <n v="5"/>
    <n v="6505894412.4300003"/>
  </r>
  <r>
    <x v="6"/>
    <s v="Ioniq 5"/>
    <x v="2"/>
    <s v="Premium"/>
    <n v="55487.47"/>
    <n v="41.2"/>
    <n v="154"/>
    <n v="169"/>
    <s v="Sedan"/>
    <n v="3"/>
    <s v="South Korea"/>
    <s v="Mid-range"/>
    <n v="52238"/>
    <n v="3.21"/>
    <n v="4"/>
    <n v="2898554457.8600001"/>
  </r>
  <r>
    <x v="9"/>
    <s v="iX"/>
    <x v="2"/>
    <s v="Base"/>
    <n v="51043.69"/>
    <n v="76"/>
    <n v="263"/>
    <n v="172"/>
    <s v="Coupe"/>
    <n v="4"/>
    <s v="Germany"/>
    <s v="Mid-range"/>
    <n v="44259"/>
    <n v="3.39"/>
    <n v="8"/>
    <n v="2259142675.71"/>
  </r>
  <r>
    <x v="8"/>
    <s v="Mustang Mach-E"/>
    <x v="2"/>
    <s v="Standard"/>
    <n v="56513.760000000002"/>
    <n v="52.3"/>
    <n v="189"/>
    <n v="162"/>
    <s v="Truck"/>
    <n v="3"/>
    <s v="US"/>
    <s v="Mid-range"/>
    <n v="39584"/>
    <n v="3.23"/>
    <n v="4"/>
    <n v="2237040675.8400002"/>
  </r>
  <r>
    <x v="2"/>
    <s v="Model X"/>
    <x v="2"/>
    <s v="Base"/>
    <n v="53235.86"/>
    <n v="84.7"/>
    <n v="305"/>
    <n v="178"/>
    <s v="Coupe"/>
    <n v="4"/>
    <s v="US"/>
    <s v="Mid-range"/>
    <n v="178460"/>
    <n v="3.67"/>
    <n v="5"/>
    <n v="9500471575.6000004"/>
  </r>
  <r>
    <x v="3"/>
    <s v="Atto 3"/>
    <x v="2"/>
    <s v="Long Range"/>
    <n v="101092.71"/>
    <n v="80.099999999999994"/>
    <n v="278"/>
    <n v="177"/>
    <s v="Sedan"/>
    <n v="5"/>
    <s v="China"/>
    <s v="Luxury"/>
    <n v="230522"/>
    <n v="3.61"/>
    <n v="4"/>
    <n v="23304093694.620003"/>
  </r>
  <r>
    <x v="7"/>
    <s v="ID. Aero"/>
    <x v="2"/>
    <s v="Performance"/>
    <n v="94244.35"/>
    <n v="75.7"/>
    <n v="264"/>
    <n v="200"/>
    <s v="SUV"/>
    <n v="4"/>
    <s v="Germany"/>
    <s v="Premium"/>
    <n v="251606"/>
    <n v="3.39"/>
    <n v="4"/>
    <n v="23712443926.100002"/>
  </r>
  <r>
    <x v="7"/>
    <s v="ID. Buzz"/>
    <x v="2"/>
    <s v="Performance"/>
    <n v="46160.26"/>
    <n v="117.4"/>
    <n v="399"/>
    <n v="198"/>
    <s v="Coupe"/>
    <n v="5"/>
    <s v="Germany"/>
    <s v="Mid-range"/>
    <n v="298179"/>
    <n v="3.96"/>
    <n v="5"/>
    <n v="13764020166.540001"/>
  </r>
  <r>
    <x v="4"/>
    <s v="Q4 e-tron"/>
    <x v="2"/>
    <s v="Base"/>
    <n v="84689.7"/>
    <n v="69.599999999999994"/>
    <n v="254"/>
    <n v="135"/>
    <s v="Van"/>
    <n v="5"/>
    <s v="Germany"/>
    <s v="Premium"/>
    <n v="55401"/>
    <n v="3.66"/>
    <n v="7"/>
    <n v="4691894069.6999998"/>
  </r>
  <r>
    <x v="8"/>
    <s v="E-Transit"/>
    <x v="2"/>
    <s v="Long Range"/>
    <n v="44715.21"/>
    <n v="85"/>
    <n v="299"/>
    <n v="179"/>
    <s v="SUV"/>
    <n v="5"/>
    <s v="US"/>
    <s v="Mid-range"/>
    <n v="77918"/>
    <n v="3.48"/>
    <n v="5"/>
    <n v="3484119732.7799997"/>
  </r>
  <r>
    <x v="2"/>
    <s v="Cybertruck"/>
    <x v="2"/>
    <s v="Base"/>
    <n v="33281.599999999999"/>
    <n v="82.5"/>
    <n v="281"/>
    <n v="175"/>
    <s v="Truck"/>
    <n v="5"/>
    <s v="US"/>
    <s v="Budget"/>
    <n v="223257"/>
    <n v="3.91"/>
    <n v="6"/>
    <n v="7430350171.1999998"/>
  </r>
  <r>
    <x v="3"/>
    <s v="Qin"/>
    <x v="2"/>
    <s v="Base"/>
    <n v="24219.14"/>
    <n v="71.400000000000006"/>
    <n v="265"/>
    <n v="170"/>
    <s v="Coupe"/>
    <n v="4"/>
    <s v="China"/>
    <s v="Budget"/>
    <n v="166519"/>
    <n v="3.3"/>
    <n v="4"/>
    <n v="4032946973.6599998"/>
  </r>
  <r>
    <x v="3"/>
    <s v="Dolphin"/>
    <x v="2"/>
    <s v="Long Range"/>
    <n v="43671.62"/>
    <n v="95.1"/>
    <n v="328"/>
    <n v="173"/>
    <s v="Coupe"/>
    <n v="3"/>
    <s v="China"/>
    <s v="Mid-range"/>
    <n v="203792"/>
    <n v="3.47"/>
    <n v="3"/>
    <n v="8899926783.0400009"/>
  </r>
  <r>
    <x v="12"/>
    <s v="Bolt EV"/>
    <x v="2"/>
    <s v="Base"/>
    <n v="44453.56"/>
    <n v="69.7"/>
    <n v="242"/>
    <n v="145"/>
    <s v="Van"/>
    <n v="5"/>
    <s v="US"/>
    <s v="Mid-range"/>
    <n v="19383"/>
    <n v="3.42"/>
    <n v="4"/>
    <n v="861643353.4799999"/>
  </r>
  <r>
    <x v="2"/>
    <s v="Model X"/>
    <x v="2"/>
    <s v="Premium"/>
    <n v="78153.08"/>
    <n v="79.8"/>
    <n v="277"/>
    <n v="130"/>
    <s v="Hatchback"/>
    <n v="4"/>
    <s v="US"/>
    <s v="Premium"/>
    <n v="114033"/>
    <n v="3.63"/>
    <n v="4"/>
    <n v="8912030171.6399994"/>
  </r>
  <r>
    <x v="13"/>
    <s v="GLE EV"/>
    <x v="2"/>
    <s v="Premium"/>
    <n v="93751.44"/>
    <n v="73.400000000000006"/>
    <n v="267"/>
    <n v="166"/>
    <s v="Van"/>
    <n v="5"/>
    <s v="Germany"/>
    <s v="Premium"/>
    <n v="32471"/>
    <n v="3.81"/>
    <n v="8"/>
    <n v="3044203008.2400002"/>
  </r>
  <r>
    <x v="7"/>
    <s v="ID. Aero"/>
    <x v="2"/>
    <s v="Base"/>
    <n v="29912.83"/>
    <n v="40.5"/>
    <n v="150"/>
    <n v="140"/>
    <s v="Van"/>
    <n v="5"/>
    <s v="Germany"/>
    <s v="Budget"/>
    <n v="200434"/>
    <n v="3.19"/>
    <n v="5"/>
    <n v="5995548168.2200003"/>
  </r>
  <r>
    <x v="2"/>
    <s v="Model X"/>
    <x v="2"/>
    <s v="Performance"/>
    <n v="117706.38"/>
    <n v="71.400000000000006"/>
    <n v="249"/>
    <n v="189"/>
    <s v="Truck"/>
    <n v="5"/>
    <s v="US"/>
    <s v="Luxury"/>
    <n v="160982"/>
    <n v="3.75"/>
    <n v="4"/>
    <n v="18948608465.16"/>
  </r>
  <r>
    <x v="3"/>
    <s v="Atto 3"/>
    <x v="2"/>
    <s v="Performance"/>
    <n v="98782.03"/>
    <n v="77.8"/>
    <n v="278"/>
    <n v="192"/>
    <s v="Coupe"/>
    <n v="4"/>
    <s v="China"/>
    <s v="Premium"/>
    <n v="130723"/>
    <n v="3.47"/>
    <n v="4"/>
    <n v="12913083307.690001"/>
  </r>
  <r>
    <x v="5"/>
    <s v="EV6"/>
    <x v="2"/>
    <s v="Premium"/>
    <n v="40060.04"/>
    <n v="63"/>
    <n v="235"/>
    <n v="153"/>
    <s v="Sedan"/>
    <n v="4"/>
    <s v="South Korea"/>
    <s v="Mid-range"/>
    <n v="51025"/>
    <n v="3.4"/>
    <n v="5"/>
    <n v="2044063541"/>
  </r>
  <r>
    <x v="2"/>
    <s v="Model X"/>
    <x v="2"/>
    <s v="Base"/>
    <n v="43328.14"/>
    <n v="65.3"/>
    <n v="226"/>
    <n v="134"/>
    <s v="Van"/>
    <n v="3"/>
    <s v="US"/>
    <s v="Mid-range"/>
    <n v="148395"/>
    <n v="3.64"/>
    <n v="6"/>
    <n v="6429679335.3000002"/>
  </r>
  <r>
    <x v="9"/>
    <s v="i4"/>
    <x v="2"/>
    <s v="Performance"/>
    <n v="102335.06"/>
    <n v="106.5"/>
    <n v="365"/>
    <n v="200"/>
    <s v="Hatchback"/>
    <n v="5"/>
    <s v="Germany"/>
    <s v="Luxury"/>
    <n v="57345"/>
    <n v="3.89"/>
    <n v="5"/>
    <n v="5868404015.6999998"/>
  </r>
  <r>
    <x v="5"/>
    <s v="Sportage EV"/>
    <x v="2"/>
    <s v="Standard"/>
    <n v="38543.18"/>
    <n v="45.8"/>
    <n v="159"/>
    <n v="175"/>
    <s v="SUV"/>
    <n v="5"/>
    <s v="South Korea"/>
    <s v="Mid-range"/>
    <n v="117943"/>
    <n v="3.08"/>
    <n v="3"/>
    <n v="4545898278.7399998"/>
  </r>
  <r>
    <x v="7"/>
    <s v="ID.3"/>
    <x v="2"/>
    <s v="Base"/>
    <n v="53614.66"/>
    <n v="63.7"/>
    <n v="213"/>
    <n v="160"/>
    <s v="SUV"/>
    <n v="4"/>
    <s v="Germany"/>
    <s v="Mid-range"/>
    <n v="208794"/>
    <n v="3.39"/>
    <n v="4"/>
    <n v="11194419320.040001"/>
  </r>
  <r>
    <x v="13"/>
    <s v="EQG"/>
    <x v="2"/>
    <s v="Long Range"/>
    <n v="74524.3"/>
    <n v="84.1"/>
    <n v="298"/>
    <n v="180"/>
    <s v="Hatchback"/>
    <n v="5"/>
    <s v="Germany"/>
    <s v="Premium"/>
    <n v="75343"/>
    <n v="3.85"/>
    <n v="7"/>
    <n v="5614884334.9000006"/>
  </r>
  <r>
    <x v="13"/>
    <s v="GLE EV"/>
    <x v="2"/>
    <s v="Long Range"/>
    <n v="100017.14"/>
    <n v="108.6"/>
    <n v="382"/>
    <n v="157"/>
    <s v="Hatchback"/>
    <n v="5"/>
    <s v="Germany"/>
    <s v="Luxury"/>
    <n v="39100"/>
    <n v="3.99"/>
    <n v="8"/>
    <n v="3910670174"/>
  </r>
  <r>
    <x v="13"/>
    <s v="EQC"/>
    <x v="2"/>
    <s v="Long Range"/>
    <n v="117361.83"/>
    <n v="91.3"/>
    <n v="335"/>
    <n v="158"/>
    <s v="SUV"/>
    <n v="4"/>
    <s v="Germany"/>
    <s v="Luxury"/>
    <n v="75929"/>
    <n v="3.88"/>
    <n v="5"/>
    <n v="8911166390.0699997"/>
  </r>
  <r>
    <x v="18"/>
    <s v="e"/>
    <x v="2"/>
    <s v="Premium"/>
    <n v="60662.04"/>
    <n v="67.2"/>
    <n v="242"/>
    <n v="154"/>
    <s v="SUV"/>
    <n v="4"/>
    <s v="Japan"/>
    <s v="Mid-range"/>
    <n v="10748"/>
    <n v="3.54"/>
    <n v="3"/>
    <n v="651995605.91999996"/>
  </r>
  <r>
    <x v="8"/>
    <s v="Mustang Mach-E"/>
    <x v="2"/>
    <s v="Base"/>
    <n v="64696.27"/>
    <n v="51.7"/>
    <n v="165"/>
    <n v="144"/>
    <s v="Van"/>
    <n v="4"/>
    <s v="US"/>
    <s v="Mid-range"/>
    <n v="37967"/>
    <n v="3.06"/>
    <n v="4"/>
    <n v="2456323283.0899997"/>
  </r>
  <r>
    <x v="3"/>
    <s v="Max"/>
    <x v="2"/>
    <s v="Standard"/>
    <n v="59138.53"/>
    <n v="43.2"/>
    <n v="160"/>
    <n v="141"/>
    <s v="Sedan"/>
    <n v="4"/>
    <s v="China"/>
    <s v="Mid-range"/>
    <n v="241442"/>
    <n v="3.15"/>
    <n v="4"/>
    <n v="14278524960.26"/>
  </r>
  <r>
    <x v="12"/>
    <s v="Equinox EV"/>
    <x v="2"/>
    <s v="Base"/>
    <n v="33771.620000000003"/>
    <n v="73.400000000000006"/>
    <n v="250"/>
    <n v="157"/>
    <s v="SUV"/>
    <n v="4"/>
    <s v="US"/>
    <s v="Budget"/>
    <n v="22698"/>
    <n v="3.33"/>
    <n v="4"/>
    <n v="766548230.76000011"/>
  </r>
  <r>
    <x v="3"/>
    <s v="Qin"/>
    <x v="2"/>
    <s v="Base"/>
    <n v="30225.18"/>
    <n v="54.4"/>
    <n v="172"/>
    <n v="162"/>
    <s v="Coupe"/>
    <n v="4"/>
    <s v="China"/>
    <s v="Budget"/>
    <n v="237770"/>
    <n v="3.36"/>
    <n v="4"/>
    <n v="7186641048.6000004"/>
  </r>
  <r>
    <x v="3"/>
    <s v="Max"/>
    <x v="2"/>
    <s v="Standard"/>
    <n v="72612.58"/>
    <n v="73.400000000000006"/>
    <n v="257"/>
    <n v="142"/>
    <s v="Van"/>
    <n v="4"/>
    <s v="China"/>
    <s v="Premium"/>
    <n v="232843"/>
    <n v="3.32"/>
    <n v="4"/>
    <n v="16907330964.940001"/>
  </r>
  <r>
    <x v="5"/>
    <s v="Niro EV"/>
    <x v="2"/>
    <s v="Base"/>
    <n v="34817.25"/>
    <n v="56.3"/>
    <n v="207"/>
    <n v="173"/>
    <s v="Truck"/>
    <n v="4"/>
    <s v="South Korea"/>
    <s v="Budget"/>
    <n v="109878"/>
    <n v="3.27"/>
    <n v="4"/>
    <n v="3825649795.5"/>
  </r>
  <r>
    <x v="6"/>
    <s v="Ioniq"/>
    <x v="2"/>
    <s v="Standard"/>
    <n v="39241.19"/>
    <n v="62.3"/>
    <n v="205"/>
    <n v="173"/>
    <s v="SUV"/>
    <n v="5"/>
    <s v="South Korea"/>
    <s v="Mid-range"/>
    <n v="50222"/>
    <n v="3.32"/>
    <n v="4"/>
    <n v="1970771044.1800001"/>
  </r>
  <r>
    <x v="6"/>
    <s v="Ioniq 6"/>
    <x v="2"/>
    <s v="Performance"/>
    <n v="56768.4"/>
    <n v="117.3"/>
    <n v="400"/>
    <n v="200"/>
    <s v="Coupe"/>
    <n v="5"/>
    <s v="South Korea"/>
    <s v="Mid-range"/>
    <n v="141874"/>
    <n v="4.18"/>
    <n v="4"/>
    <n v="8053959981.6000004"/>
  </r>
  <r>
    <x v="8"/>
    <s v="Explorer EV"/>
    <x v="2"/>
    <s v="Long Range"/>
    <n v="86649.72"/>
    <n v="78.8"/>
    <n v="301"/>
    <n v="175"/>
    <s v="Truck"/>
    <n v="5"/>
    <s v="US"/>
    <s v="Premium"/>
    <n v="45060"/>
    <n v="3.95"/>
    <n v="4"/>
    <n v="3904436383.2000003"/>
  </r>
  <r>
    <x v="3"/>
    <s v="Qin"/>
    <x v="2"/>
    <s v="Premium"/>
    <n v="39142.51"/>
    <n v="67.400000000000006"/>
    <n v="236"/>
    <n v="159"/>
    <s v="Hatchback"/>
    <n v="3"/>
    <s v="China"/>
    <s v="Mid-range"/>
    <n v="143146"/>
    <n v="3.46"/>
    <n v="3"/>
    <n v="5603093736.46"/>
  </r>
  <r>
    <x v="7"/>
    <s v="ID. Aero"/>
    <x v="2"/>
    <s v="Long Range"/>
    <n v="73265.41"/>
    <n v="102.2"/>
    <n v="363"/>
    <n v="187"/>
    <s v="Truck"/>
    <n v="3"/>
    <s v="Germany"/>
    <s v="Premium"/>
    <n v="255210"/>
    <n v="3.55"/>
    <n v="4"/>
    <n v="18698065286.100002"/>
  </r>
  <r>
    <x v="13"/>
    <s v="EQS"/>
    <x v="2"/>
    <s v="Long Range"/>
    <n v="178840.11"/>
    <n v="102.1"/>
    <n v="380"/>
    <n v="182"/>
    <s v="Truck"/>
    <n v="5"/>
    <s v="Germany"/>
    <s v="Luxury"/>
    <n v="49341"/>
    <n v="4.26"/>
    <n v="6"/>
    <n v="8824149867.5100002"/>
  </r>
  <r>
    <x v="3"/>
    <s v="Qin"/>
    <x v="2"/>
    <s v="Base"/>
    <n v="46766.53"/>
    <n v="44.5"/>
    <n v="150"/>
    <n v="162"/>
    <s v="Sedan"/>
    <n v="3"/>
    <s v="China"/>
    <s v="Mid-range"/>
    <n v="150601"/>
    <n v="3.18"/>
    <n v="4"/>
    <n v="7043086184.5299997"/>
  </r>
  <r>
    <x v="2"/>
    <s v="Cybertruck"/>
    <x v="2"/>
    <s v="Performance"/>
    <n v="57537.68"/>
    <n v="103.2"/>
    <n v="386"/>
    <n v="199"/>
    <s v="Truck"/>
    <n v="5"/>
    <s v="US"/>
    <s v="Mid-range"/>
    <n v="194936"/>
    <n v="4.0599999999999996"/>
    <n v="6"/>
    <n v="11216165188.48"/>
  </r>
  <r>
    <x v="7"/>
    <s v="ID.5"/>
    <x v="2"/>
    <s v="Base"/>
    <n v="27966.77"/>
    <n v="59.8"/>
    <n v="195"/>
    <n v="172"/>
    <s v="Sedan"/>
    <n v="5"/>
    <s v="Germany"/>
    <s v="Budget"/>
    <n v="258777"/>
    <n v="3.29"/>
    <n v="3"/>
    <n v="7237156840.29"/>
  </r>
  <r>
    <x v="2"/>
    <s v="Model Y"/>
    <x v="2"/>
    <s v="Long Range"/>
    <n v="45169.5"/>
    <n v="98.8"/>
    <n v="340"/>
    <n v="170"/>
    <s v="Van"/>
    <n v="4"/>
    <s v="US"/>
    <s v="Mid-range"/>
    <n v="416114"/>
    <n v="4.22"/>
    <n v="5"/>
    <n v="18795661323"/>
  </r>
  <r>
    <x v="6"/>
    <s v="Ioniq"/>
    <x v="2"/>
    <s v="Base"/>
    <n v="28093.63"/>
    <n v="47.2"/>
    <n v="167"/>
    <n v="139"/>
    <s v="Van"/>
    <n v="3"/>
    <s v="South Korea"/>
    <s v="Budget"/>
    <n v="119899"/>
    <n v="3.25"/>
    <n v="4"/>
    <n v="3368398143.3699999"/>
  </r>
  <r>
    <x v="4"/>
    <s v="Q4 e-tron"/>
    <x v="2"/>
    <s v="Premium"/>
    <n v="144615.75"/>
    <n v="49.5"/>
    <n v="161"/>
    <n v="152"/>
    <s v="SUV"/>
    <n v="5"/>
    <s v="Germany"/>
    <s v="Luxury"/>
    <n v="57074"/>
    <n v="3.06"/>
    <n v="6"/>
    <n v="8253799315.5"/>
  </r>
  <r>
    <x v="6"/>
    <s v="Ioniq 5"/>
    <x v="2"/>
    <s v="Premium"/>
    <n v="39046.61"/>
    <n v="54.4"/>
    <n v="178"/>
    <n v="148"/>
    <s v="Coupe"/>
    <n v="4"/>
    <s v="South Korea"/>
    <s v="Mid-range"/>
    <n v="57836"/>
    <n v="3.14"/>
    <n v="3"/>
    <n v="2258299735.96"/>
  </r>
  <r>
    <x v="17"/>
    <s v="XC90 Recharge"/>
    <x v="2"/>
    <s v="Performance"/>
    <n v="90661.21"/>
    <n v="108.4"/>
    <n v="396"/>
    <n v="200"/>
    <s v="SUV"/>
    <n v="5"/>
    <s v="Sweden"/>
    <s v="Premium"/>
    <n v="15699"/>
    <n v="3.68"/>
    <n v="5"/>
    <n v="1423290335.7900002"/>
  </r>
  <r>
    <x v="9"/>
    <s v="i7"/>
    <x v="2"/>
    <s v="Performance"/>
    <n v="154009.88"/>
    <n v="79"/>
    <n v="275"/>
    <n v="180"/>
    <s v="Coupe"/>
    <n v="4"/>
    <s v="Germany"/>
    <s v="Luxury"/>
    <n v="26663"/>
    <n v="3.51"/>
    <n v="7"/>
    <n v="4106365430.4400001"/>
  </r>
  <r>
    <x v="9"/>
    <s v="i7"/>
    <x v="2"/>
    <s v="Premium"/>
    <n v="116700.28"/>
    <n v="62.9"/>
    <n v="213"/>
    <n v="146"/>
    <s v="Van"/>
    <n v="5"/>
    <s v="Germany"/>
    <s v="Luxury"/>
    <n v="29505"/>
    <n v="3.78"/>
    <n v="5"/>
    <n v="3443241761.4000001"/>
  </r>
  <r>
    <x v="2"/>
    <s v="Cybertruck"/>
    <x v="2"/>
    <s v="Long Range"/>
    <n v="88720.74"/>
    <n v="92.2"/>
    <n v="341"/>
    <n v="175"/>
    <s v="Truck"/>
    <n v="4"/>
    <s v="US"/>
    <s v="Premium"/>
    <n v="226922"/>
    <n v="4.0199999999999996"/>
    <n v="5"/>
    <n v="20132687762.280003"/>
  </r>
  <r>
    <x v="17"/>
    <s v="C40 Recharge"/>
    <x v="2"/>
    <s v="Base"/>
    <n v="45992.59"/>
    <n v="83.4"/>
    <n v="291"/>
    <n v="175"/>
    <s v="Hatchback"/>
    <n v="5"/>
    <s v="Sweden"/>
    <s v="Mid-range"/>
    <n v="3048"/>
    <n v="3.39"/>
    <n v="4"/>
    <n v="140185414.31999999"/>
  </r>
  <r>
    <x v="14"/>
    <s v="EC6"/>
    <x v="2"/>
    <s v="Standard"/>
    <n v="64086.32"/>
    <n v="52.7"/>
    <n v="161"/>
    <n v="169"/>
    <s v="SUV"/>
    <n v="5"/>
    <s v="China"/>
    <s v="Mid-range"/>
    <n v="19395"/>
    <n v="3.46"/>
    <n v="4"/>
    <n v="1242954176.4000001"/>
  </r>
  <r>
    <x v="7"/>
    <s v="ID. Aero"/>
    <x v="2"/>
    <s v="Long Range"/>
    <n v="60508.93"/>
    <n v="105.5"/>
    <n v="362"/>
    <n v="171"/>
    <s v="Coupe"/>
    <n v="5"/>
    <s v="Germany"/>
    <s v="Mid-range"/>
    <n v="222081"/>
    <n v="3.78"/>
    <n v="5"/>
    <n v="13437883683.33"/>
  </r>
  <r>
    <x v="3"/>
    <s v="Qin"/>
    <x v="2"/>
    <s v="Standard"/>
    <n v="70030.570000000007"/>
    <n v="41.8"/>
    <n v="150"/>
    <n v="133"/>
    <s v="Hatchback"/>
    <n v="3"/>
    <s v="China"/>
    <s v="Premium"/>
    <n v="187796"/>
    <n v="3.45"/>
    <n v="4"/>
    <n v="13151460923.720001"/>
  </r>
  <r>
    <x v="7"/>
    <s v="ID. Aero"/>
    <x v="2"/>
    <s v="Performance"/>
    <n v="77144.75"/>
    <n v="109.8"/>
    <n v="367"/>
    <n v="200"/>
    <s v="Coupe"/>
    <n v="5"/>
    <s v="Germany"/>
    <s v="Premium"/>
    <n v="280321"/>
    <n v="3.69"/>
    <n v="5"/>
    <n v="21625293464.75"/>
  </r>
  <r>
    <x v="6"/>
    <s v="Ioniq 5"/>
    <x v="2"/>
    <s v="Performance"/>
    <n v="87757.22"/>
    <n v="77.5"/>
    <n v="262"/>
    <n v="194"/>
    <s v="Truck"/>
    <n v="5"/>
    <s v="South Korea"/>
    <s v="Premium"/>
    <n v="73010"/>
    <n v="3.41"/>
    <n v="5"/>
    <n v="6407154632.1999998"/>
  </r>
  <r>
    <x v="2"/>
    <s v="Model X"/>
    <x v="2"/>
    <s v="Performance"/>
    <n v="77379.740000000005"/>
    <n v="110"/>
    <n v="373"/>
    <n v="200"/>
    <s v="Sedan"/>
    <n v="3"/>
    <s v="US"/>
    <s v="Premium"/>
    <n v="238571"/>
    <n v="4.04"/>
    <n v="4"/>
    <n v="18460561951.540001"/>
  </r>
  <r>
    <x v="12"/>
    <s v="Equinox EV"/>
    <x v="2"/>
    <s v="Base"/>
    <n v="32829.19"/>
    <n v="77.7"/>
    <n v="295"/>
    <n v="139"/>
    <s v="SUV"/>
    <n v="5"/>
    <s v="US"/>
    <s v="Budget"/>
    <n v="26546"/>
    <n v="3.6"/>
    <n v="4"/>
    <n v="871483677.74000001"/>
  </r>
  <r>
    <x v="2"/>
    <s v="Model Y"/>
    <x v="2"/>
    <s v="Standard"/>
    <n v="93506.44"/>
    <n v="60.2"/>
    <n v="206"/>
    <n v="137"/>
    <s v="Van"/>
    <n v="5"/>
    <s v="US"/>
    <s v="Premium"/>
    <n v="464918"/>
    <n v="3.52"/>
    <n v="6"/>
    <n v="43472827071.919998"/>
  </r>
  <r>
    <x v="8"/>
    <s v="E-Transit"/>
    <x v="2"/>
    <s v="Performance"/>
    <n v="72683.98"/>
    <n v="73.7"/>
    <n v="253"/>
    <n v="200"/>
    <s v="Coupe"/>
    <n v="4"/>
    <s v="US"/>
    <s v="Premium"/>
    <n v="25267"/>
    <n v="3.64"/>
    <n v="4"/>
    <n v="1836506122.6599998"/>
  </r>
  <r>
    <x v="2"/>
    <s v="Model 3"/>
    <x v="2"/>
    <s v="Premium"/>
    <n v="78038.19"/>
    <n v="59.8"/>
    <n v="219"/>
    <n v="162"/>
    <s v="Coupe"/>
    <n v="3"/>
    <s v="US"/>
    <s v="Premium"/>
    <n v="156841"/>
    <n v="3.58"/>
    <n v="4"/>
    <n v="12239587757.790001"/>
  </r>
  <r>
    <x v="3"/>
    <s v="Leaf 50X"/>
    <x v="2"/>
    <s v="Long Range"/>
    <n v="80180.179999999993"/>
    <n v="86.6"/>
    <n v="329"/>
    <n v="183"/>
    <s v="Truck"/>
    <n v="5"/>
    <s v="China"/>
    <s v="Premium"/>
    <n v="170493"/>
    <n v="3.64"/>
    <n v="3"/>
    <n v="13670159428.739998"/>
  </r>
  <r>
    <x v="12"/>
    <s v="Equinox EV"/>
    <x v="2"/>
    <s v="Performance"/>
    <n v="59493.52"/>
    <n v="71.900000000000006"/>
    <n v="270"/>
    <n v="200"/>
    <s v="SUV"/>
    <n v="3"/>
    <s v="US"/>
    <s v="Mid-range"/>
    <n v="16751"/>
    <n v="3.44"/>
    <n v="4"/>
    <n v="996575953.51999998"/>
  </r>
  <r>
    <x v="3"/>
    <s v="Max"/>
    <x v="2"/>
    <s v="Standard"/>
    <n v="68088.929999999993"/>
    <n v="51.8"/>
    <n v="170"/>
    <n v="173"/>
    <s v="Hatchback"/>
    <n v="4"/>
    <s v="China"/>
    <s v="Premium"/>
    <n v="201225"/>
    <n v="3.25"/>
    <n v="5"/>
    <n v="13701194939.249998"/>
  </r>
  <r>
    <x v="13"/>
    <s v="EQE"/>
    <x v="2"/>
    <s v="Long Range"/>
    <n v="118966.22"/>
    <n v="83.4"/>
    <n v="306"/>
    <n v="187"/>
    <s v="Hatchback"/>
    <n v="4"/>
    <s v="Germany"/>
    <s v="Luxury"/>
    <n v="78467"/>
    <n v="3.86"/>
    <n v="8"/>
    <n v="9334922384.7399998"/>
  </r>
  <r>
    <x v="13"/>
    <s v="EQG"/>
    <x v="2"/>
    <s v="Long Range"/>
    <n v="140186.97"/>
    <n v="89.7"/>
    <n v="340"/>
    <n v="162"/>
    <s v="Hatchback"/>
    <n v="4"/>
    <s v="Germany"/>
    <s v="Luxury"/>
    <n v="31832"/>
    <n v="4.04"/>
    <n v="8"/>
    <n v="4462431629.04"/>
  </r>
  <r>
    <x v="5"/>
    <s v="Sportage EV"/>
    <x v="2"/>
    <s v="Long Range"/>
    <n v="89447.77"/>
    <n v="97.2"/>
    <n v="328"/>
    <n v="187"/>
    <s v="SUV"/>
    <n v="5"/>
    <s v="South Korea"/>
    <s v="Premium"/>
    <n v="135902"/>
    <n v="3.67"/>
    <n v="4"/>
    <n v="12156130838.540001"/>
  </r>
  <r>
    <x v="17"/>
    <s v="C40 Recharge"/>
    <x v="2"/>
    <s v="Base"/>
    <n v="46215.01"/>
    <n v="45.9"/>
    <n v="150"/>
    <n v="165"/>
    <s v="Hatchback"/>
    <n v="5"/>
    <s v="Sweden"/>
    <s v="Mid-range"/>
    <n v="17974"/>
    <n v="3.32"/>
    <n v="3"/>
    <n v="830668589.74000001"/>
  </r>
  <r>
    <x v="7"/>
    <s v="ID.4"/>
    <x v="2"/>
    <s v="Long Range"/>
    <n v="82795.09"/>
    <n v="103.2"/>
    <n v="345"/>
    <n v="181"/>
    <s v="Coupe"/>
    <n v="4"/>
    <s v="Germany"/>
    <s v="Premium"/>
    <n v="263434"/>
    <n v="3.53"/>
    <n v="5"/>
    <n v="21811041739.059998"/>
  </r>
  <r>
    <x v="0"/>
    <s v="bZ4X"/>
    <x v="2"/>
    <s v="Premium"/>
    <n v="46862.78"/>
    <n v="63.4"/>
    <n v="215"/>
    <n v="151"/>
    <s v="Sedan"/>
    <n v="5"/>
    <s v="Japan"/>
    <s v="Mid-range"/>
    <n v="1920"/>
    <n v="3.39"/>
    <n v="4"/>
    <n v="89976537.599999994"/>
  </r>
  <r>
    <x v="3"/>
    <s v="Qin"/>
    <x v="2"/>
    <s v="Long Range"/>
    <n v="77020.14"/>
    <n v="86.6"/>
    <n v="333"/>
    <n v="161"/>
    <s v="Van"/>
    <n v="5"/>
    <s v="China"/>
    <s v="Premium"/>
    <n v="167490"/>
    <n v="3.58"/>
    <n v="4"/>
    <n v="12900103248.6"/>
  </r>
  <r>
    <x v="12"/>
    <s v="Equinox EV"/>
    <x v="2"/>
    <s v="Premium"/>
    <n v="82968.06"/>
    <n v="75.400000000000006"/>
    <n v="253"/>
    <n v="163"/>
    <s v="SUV"/>
    <n v="4"/>
    <s v="US"/>
    <s v="Premium"/>
    <n v="7825"/>
    <n v="3.4"/>
    <n v="4"/>
    <n v="649225069.5"/>
  </r>
  <r>
    <x v="7"/>
    <s v="ID.4"/>
    <x v="2"/>
    <s v="Performance"/>
    <n v="97372.99"/>
    <n v="74.099999999999994"/>
    <n v="240"/>
    <n v="200"/>
    <s v="Sedan"/>
    <n v="4"/>
    <s v="Germany"/>
    <s v="Premium"/>
    <n v="246097"/>
    <n v="3.31"/>
    <n v="4"/>
    <n v="23963200720.030003"/>
  </r>
  <r>
    <x v="6"/>
    <s v="Ioniq 5"/>
    <x v="2"/>
    <s v="Standard"/>
    <n v="34455.089999999997"/>
    <n v="43.1"/>
    <n v="150"/>
    <n v="165"/>
    <s v="Van"/>
    <n v="5"/>
    <s v="South Korea"/>
    <s v="Budget"/>
    <n v="120724"/>
    <n v="3.13"/>
    <n v="5"/>
    <n v="4159556285.1599994"/>
  </r>
  <r>
    <x v="6"/>
    <s v="Ioniq 6"/>
    <x v="2"/>
    <s v="Premium"/>
    <n v="45588.01"/>
    <n v="53.8"/>
    <n v="175"/>
    <n v="159"/>
    <s v="Truck"/>
    <n v="4"/>
    <s v="South Korea"/>
    <s v="Mid-range"/>
    <n v="103603"/>
    <n v="3.49"/>
    <n v="4"/>
    <n v="4723054600.0300007"/>
  </r>
  <r>
    <x v="2"/>
    <s v="Model Y"/>
    <x v="2"/>
    <s v="Long Range"/>
    <n v="79776.37"/>
    <n v="94.5"/>
    <n v="332"/>
    <n v="163"/>
    <s v="Truck"/>
    <n v="3"/>
    <s v="US"/>
    <s v="Premium"/>
    <n v="488350"/>
    <n v="4"/>
    <n v="4"/>
    <n v="38958790289.5"/>
  </r>
  <r>
    <x v="2"/>
    <s v="Model S"/>
    <x v="2"/>
    <s v="Standard"/>
    <n v="127540.88"/>
    <n v="49.1"/>
    <n v="186"/>
    <n v="163"/>
    <s v="Coupe"/>
    <n v="3"/>
    <s v="US"/>
    <s v="Luxury"/>
    <n v="136670"/>
    <n v="3.54"/>
    <n v="5"/>
    <n v="17431012069.600002"/>
  </r>
  <r>
    <x v="2"/>
    <s v="Model X"/>
    <x v="2"/>
    <s v="Long Range"/>
    <n v="85291.7"/>
    <n v="102.2"/>
    <n v="332"/>
    <n v="184"/>
    <s v="Van"/>
    <n v="5"/>
    <s v="US"/>
    <s v="Premium"/>
    <n v="146415"/>
    <n v="3.95"/>
    <n v="4"/>
    <n v="12487984255.5"/>
  </r>
  <r>
    <x v="5"/>
    <s v="Picanto EV"/>
    <x v="2"/>
    <s v="Long Range"/>
    <n v="73622.080000000002"/>
    <n v="94.4"/>
    <n v="291"/>
    <n v="187"/>
    <s v="SUV"/>
    <n v="5"/>
    <s v="South Korea"/>
    <s v="Premium"/>
    <n v="128389"/>
    <n v="3.38"/>
    <n v="4"/>
    <n v="9452265229.1200008"/>
  </r>
  <r>
    <x v="3"/>
    <s v="Dolphin"/>
    <x v="2"/>
    <s v="Base"/>
    <n v="71011.58"/>
    <n v="47.4"/>
    <n v="159"/>
    <n v="132"/>
    <s v="SUV"/>
    <n v="4"/>
    <s v="China"/>
    <s v="Premium"/>
    <n v="210658"/>
    <n v="3.09"/>
    <n v="4"/>
    <n v="14959157419.640001"/>
  </r>
  <r>
    <x v="7"/>
    <s v="ID. Buzz"/>
    <x v="3"/>
    <s v="Performance"/>
    <n v="104880.8"/>
    <n v="118.7"/>
    <n v="400"/>
    <n v="195"/>
    <s v="Truck"/>
    <n v="4"/>
    <s v="Germany"/>
    <s v="Luxury"/>
    <n v="202182"/>
    <n v="4"/>
    <n v="4"/>
    <n v="21205009905.600002"/>
  </r>
  <r>
    <x v="2"/>
    <s v="Model Y"/>
    <x v="3"/>
    <s v="Performance"/>
    <n v="119590.27"/>
    <n v="78.3"/>
    <n v="251"/>
    <n v="200"/>
    <s v="Hatchback"/>
    <n v="5"/>
    <s v="US"/>
    <s v="Luxury"/>
    <n v="411764"/>
    <n v="3.67"/>
    <n v="5"/>
    <n v="49242967936.279999"/>
  </r>
  <r>
    <x v="3"/>
    <s v="Seagull"/>
    <x v="3"/>
    <s v="Base"/>
    <n v="16394.330000000002"/>
    <n v="41.8"/>
    <n v="158"/>
    <n v="155"/>
    <s v="Coupe"/>
    <n v="5"/>
    <s v="China"/>
    <s v="Budget"/>
    <n v="224997"/>
    <n v="3.58"/>
    <n v="5"/>
    <n v="3688675067.0100002"/>
  </r>
  <r>
    <x v="2"/>
    <s v="Cybertruck"/>
    <x v="3"/>
    <s v="Base"/>
    <n v="70531.960000000006"/>
    <n v="70.5"/>
    <n v="256"/>
    <n v="165"/>
    <s v="Truck"/>
    <n v="5"/>
    <s v="US"/>
    <s v="Premium"/>
    <n v="209622"/>
    <n v="3.6"/>
    <n v="4"/>
    <n v="14785050519.120001"/>
  </r>
  <r>
    <x v="2"/>
    <s v="Model X"/>
    <x v="3"/>
    <s v="Standard"/>
    <n v="67772.81"/>
    <n v="53.3"/>
    <n v="175"/>
    <n v="128"/>
    <s v="Sedan"/>
    <n v="5"/>
    <s v="US"/>
    <s v="Premium"/>
    <n v="207968"/>
    <n v="3.36"/>
    <n v="6"/>
    <n v="14094575750.08"/>
  </r>
  <r>
    <x v="2"/>
    <s v="Model X"/>
    <x v="3"/>
    <s v="Base"/>
    <n v="109503.65"/>
    <n v="47.9"/>
    <n v="155"/>
    <n v="164"/>
    <s v="Van"/>
    <n v="5"/>
    <s v="US"/>
    <s v="Luxury"/>
    <n v="174834"/>
    <n v="3.59"/>
    <n v="4"/>
    <n v="19144961144.099998"/>
  </r>
  <r>
    <x v="5"/>
    <s v="Sportage EV"/>
    <x v="3"/>
    <s v="Standard"/>
    <n v="77484.789999999994"/>
    <n v="81.2"/>
    <n v="284"/>
    <n v="169"/>
    <s v="SUV"/>
    <n v="3"/>
    <s v="South Korea"/>
    <s v="Premium"/>
    <n v="101678"/>
    <n v="3.34"/>
    <n v="4"/>
    <n v="7878498477.6199989"/>
  </r>
  <r>
    <x v="2"/>
    <s v="Model Y"/>
    <x v="3"/>
    <s v="Standard"/>
    <n v="98108.77"/>
    <n v="46.5"/>
    <n v="150"/>
    <n v="174"/>
    <s v="SUV"/>
    <n v="5"/>
    <s v="US"/>
    <s v="Premium"/>
    <n v="431290"/>
    <n v="3.33"/>
    <n v="4"/>
    <n v="42313331413.300003"/>
  </r>
  <r>
    <x v="7"/>
    <s v="ID.4"/>
    <x v="3"/>
    <s v="Long Range"/>
    <n v="94330.19"/>
    <n v="105.4"/>
    <n v="383"/>
    <n v="177"/>
    <s v="Sedan"/>
    <n v="5"/>
    <s v="Germany"/>
    <s v="Premium"/>
    <n v="232451"/>
    <n v="3.95"/>
    <n v="3"/>
    <n v="21927146995.690002"/>
  </r>
  <r>
    <x v="13"/>
    <s v="GLE EV"/>
    <x v="3"/>
    <s v="Standard"/>
    <n v="144581.79"/>
    <n v="42.8"/>
    <n v="150"/>
    <n v="156"/>
    <s v="SUV"/>
    <n v="4"/>
    <s v="Germany"/>
    <s v="Luxury"/>
    <n v="76491"/>
    <n v="3.42"/>
    <n v="7"/>
    <n v="11059205698.890001"/>
  </r>
  <r>
    <x v="9"/>
    <s v="iX"/>
    <x v="3"/>
    <s v="Premium"/>
    <n v="86081.93"/>
    <n v="72.3"/>
    <n v="247"/>
    <n v="166"/>
    <s v="Truck"/>
    <n v="4"/>
    <s v="Germany"/>
    <s v="Premium"/>
    <n v="51887"/>
    <n v="3.42"/>
    <n v="6"/>
    <n v="4466533101.9099998"/>
  </r>
  <r>
    <x v="3"/>
    <s v="Yuan Plus"/>
    <x v="3"/>
    <s v="Standard"/>
    <n v="21523.03"/>
    <n v="42.4"/>
    <n v="150"/>
    <n v="157"/>
    <s v="Sedan"/>
    <n v="4"/>
    <s v="China"/>
    <s v="Budget"/>
    <n v="183596"/>
    <n v="3.23"/>
    <n v="3"/>
    <n v="3951542215.8799996"/>
  </r>
  <r>
    <x v="5"/>
    <s v="Niro EV"/>
    <x v="3"/>
    <s v="Premium"/>
    <n v="92594.29"/>
    <n v="74.2"/>
    <n v="257"/>
    <n v="158"/>
    <s v="Coupe"/>
    <n v="5"/>
    <s v="South Korea"/>
    <s v="Premium"/>
    <n v="83731"/>
    <n v="3.6"/>
    <n v="4"/>
    <n v="7753012495.9899998"/>
  </r>
  <r>
    <x v="8"/>
    <s v="Mustang Mach-E"/>
    <x v="3"/>
    <s v="Long Range"/>
    <n v="76072"/>
    <n v="105.6"/>
    <n v="363"/>
    <n v="189"/>
    <s v="Hatchback"/>
    <n v="5"/>
    <s v="US"/>
    <s v="Premium"/>
    <n v="48060"/>
    <n v="4.04"/>
    <n v="4"/>
    <n v="3656020320"/>
  </r>
  <r>
    <x v="7"/>
    <s v="ID.4"/>
    <x v="3"/>
    <s v="Performance"/>
    <n v="80921.960000000006"/>
    <n v="108.9"/>
    <n v="399"/>
    <n v="198"/>
    <s v="Hatchback"/>
    <n v="3"/>
    <s v="Germany"/>
    <s v="Premium"/>
    <n v="234095"/>
    <n v="3.86"/>
    <n v="5"/>
    <n v="18943426226.200001"/>
  </r>
  <r>
    <x v="2"/>
    <s v="Model X"/>
    <x v="3"/>
    <s v="Performance"/>
    <n v="184745.86"/>
    <n v="106.3"/>
    <n v="348"/>
    <n v="198"/>
    <s v="Coupe"/>
    <n v="3"/>
    <s v="US"/>
    <s v="Luxury"/>
    <n v="148529"/>
    <n v="4.29"/>
    <n v="5"/>
    <n v="27440117839.939999"/>
  </r>
  <r>
    <x v="3"/>
    <s v="Max"/>
    <x v="3"/>
    <s v="Performance"/>
    <n v="26461.18"/>
    <n v="71.3"/>
    <n v="265"/>
    <n v="200"/>
    <s v="SUV"/>
    <n v="3"/>
    <s v="China"/>
    <s v="Budget"/>
    <n v="226324"/>
    <n v="3.6"/>
    <n v="3"/>
    <n v="5988800102.3199997"/>
  </r>
  <r>
    <x v="13"/>
    <s v="EQG"/>
    <x v="3"/>
    <s v="Long Range"/>
    <n v="163924.89000000001"/>
    <n v="83.9"/>
    <n v="285"/>
    <n v="180"/>
    <s v="Coupe"/>
    <n v="4"/>
    <s v="Germany"/>
    <s v="Luxury"/>
    <n v="50822"/>
    <n v="3.77"/>
    <n v="6"/>
    <n v="8330990759.5800009"/>
  </r>
  <r>
    <x v="5"/>
    <s v="Niro EV"/>
    <x v="3"/>
    <s v="Premium"/>
    <n v="38796.18"/>
    <n v="49.4"/>
    <n v="150"/>
    <n v="168"/>
    <s v="Coupe"/>
    <n v="5"/>
    <s v="South Korea"/>
    <s v="Mid-range"/>
    <n v="146563"/>
    <n v="3.09"/>
    <n v="4"/>
    <n v="5686084529.3400002"/>
  </r>
  <r>
    <x v="8"/>
    <s v="Mustang Mach-E"/>
    <x v="3"/>
    <s v="Base"/>
    <n v="59885.41"/>
    <n v="65.900000000000006"/>
    <n v="231"/>
    <n v="148"/>
    <s v="Truck"/>
    <n v="4"/>
    <s v="US"/>
    <s v="Mid-range"/>
    <n v="28589"/>
    <n v="3.5"/>
    <n v="4"/>
    <n v="1712063986.49"/>
  </r>
  <r>
    <x v="2"/>
    <s v="Model S"/>
    <x v="3"/>
    <s v="Performance"/>
    <n v="65004.86"/>
    <n v="111"/>
    <n v="405"/>
    <n v="200"/>
    <s v="Truck"/>
    <n v="4"/>
    <s v="US"/>
    <s v="Premium"/>
    <n v="208805"/>
    <n v="4.34"/>
    <n v="4"/>
    <n v="13573339792.299999"/>
  </r>
  <r>
    <x v="3"/>
    <s v="Dolphin"/>
    <x v="3"/>
    <s v="Performance"/>
    <n v="33904.31"/>
    <n v="91.8"/>
    <n v="310"/>
    <n v="200"/>
    <s v="Sedan"/>
    <n v="4"/>
    <s v="China"/>
    <s v="Budget"/>
    <n v="106140"/>
    <n v="3.65"/>
    <n v="3"/>
    <n v="3598603463.3999996"/>
  </r>
  <r>
    <x v="3"/>
    <s v="Seagull"/>
    <x v="3"/>
    <s v="Long Range"/>
    <n v="77902.259999999995"/>
    <n v="85.2"/>
    <n v="288"/>
    <n v="183"/>
    <s v="SUV"/>
    <n v="5"/>
    <s v="China"/>
    <s v="Premium"/>
    <n v="177211"/>
    <n v="3.38"/>
    <n v="3"/>
    <n v="13805137396.859999"/>
  </r>
  <r>
    <x v="3"/>
    <s v="Dolphin"/>
    <x v="3"/>
    <s v="Standard"/>
    <n v="50127.13"/>
    <n v="47.6"/>
    <n v="150"/>
    <n v="140"/>
    <s v="Sedan"/>
    <n v="4"/>
    <s v="China"/>
    <s v="Mid-range"/>
    <n v="176192"/>
    <n v="3.19"/>
    <n v="4"/>
    <n v="8831999288.9599991"/>
  </r>
  <r>
    <x v="3"/>
    <s v="Max"/>
    <x v="3"/>
    <s v="Premium"/>
    <n v="29372.26"/>
    <n v="77"/>
    <n v="257"/>
    <n v="129"/>
    <s v="Hatchback"/>
    <n v="4"/>
    <s v="China"/>
    <s v="Budget"/>
    <n v="240988"/>
    <n v="3.46"/>
    <n v="4"/>
    <n v="7078362192.8799992"/>
  </r>
  <r>
    <x v="2"/>
    <s v="Model 3"/>
    <x v="3"/>
    <s v="Premium"/>
    <n v="123494.48"/>
    <n v="79.099999999999994"/>
    <n v="283"/>
    <n v="175"/>
    <s v="SUV"/>
    <n v="5"/>
    <s v="US"/>
    <s v="Luxury"/>
    <n v="228731"/>
    <n v="3.4"/>
    <n v="4"/>
    <n v="28247015904.879997"/>
  </r>
  <r>
    <x v="2"/>
    <s v="Model X"/>
    <x v="3"/>
    <s v="Premium"/>
    <n v="41055.46"/>
    <n v="66.5"/>
    <n v="234"/>
    <n v="157"/>
    <s v="Truck"/>
    <n v="5"/>
    <s v="US"/>
    <s v="Mid-range"/>
    <n v="203412"/>
    <n v="3.84"/>
    <n v="4"/>
    <n v="8351173229.5199995"/>
  </r>
  <r>
    <x v="9"/>
    <s v="i4"/>
    <x v="3"/>
    <s v="Long Range"/>
    <n v="76874.69"/>
    <n v="96.7"/>
    <n v="338"/>
    <n v="159"/>
    <s v="Sedan"/>
    <n v="5"/>
    <s v="Germany"/>
    <s v="Premium"/>
    <n v="29925"/>
    <n v="3.89"/>
    <n v="5"/>
    <n v="2300475098.25"/>
  </r>
  <r>
    <x v="9"/>
    <s v="i5"/>
    <x v="3"/>
    <s v="Base"/>
    <n v="58951.66"/>
    <n v="72.400000000000006"/>
    <n v="252"/>
    <n v="167"/>
    <s v="Van"/>
    <n v="5"/>
    <s v="Germany"/>
    <s v="Mid-range"/>
    <n v="20422"/>
    <n v="3.39"/>
    <n v="8"/>
    <n v="1203910800.52"/>
  </r>
  <r>
    <x v="2"/>
    <s v="Cybertruck"/>
    <x v="3"/>
    <s v="Base"/>
    <n v="113861.27"/>
    <n v="81.2"/>
    <n v="306"/>
    <n v="131"/>
    <s v="Truck"/>
    <n v="5"/>
    <s v="US"/>
    <s v="Luxury"/>
    <n v="162424"/>
    <n v="3.82"/>
    <n v="4"/>
    <n v="18493802918.48"/>
  </r>
  <r>
    <x v="11"/>
    <s v="R3"/>
    <x v="3"/>
    <s v="Performance"/>
    <n v="104608.91"/>
    <n v="116.3"/>
    <n v="395"/>
    <n v="200"/>
    <s v="Sedan"/>
    <n v="5"/>
    <s v="US"/>
    <s v="Luxury"/>
    <n v="4453"/>
    <n v="3.72"/>
    <n v="4"/>
    <n v="465823476.23000002"/>
  </r>
  <r>
    <x v="9"/>
    <s v="iX"/>
    <x v="3"/>
    <s v="Base"/>
    <n v="90267.93"/>
    <n v="63"/>
    <n v="260"/>
    <n v="172"/>
    <s v="Hatchback"/>
    <n v="4"/>
    <s v="Germany"/>
    <s v="Premium"/>
    <n v="26056"/>
    <n v="3.46"/>
    <n v="5"/>
    <n v="2352021184.0799999"/>
  </r>
  <r>
    <x v="2"/>
    <s v="Cybertruck"/>
    <x v="3"/>
    <s v="Base"/>
    <n v="46210.19"/>
    <n v="70.099999999999994"/>
    <n v="244"/>
    <n v="171"/>
    <s v="Truck"/>
    <n v="4"/>
    <s v="US"/>
    <s v="Mid-range"/>
    <n v="187848"/>
    <n v="3.58"/>
    <n v="4"/>
    <n v="8680491771.1200008"/>
  </r>
  <r>
    <x v="9"/>
    <s v="i3"/>
    <x v="3"/>
    <s v="Premium"/>
    <n v="137951.81"/>
    <n v="60.1"/>
    <n v="220"/>
    <n v="152"/>
    <s v="Hatchback"/>
    <n v="4"/>
    <s v="Germany"/>
    <s v="Luxury"/>
    <n v="26110"/>
    <n v="3.46"/>
    <n v="7"/>
    <n v="3601921759.0999999"/>
  </r>
  <r>
    <x v="9"/>
    <s v="i3"/>
    <x v="3"/>
    <s v="Standard"/>
    <n v="67705.119999999995"/>
    <n v="63"/>
    <n v="239"/>
    <n v="176"/>
    <s v="Coupe"/>
    <n v="5"/>
    <s v="Germany"/>
    <s v="Premium"/>
    <n v="68305"/>
    <n v="3.3"/>
    <n v="8"/>
    <n v="4624598221.5999994"/>
  </r>
  <r>
    <x v="3"/>
    <s v="Qin"/>
    <x v="3"/>
    <s v="Standard"/>
    <n v="36044.93"/>
    <n v="74.5"/>
    <n v="251"/>
    <n v="127"/>
    <s v="Truck"/>
    <n v="4"/>
    <s v="China"/>
    <s v="Mid-range"/>
    <n v="117310"/>
    <n v="3.57"/>
    <n v="5"/>
    <n v="4228430738.3000002"/>
  </r>
  <r>
    <x v="2"/>
    <s v="Model Y"/>
    <x v="3"/>
    <s v="Standard"/>
    <n v="44516.36"/>
    <n v="56.4"/>
    <n v="227"/>
    <n v="147"/>
    <s v="Sedan"/>
    <n v="4"/>
    <s v="US"/>
    <s v="Mid-range"/>
    <n v="403294"/>
    <n v="3.48"/>
    <n v="5"/>
    <n v="17953180889.84"/>
  </r>
  <r>
    <x v="2"/>
    <s v="Model X"/>
    <x v="3"/>
    <s v="Premium"/>
    <n v="100324.34"/>
    <n v="79.900000000000006"/>
    <n v="300"/>
    <n v="150"/>
    <s v="Coupe"/>
    <n v="4"/>
    <s v="US"/>
    <s v="Luxury"/>
    <n v="121739"/>
    <n v="3.62"/>
    <n v="4"/>
    <n v="12213384827.26"/>
  </r>
  <r>
    <x v="0"/>
    <s v="bZ4X"/>
    <x v="3"/>
    <s v="Base"/>
    <n v="53579.07"/>
    <n v="65.5"/>
    <n v="233"/>
    <n v="133"/>
    <s v="Coupe"/>
    <n v="4"/>
    <s v="Japan"/>
    <s v="Mid-range"/>
    <n v="16544"/>
    <n v="3.42"/>
    <n v="4"/>
    <n v="886412134.08000004"/>
  </r>
  <r>
    <x v="11"/>
    <s v="R3"/>
    <x v="3"/>
    <s v="Standard"/>
    <n v="81874.34"/>
    <n v="83.6"/>
    <n v="317"/>
    <n v="177"/>
    <s v="Sedan"/>
    <n v="4"/>
    <s v="US"/>
    <s v="Premium"/>
    <n v="1989"/>
    <n v="3.61"/>
    <n v="4"/>
    <n v="162848062.25999999"/>
  </r>
  <r>
    <x v="13"/>
    <s v="EQG"/>
    <x v="3"/>
    <s v="Performance"/>
    <n v="181026.58"/>
    <n v="110.6"/>
    <n v="370"/>
    <n v="200"/>
    <s v="Truck"/>
    <n v="4"/>
    <s v="Germany"/>
    <s v="Luxury"/>
    <n v="35248"/>
    <n v="3.91"/>
    <n v="8"/>
    <n v="6380824891.8399992"/>
  </r>
  <r>
    <x v="7"/>
    <s v="ID.3"/>
    <x v="3"/>
    <s v="Premium"/>
    <n v="40146.71"/>
    <n v="41.6"/>
    <n v="150"/>
    <n v="142"/>
    <s v="Coupe"/>
    <n v="4"/>
    <s v="Germany"/>
    <s v="Mid-range"/>
    <n v="229072"/>
    <n v="3.13"/>
    <n v="5"/>
    <n v="9196487153.1199989"/>
  </r>
  <r>
    <x v="13"/>
    <s v="GLE EV"/>
    <x v="3"/>
    <s v="Long Range"/>
    <n v="182443.72"/>
    <n v="104.6"/>
    <n v="359"/>
    <n v="174"/>
    <s v="Sedan"/>
    <n v="4"/>
    <s v="Germany"/>
    <s v="Luxury"/>
    <n v="20765"/>
    <n v="4.0999999999999996"/>
    <n v="8"/>
    <n v="3788443845.8000002"/>
  </r>
  <r>
    <x v="2"/>
    <s v="Model S"/>
    <x v="3"/>
    <s v="Premium"/>
    <n v="76607.64"/>
    <n v="81.099999999999994"/>
    <n v="288"/>
    <n v="137"/>
    <s v="Van"/>
    <n v="3"/>
    <s v="US"/>
    <s v="Premium"/>
    <n v="244244"/>
    <n v="3.81"/>
    <n v="4"/>
    <n v="18710956424.16"/>
  </r>
  <r>
    <x v="8"/>
    <s v="Mustang Mach-E"/>
    <x v="3"/>
    <s v="Long Range"/>
    <n v="63827.68"/>
    <n v="85.8"/>
    <n v="270"/>
    <n v="180"/>
    <s v="Truck"/>
    <n v="4"/>
    <s v="US"/>
    <s v="Mid-range"/>
    <n v="74506"/>
    <n v="3.43"/>
    <n v="3"/>
    <n v="4755545126.0799999"/>
  </r>
  <r>
    <x v="12"/>
    <s v="Bolt EUV"/>
    <x v="3"/>
    <s v="Performance"/>
    <n v="74889.56"/>
    <n v="92.7"/>
    <n v="312"/>
    <n v="193"/>
    <s v="Coupe"/>
    <n v="4"/>
    <s v="US"/>
    <s v="Premium"/>
    <n v="29402"/>
    <n v="3.57"/>
    <n v="3"/>
    <n v="2201902843.1199999"/>
  </r>
  <r>
    <x v="2"/>
    <s v="Cybertruck"/>
    <x v="3"/>
    <s v="Base"/>
    <n v="104581.09"/>
    <n v="50.5"/>
    <n v="185"/>
    <n v="165"/>
    <s v="Truck"/>
    <n v="5"/>
    <s v="US"/>
    <s v="Luxury"/>
    <n v="156090"/>
    <n v="3.54"/>
    <n v="6"/>
    <n v="16324062338.1"/>
  </r>
  <r>
    <x v="2"/>
    <s v="Model S"/>
    <x v="3"/>
    <s v="Base"/>
    <n v="56750.25"/>
    <n v="40.5"/>
    <n v="163"/>
    <n v="136"/>
    <s v="Van"/>
    <n v="4"/>
    <s v="US"/>
    <s v="Mid-range"/>
    <n v="175034"/>
    <n v="3.89"/>
    <n v="4"/>
    <n v="9933223258.5"/>
  </r>
  <r>
    <x v="2"/>
    <s v="Cybertruck"/>
    <x v="3"/>
    <s v="Base"/>
    <n v="62213.09"/>
    <n v="54.2"/>
    <n v="191"/>
    <n v="136"/>
    <s v="Truck"/>
    <n v="5"/>
    <s v="US"/>
    <s v="Mid-range"/>
    <n v="199768"/>
    <n v="3.77"/>
    <n v="5"/>
    <n v="12428184563.119999"/>
  </r>
  <r>
    <x v="9"/>
    <s v="i3"/>
    <x v="3"/>
    <s v="Long Range"/>
    <n v="134039.99"/>
    <n v="84.4"/>
    <n v="313"/>
    <n v="177"/>
    <s v="Sedan"/>
    <n v="5"/>
    <s v="Germany"/>
    <s v="Luxury"/>
    <n v="70841"/>
    <n v="3.71"/>
    <n v="5"/>
    <n v="9495526931.5900002"/>
  </r>
  <r>
    <x v="6"/>
    <s v="i30"/>
    <x v="3"/>
    <s v="Long Range"/>
    <n v="65970"/>
    <n v="108.1"/>
    <n v="394"/>
    <n v="179"/>
    <s v="Coupe"/>
    <n v="5"/>
    <s v="South Korea"/>
    <s v="Premium"/>
    <n v="146072"/>
    <n v="4.09"/>
    <n v="4"/>
    <n v="9636369840"/>
  </r>
  <r>
    <x v="8"/>
    <s v="E-Transit"/>
    <x v="3"/>
    <s v="Base"/>
    <n v="42208.33"/>
    <n v="66.3"/>
    <n v="224"/>
    <n v="165"/>
    <s v="SUV"/>
    <n v="5"/>
    <s v="US"/>
    <s v="Mid-range"/>
    <n v="47569"/>
    <n v="3.37"/>
    <n v="4"/>
    <n v="2007808049.77"/>
  </r>
  <r>
    <x v="2"/>
    <s v="Cybertruck"/>
    <x v="3"/>
    <s v="Base"/>
    <n v="38622.29"/>
    <n v="51.5"/>
    <n v="186"/>
    <n v="124"/>
    <s v="Truck"/>
    <n v="5"/>
    <s v="US"/>
    <s v="Mid-range"/>
    <n v="174372"/>
    <n v="3.4"/>
    <n v="5"/>
    <n v="6734645951.8800001"/>
  </r>
  <r>
    <x v="2"/>
    <s v="Model X"/>
    <x v="3"/>
    <s v="Base"/>
    <n v="27433.3"/>
    <n v="82.4"/>
    <n v="258"/>
    <n v="161"/>
    <s v="Coupe"/>
    <n v="5"/>
    <s v="US"/>
    <s v="Budget"/>
    <n v="230869"/>
    <n v="3.79"/>
    <n v="4"/>
    <n v="6333498537.6999998"/>
  </r>
  <r>
    <x v="12"/>
    <s v="Silverado EV"/>
    <x v="3"/>
    <s v="Standard"/>
    <n v="64132.24"/>
    <n v="51.9"/>
    <n v="150"/>
    <n v="155"/>
    <s v="Truck"/>
    <n v="4"/>
    <s v="US"/>
    <s v="Mid-range"/>
    <n v="5462"/>
    <n v="3.44"/>
    <n v="4"/>
    <n v="350290294.88"/>
  </r>
  <r>
    <x v="3"/>
    <s v="Dolphin"/>
    <x v="3"/>
    <s v="Premium"/>
    <n v="65383.31"/>
    <n v="69.599999999999994"/>
    <n v="240"/>
    <n v="161"/>
    <s v="Coupe"/>
    <n v="5"/>
    <s v="China"/>
    <s v="Premium"/>
    <n v="171261"/>
    <n v="3.56"/>
    <n v="4"/>
    <n v="11197611053.91"/>
  </r>
  <r>
    <x v="2"/>
    <s v="Model 3"/>
    <x v="3"/>
    <s v="Base"/>
    <n v="33304.79"/>
    <n v="70.400000000000006"/>
    <n v="262"/>
    <n v="180"/>
    <s v="Van"/>
    <n v="4"/>
    <s v="US"/>
    <s v="Budget"/>
    <n v="239021"/>
    <n v="3.85"/>
    <n v="5"/>
    <n v="7960544210.5900002"/>
  </r>
  <r>
    <x v="2"/>
    <s v="Model S"/>
    <x v="3"/>
    <s v="Long Range"/>
    <n v="98608.05"/>
    <n v="77.7"/>
    <n v="286"/>
    <n v="183"/>
    <s v="Hatchback"/>
    <n v="4"/>
    <s v="US"/>
    <s v="Premium"/>
    <n v="246839"/>
    <n v="3.98"/>
    <n v="4"/>
    <n v="24340312453.950001"/>
  </r>
  <r>
    <x v="5"/>
    <s v="Picanto EV"/>
    <x v="3"/>
    <s v="Premium"/>
    <n v="95598.48"/>
    <n v="63.5"/>
    <n v="202"/>
    <n v="166"/>
    <s v="SUV"/>
    <n v="5"/>
    <s v="South Korea"/>
    <s v="Premium"/>
    <n v="107457"/>
    <n v="3.32"/>
    <n v="5"/>
    <n v="10272725865.359999"/>
  </r>
  <r>
    <x v="14"/>
    <s v="EC6"/>
    <x v="3"/>
    <s v="Long Range"/>
    <n v="98011.85"/>
    <n v="106.2"/>
    <n v="364"/>
    <n v="171"/>
    <s v="Sedan"/>
    <n v="4"/>
    <s v="China"/>
    <s v="Premium"/>
    <n v="12631"/>
    <n v="3.86"/>
    <n v="5"/>
    <n v="1237987677.3500001"/>
  </r>
  <r>
    <x v="2"/>
    <s v="Cybertruck"/>
    <x v="3"/>
    <s v="Standard"/>
    <n v="121896.5"/>
    <n v="64.2"/>
    <n v="216"/>
    <n v="145"/>
    <s v="Truck"/>
    <n v="5"/>
    <s v="US"/>
    <s v="Luxury"/>
    <n v="186743"/>
    <n v="3.62"/>
    <n v="4"/>
    <n v="22763318099.5"/>
  </r>
  <r>
    <x v="8"/>
    <s v="Explorer EV"/>
    <x v="3"/>
    <s v="Base"/>
    <n v="35481.879999999997"/>
    <n v="41"/>
    <n v="173"/>
    <n v="155"/>
    <s v="Hatchback"/>
    <n v="5"/>
    <s v="US"/>
    <s v="Mid-range"/>
    <n v="63701"/>
    <n v="3.25"/>
    <n v="4"/>
    <n v="2260231237.8799996"/>
  </r>
  <r>
    <x v="3"/>
    <s v="Leaf 50X"/>
    <x v="3"/>
    <s v="Long Range"/>
    <n v="100157.25"/>
    <n v="105.4"/>
    <n v="362"/>
    <n v="177"/>
    <s v="Truck"/>
    <n v="4"/>
    <s v="China"/>
    <s v="Luxury"/>
    <n v="107443"/>
    <n v="3.79"/>
    <n v="5"/>
    <n v="10761195411.75"/>
  </r>
  <r>
    <x v="2"/>
    <s v="Model Y"/>
    <x v="3"/>
    <s v="Base"/>
    <n v="55299.28"/>
    <n v="40.9"/>
    <n v="150"/>
    <n v="151"/>
    <s v="Hatchback"/>
    <n v="5"/>
    <s v="US"/>
    <s v="Mid-range"/>
    <n v="449181"/>
    <n v="3.75"/>
    <n v="4"/>
    <n v="24839385889.68"/>
  </r>
  <r>
    <x v="8"/>
    <s v="Explorer EV"/>
    <x v="3"/>
    <s v="Base"/>
    <n v="52080.38"/>
    <n v="54.7"/>
    <n v="222"/>
    <n v="143"/>
    <s v="Van"/>
    <n v="4"/>
    <s v="US"/>
    <s v="Mid-range"/>
    <n v="72053"/>
    <n v="3.42"/>
    <n v="3"/>
    <n v="3752547620.1399999"/>
  </r>
  <r>
    <x v="7"/>
    <s v="ID. Buzz"/>
    <x v="3"/>
    <s v="Performance"/>
    <n v="50097.36"/>
    <n v="93.7"/>
    <n v="319"/>
    <n v="182"/>
    <s v="Van"/>
    <n v="4"/>
    <s v="Germany"/>
    <s v="Mid-range"/>
    <n v="238954"/>
    <n v="3.69"/>
    <n v="4"/>
    <n v="11970964561.440001"/>
  </r>
  <r>
    <x v="13"/>
    <s v="EQS"/>
    <x v="3"/>
    <s v="Long Range"/>
    <n v="123138.78"/>
    <n v="81.2"/>
    <n v="263"/>
    <n v="174"/>
    <s v="Truck"/>
    <n v="5"/>
    <s v="Germany"/>
    <s v="Luxury"/>
    <n v="65127"/>
    <n v="3.77"/>
    <n v="5"/>
    <n v="8019659325.0599995"/>
  </r>
  <r>
    <x v="2"/>
    <s v="Model S"/>
    <x v="3"/>
    <s v="Premium"/>
    <n v="131294.35999999999"/>
    <n v="66"/>
    <n v="236"/>
    <n v="159"/>
    <s v="SUV"/>
    <n v="4"/>
    <s v="US"/>
    <s v="Luxury"/>
    <n v="154508"/>
    <n v="3.91"/>
    <n v="4"/>
    <n v="20286028974.879997"/>
  </r>
  <r>
    <x v="7"/>
    <s v="ID.4"/>
    <x v="3"/>
    <s v="Premium"/>
    <n v="44868.54"/>
    <n v="71"/>
    <n v="254"/>
    <n v="135"/>
    <s v="Sedan"/>
    <n v="3"/>
    <s v="Germany"/>
    <s v="Mid-range"/>
    <n v="264149"/>
    <n v="3.6"/>
    <n v="5"/>
    <n v="11851979972.460001"/>
  </r>
  <r>
    <x v="6"/>
    <s v="Ioniq 5"/>
    <x v="3"/>
    <s v="Standard"/>
    <n v="68110.080000000002"/>
    <n v="72.3"/>
    <n v="255"/>
    <n v="152"/>
    <s v="Truck"/>
    <n v="4"/>
    <s v="South Korea"/>
    <s v="Premium"/>
    <n v="73761"/>
    <n v="3.77"/>
    <n v="4"/>
    <n v="5023867610.8800001"/>
  </r>
  <r>
    <x v="2"/>
    <s v="Model Y"/>
    <x v="3"/>
    <s v="Base"/>
    <n v="92950.35"/>
    <n v="77.5"/>
    <n v="263"/>
    <n v="166"/>
    <s v="SUV"/>
    <n v="5"/>
    <s v="US"/>
    <s v="Premium"/>
    <n v="491547"/>
    <n v="3.57"/>
    <n v="5"/>
    <n v="45689465691.450005"/>
  </r>
  <r>
    <x v="8"/>
    <s v="Explorer EV"/>
    <x v="3"/>
    <s v="Standard"/>
    <n v="73469.820000000007"/>
    <n v="58.2"/>
    <n v="186"/>
    <n v="134"/>
    <s v="Coupe"/>
    <n v="5"/>
    <s v="US"/>
    <s v="Premium"/>
    <n v="59218"/>
    <n v="3.38"/>
    <n v="3"/>
    <n v="4350735800.7600002"/>
  </r>
  <r>
    <x v="2"/>
    <s v="Model X"/>
    <x v="3"/>
    <s v="Performance"/>
    <n v="93392.21"/>
    <n v="85.7"/>
    <n v="297"/>
    <n v="200"/>
    <s v="SUV"/>
    <n v="5"/>
    <s v="US"/>
    <s v="Premium"/>
    <n v="138082"/>
    <n v="3.74"/>
    <n v="5"/>
    <n v="12895783141.220001"/>
  </r>
  <r>
    <x v="2"/>
    <s v="Model S"/>
    <x v="3"/>
    <s v="Premium"/>
    <n v="109016.04"/>
    <n v="46.6"/>
    <n v="178"/>
    <n v="137"/>
    <s v="Hatchback"/>
    <n v="5"/>
    <s v="US"/>
    <s v="Luxury"/>
    <n v="113179"/>
    <n v="3.59"/>
    <n v="5"/>
    <n v="12338326391.16"/>
  </r>
  <r>
    <x v="15"/>
    <s v="Taycan"/>
    <x v="3"/>
    <s v="Base"/>
    <n v="145262.78"/>
    <n v="70.599999999999994"/>
    <n v="265"/>
    <n v="148"/>
    <s v="Hatchback"/>
    <n v="4"/>
    <s v="Germany"/>
    <s v="Luxury"/>
    <n v="24347"/>
    <n v="3.55"/>
    <n v="7"/>
    <n v="3536712904.6599998"/>
  </r>
  <r>
    <x v="8"/>
    <s v="E-Transit"/>
    <x v="3"/>
    <s v="Base"/>
    <n v="51056.88"/>
    <n v="78.599999999999994"/>
    <n v="262"/>
    <n v="156"/>
    <s v="Coupe"/>
    <n v="5"/>
    <s v="US"/>
    <s v="Mid-range"/>
    <n v="59730"/>
    <n v="3.53"/>
    <n v="4"/>
    <n v="3049627442.3999996"/>
  </r>
  <r>
    <x v="2"/>
    <s v="Model S"/>
    <x v="3"/>
    <s v="Premium"/>
    <n v="137659.6"/>
    <n v="56.7"/>
    <n v="186"/>
    <n v="142"/>
    <s v="Coupe"/>
    <n v="4"/>
    <s v="US"/>
    <s v="Luxury"/>
    <n v="167952"/>
    <n v="3.72"/>
    <n v="6"/>
    <n v="23120205139.200001"/>
  </r>
  <r>
    <x v="12"/>
    <s v="Equinox EV"/>
    <x v="3"/>
    <s v="Base"/>
    <n v="37448.46"/>
    <n v="74.099999999999994"/>
    <n v="275"/>
    <n v="165"/>
    <s v="SUV"/>
    <n v="5"/>
    <s v="US"/>
    <s v="Mid-range"/>
    <n v="12182"/>
    <n v="3.71"/>
    <n v="5"/>
    <n v="456197139.71999997"/>
  </r>
  <r>
    <x v="5"/>
    <s v="EV9"/>
    <x v="3"/>
    <s v="Standard"/>
    <n v="55591.96"/>
    <n v="80.5"/>
    <n v="283"/>
    <n v="166"/>
    <s v="SUV"/>
    <n v="4"/>
    <s v="South Korea"/>
    <s v="Mid-range"/>
    <n v="113695"/>
    <n v="3.55"/>
    <n v="5"/>
    <n v="6320527892.1999998"/>
  </r>
  <r>
    <x v="3"/>
    <s v="Qin"/>
    <x v="3"/>
    <s v="Base"/>
    <n v="51321.91"/>
    <n v="45.9"/>
    <n v="150"/>
    <n v="156"/>
    <s v="Hatchback"/>
    <n v="5"/>
    <s v="China"/>
    <s v="Mid-range"/>
    <n v="135053"/>
    <n v="3.36"/>
    <n v="4"/>
    <n v="6931177911.2300005"/>
  </r>
  <r>
    <x v="9"/>
    <s v="i3"/>
    <x v="3"/>
    <s v="Premium"/>
    <n v="102426.61"/>
    <n v="53.1"/>
    <n v="197"/>
    <n v="146"/>
    <s v="Truck"/>
    <n v="5"/>
    <s v="Germany"/>
    <s v="Luxury"/>
    <n v="26181"/>
    <n v="3.26"/>
    <n v="5"/>
    <n v="2681631076.4099998"/>
  </r>
  <r>
    <x v="2"/>
    <s v="Model S"/>
    <x v="3"/>
    <s v="Standard"/>
    <n v="44024.89"/>
    <n v="81.599999999999994"/>
    <n v="284"/>
    <n v="143"/>
    <s v="Truck"/>
    <n v="5"/>
    <s v="US"/>
    <s v="Mid-range"/>
    <n v="124369"/>
    <n v="3.76"/>
    <n v="5"/>
    <n v="5475331544.4099998"/>
  </r>
  <r>
    <x v="9"/>
    <s v="i5"/>
    <x v="3"/>
    <s v="Premium"/>
    <n v="140938.73000000001"/>
    <n v="59.3"/>
    <n v="195"/>
    <n v="137"/>
    <s v="SUV"/>
    <n v="5"/>
    <s v="Germany"/>
    <s v="Luxury"/>
    <n v="51811"/>
    <n v="3.11"/>
    <n v="8"/>
    <n v="7302176540.0300007"/>
  </r>
  <r>
    <x v="5"/>
    <s v="Picanto EV"/>
    <x v="3"/>
    <s v="Base"/>
    <n v="42171.81"/>
    <n v="67.099999999999994"/>
    <n v="252"/>
    <n v="155"/>
    <s v="Hatchback"/>
    <n v="4"/>
    <s v="South Korea"/>
    <s v="Mid-range"/>
    <n v="135630"/>
    <n v="3.6"/>
    <n v="5"/>
    <n v="5719762590.2999992"/>
  </r>
  <r>
    <x v="8"/>
    <s v="Explorer EV"/>
    <x v="3"/>
    <s v="Standard"/>
    <n v="68553.62"/>
    <n v="71.3"/>
    <n v="243"/>
    <n v="173"/>
    <s v="SUV"/>
    <n v="5"/>
    <s v="US"/>
    <s v="Premium"/>
    <n v="60519"/>
    <n v="3.36"/>
    <n v="5"/>
    <n v="4148796528.7799997"/>
  </r>
  <r>
    <x v="15"/>
    <s v="Taycan"/>
    <x v="3"/>
    <s v="Performance"/>
    <n v="254017.08"/>
    <n v="118.1"/>
    <n v="408"/>
    <n v="190"/>
    <s v="Sedan"/>
    <n v="5"/>
    <s v="Germany"/>
    <s v="Luxury"/>
    <n v="26159"/>
    <n v="4.2"/>
    <n v="8"/>
    <n v="6644832795.7199993"/>
  </r>
  <r>
    <x v="8"/>
    <s v="Mustang Mach-E"/>
    <x v="3"/>
    <s v="Base"/>
    <n v="67976.38"/>
    <n v="49"/>
    <n v="179"/>
    <n v="166"/>
    <s v="SUV"/>
    <n v="4"/>
    <s v="US"/>
    <s v="Premium"/>
    <n v="21067"/>
    <n v="3.27"/>
    <n v="3"/>
    <n v="1432058397.46"/>
  </r>
  <r>
    <x v="0"/>
    <s v="bZ4X"/>
    <x v="3"/>
    <s v="Standard"/>
    <n v="69285.919999999998"/>
    <n v="67.099999999999994"/>
    <n v="201"/>
    <n v="168"/>
    <s v="Hatchback"/>
    <n v="5"/>
    <s v="Japan"/>
    <s v="Premium"/>
    <n v="15625"/>
    <n v="3.58"/>
    <n v="4"/>
    <n v="1082592500"/>
  </r>
  <r>
    <x v="2"/>
    <s v="Model S"/>
    <x v="3"/>
    <s v="Performance"/>
    <n v="82511.11"/>
    <n v="85.6"/>
    <n v="289"/>
    <n v="180"/>
    <s v="Coupe"/>
    <n v="4"/>
    <s v="US"/>
    <s v="Premium"/>
    <n v="243479"/>
    <n v="3.78"/>
    <n v="5"/>
    <n v="20089722551.689999"/>
  </r>
  <r>
    <x v="5"/>
    <s v="Sportage EV"/>
    <x v="3"/>
    <s v="Premium"/>
    <n v="102070.65"/>
    <n v="49.5"/>
    <n v="174"/>
    <n v="163"/>
    <s v="SUV"/>
    <n v="3"/>
    <s v="South Korea"/>
    <s v="Luxury"/>
    <n v="148039"/>
    <n v="3.37"/>
    <n v="4"/>
    <n v="15110436955.349998"/>
  </r>
  <r>
    <x v="5"/>
    <s v="Niro EV"/>
    <x v="3"/>
    <s v="Premium"/>
    <n v="96493.02"/>
    <n v="59.1"/>
    <n v="207"/>
    <n v="146"/>
    <s v="Van"/>
    <n v="5"/>
    <s v="South Korea"/>
    <s v="Premium"/>
    <n v="123691"/>
    <n v="3.45"/>
    <n v="4"/>
    <n v="11935318136.82"/>
  </r>
  <r>
    <x v="5"/>
    <s v="EV9"/>
    <x v="3"/>
    <s v="Base"/>
    <n v="52108.05"/>
    <n v="65.900000000000006"/>
    <n v="230"/>
    <n v="152"/>
    <s v="SUV"/>
    <n v="5"/>
    <s v="South Korea"/>
    <s v="Mid-range"/>
    <n v="98868"/>
    <n v="3.23"/>
    <n v="3"/>
    <n v="5151818687.4000006"/>
  </r>
  <r>
    <x v="4"/>
    <s v="e-tron"/>
    <x v="3"/>
    <s v="Base"/>
    <n v="93510.78"/>
    <n v="53"/>
    <n v="195"/>
    <n v="161"/>
    <s v="Hatchback"/>
    <n v="5"/>
    <s v="Germany"/>
    <s v="Premium"/>
    <n v="70832"/>
    <n v="3.16"/>
    <n v="6"/>
    <n v="6623555568.96"/>
  </r>
  <r>
    <x v="7"/>
    <s v="ID.5"/>
    <x v="3"/>
    <s v="Premium"/>
    <n v="87378.559999999998"/>
    <n v="46.6"/>
    <n v="155"/>
    <n v="162"/>
    <s v="Truck"/>
    <n v="3"/>
    <s v="Germany"/>
    <s v="Premium"/>
    <n v="280958"/>
    <n v="3.26"/>
    <n v="5"/>
    <n v="24549705460.48"/>
  </r>
  <r>
    <x v="6"/>
    <s v="Ioniq 5"/>
    <x v="3"/>
    <s v="Long Range"/>
    <n v="51553.1"/>
    <n v="75.3"/>
    <n v="265"/>
    <n v="174"/>
    <s v="Coupe"/>
    <n v="5"/>
    <s v="South Korea"/>
    <s v="Mid-range"/>
    <n v="110986"/>
    <n v="3.76"/>
    <n v="4"/>
    <n v="5721672356.5999994"/>
  </r>
  <r>
    <x v="3"/>
    <s v="Yuan Plus"/>
    <x v="3"/>
    <s v="Standard"/>
    <n v="70732.36"/>
    <n v="45.3"/>
    <n v="151"/>
    <n v="161"/>
    <s v="Hatchback"/>
    <n v="4"/>
    <s v="China"/>
    <s v="Premium"/>
    <n v="198624"/>
    <n v="3.14"/>
    <n v="3"/>
    <n v="14049144272.639999"/>
  </r>
  <r>
    <x v="9"/>
    <s v="i5"/>
    <x v="3"/>
    <s v="Standard"/>
    <n v="106048.4"/>
    <n v="47.8"/>
    <n v="195"/>
    <n v="167"/>
    <s v="Hatchback"/>
    <n v="5"/>
    <s v="Germany"/>
    <s v="Luxury"/>
    <n v="52016"/>
    <n v="3.3"/>
    <n v="5"/>
    <n v="5516213574.3999996"/>
  </r>
  <r>
    <x v="7"/>
    <s v="ID. Aero"/>
    <x v="3"/>
    <s v="Performance"/>
    <n v="44275.35"/>
    <n v="90.4"/>
    <n v="308"/>
    <n v="180"/>
    <s v="Hatchback"/>
    <n v="5"/>
    <s v="Germany"/>
    <s v="Mid-range"/>
    <n v="209760"/>
    <n v="3.52"/>
    <n v="3"/>
    <n v="9287197416"/>
  </r>
  <r>
    <x v="12"/>
    <s v="Bolt EV"/>
    <x v="3"/>
    <s v="Base"/>
    <n v="38369.910000000003"/>
    <n v="46.8"/>
    <n v="177"/>
    <n v="139"/>
    <s v="SUV"/>
    <n v="5"/>
    <s v="US"/>
    <s v="Mid-range"/>
    <n v="19280"/>
    <n v="3.34"/>
    <n v="3"/>
    <n v="739771864.80000007"/>
  </r>
  <r>
    <x v="2"/>
    <s v="Model S"/>
    <x v="3"/>
    <s v="Long Range"/>
    <n v="82872.710000000006"/>
    <n v="88.9"/>
    <n v="322"/>
    <n v="182"/>
    <s v="Coupe"/>
    <n v="5"/>
    <s v="US"/>
    <s v="Premium"/>
    <n v="233601"/>
    <n v="3.61"/>
    <n v="5"/>
    <n v="19359147928.710003"/>
  </r>
  <r>
    <x v="2"/>
    <s v="Model X"/>
    <x v="3"/>
    <s v="Standard"/>
    <n v="43959.45"/>
    <n v="63.9"/>
    <n v="211"/>
    <n v="148"/>
    <s v="SUV"/>
    <n v="3"/>
    <s v="US"/>
    <s v="Mid-range"/>
    <n v="124556"/>
    <n v="3.97"/>
    <n v="4"/>
    <n v="5475413254.1999998"/>
  </r>
  <r>
    <x v="5"/>
    <s v="EV9"/>
    <x v="3"/>
    <s v="Base"/>
    <n v="65534.18"/>
    <n v="84.3"/>
    <n v="248"/>
    <n v="176"/>
    <s v="SUV"/>
    <n v="4"/>
    <s v="South Korea"/>
    <s v="Premium"/>
    <n v="115671"/>
    <n v="3.43"/>
    <n v="4"/>
    <n v="7580404134.7799997"/>
  </r>
  <r>
    <x v="6"/>
    <s v="Ioniq 6"/>
    <x v="3"/>
    <s v="Standard"/>
    <n v="66319.66"/>
    <n v="72.900000000000006"/>
    <n v="225"/>
    <n v="134"/>
    <s v="Van"/>
    <n v="4"/>
    <s v="South Korea"/>
    <s v="Premium"/>
    <n v="139935"/>
    <n v="3.2"/>
    <n v="3"/>
    <n v="9280441622.1000004"/>
  </r>
  <r>
    <x v="4"/>
    <s v="e-tron"/>
    <x v="3"/>
    <s v="Standard"/>
    <n v="63313.85"/>
    <n v="56.2"/>
    <n v="189"/>
    <n v="138"/>
    <s v="Van"/>
    <n v="4"/>
    <s v="Germany"/>
    <s v="Mid-range"/>
    <n v="25175"/>
    <n v="3.27"/>
    <n v="6"/>
    <n v="1593926173.75"/>
  </r>
  <r>
    <x v="7"/>
    <s v="ID.5"/>
    <x v="3"/>
    <s v="Performance"/>
    <n v="62312.34"/>
    <n v="116.7"/>
    <n v="420"/>
    <n v="191"/>
    <s v="Sedan"/>
    <n v="4"/>
    <s v="Germany"/>
    <s v="Mid-range"/>
    <n v="298301"/>
    <n v="3.59"/>
    <n v="3"/>
    <n v="18587833334.34"/>
  </r>
  <r>
    <x v="3"/>
    <s v="Atto 3"/>
    <x v="3"/>
    <s v="Performance"/>
    <n v="62874.95"/>
    <n v="71.7"/>
    <n v="262"/>
    <n v="200"/>
    <s v="Sedan"/>
    <n v="4"/>
    <s v="China"/>
    <s v="Mid-range"/>
    <n v="207361"/>
    <n v="3.74"/>
    <n v="4"/>
    <n v="13037812506.949999"/>
  </r>
  <r>
    <x v="9"/>
    <s v="iX"/>
    <x v="3"/>
    <s v="Base"/>
    <n v="98461.71"/>
    <n v="53"/>
    <n v="185"/>
    <n v="142"/>
    <s v="Sedan"/>
    <n v="5"/>
    <s v="Germany"/>
    <s v="Premium"/>
    <n v="22686"/>
    <n v="3"/>
    <n v="7"/>
    <n v="2233702353.0599999"/>
  </r>
  <r>
    <x v="8"/>
    <s v="Mustang Mach-E"/>
    <x v="3"/>
    <s v="Premium"/>
    <n v="61500.69"/>
    <n v="61.2"/>
    <n v="209"/>
    <n v="154"/>
    <s v="Sedan"/>
    <n v="5"/>
    <s v="US"/>
    <s v="Mid-range"/>
    <n v="52208"/>
    <n v="3.39"/>
    <n v="4"/>
    <n v="3210828023.52"/>
  </r>
  <r>
    <x v="2"/>
    <s v="Model 3"/>
    <x v="3"/>
    <s v="Standard"/>
    <n v="123171.93"/>
    <n v="71.8"/>
    <n v="246"/>
    <n v="150"/>
    <s v="Hatchback"/>
    <n v="4"/>
    <s v="US"/>
    <s v="Luxury"/>
    <n v="165942"/>
    <n v="3.71"/>
    <n v="5"/>
    <n v="20439396408.059998"/>
  </r>
  <r>
    <x v="7"/>
    <s v="ID. Buzz"/>
    <x v="3"/>
    <s v="Base"/>
    <n v="31850.78"/>
    <n v="51.4"/>
    <n v="199"/>
    <n v="149"/>
    <s v="Sedan"/>
    <n v="5"/>
    <s v="Germany"/>
    <s v="Budget"/>
    <n v="272903"/>
    <n v="3.24"/>
    <n v="3"/>
    <n v="8692173414.3400002"/>
  </r>
  <r>
    <x v="15"/>
    <s v="Macan Electric"/>
    <x v="3"/>
    <s v="Long Range"/>
    <n v="139594.69"/>
    <n v="75.599999999999994"/>
    <n v="252"/>
    <n v="179"/>
    <s v="Hatchback"/>
    <n v="3"/>
    <s v="Germany"/>
    <s v="Luxury"/>
    <n v="9428"/>
    <n v="3.64"/>
    <n v="8"/>
    <n v="1316098737.3199999"/>
  </r>
  <r>
    <x v="5"/>
    <s v="Niro EV"/>
    <x v="3"/>
    <s v="Standard"/>
    <n v="42128.98"/>
    <n v="66.599999999999994"/>
    <n v="226"/>
    <n v="145"/>
    <s v="Hatchback"/>
    <n v="4"/>
    <s v="South Korea"/>
    <s v="Mid-range"/>
    <n v="121472"/>
    <n v="3.23"/>
    <n v="4"/>
    <n v="5117491458.5600004"/>
  </r>
  <r>
    <x v="3"/>
    <s v="Seagull"/>
    <x v="3"/>
    <s v="Base"/>
    <n v="52361.13"/>
    <n v="60"/>
    <n v="186"/>
    <n v="142"/>
    <s v="Hatchback"/>
    <n v="4"/>
    <s v="China"/>
    <s v="Mid-range"/>
    <n v="203886"/>
    <n v="3.06"/>
    <n v="3"/>
    <n v="10675701351.18"/>
  </r>
  <r>
    <x v="3"/>
    <s v="Dolphin"/>
    <x v="3"/>
    <s v="Premium"/>
    <n v="78664.3"/>
    <n v="82.8"/>
    <n v="301"/>
    <n v="137"/>
    <s v="Truck"/>
    <n v="5"/>
    <s v="China"/>
    <s v="Premium"/>
    <n v="238674"/>
    <n v="3.59"/>
    <n v="4"/>
    <n v="18775123138.200001"/>
  </r>
  <r>
    <x v="2"/>
    <s v="Model X"/>
    <x v="3"/>
    <s v="Performance"/>
    <n v="84447.94"/>
    <n v="72.5"/>
    <n v="255"/>
    <n v="200"/>
    <s v="Sedan"/>
    <n v="4"/>
    <s v="US"/>
    <s v="Premium"/>
    <n v="103295"/>
    <n v="3.51"/>
    <n v="6"/>
    <n v="8723049962.3000011"/>
  </r>
  <r>
    <x v="8"/>
    <s v="E-Transit"/>
    <x v="3"/>
    <s v="Standard"/>
    <n v="38404.42"/>
    <n v="49.1"/>
    <n v="193"/>
    <n v="148"/>
    <s v="Truck"/>
    <n v="3"/>
    <s v="US"/>
    <s v="Mid-range"/>
    <n v="49683"/>
    <n v="3.43"/>
    <n v="4"/>
    <n v="1908046798.8599999"/>
  </r>
  <r>
    <x v="3"/>
    <s v="Dolphin"/>
    <x v="3"/>
    <s v="Long Range"/>
    <n v="77360.56"/>
    <n v="106.1"/>
    <n v="386"/>
    <n v="176"/>
    <s v="Truck"/>
    <n v="5"/>
    <s v="China"/>
    <s v="Premium"/>
    <n v="154361"/>
    <n v="3.89"/>
    <n v="4"/>
    <n v="11941453402.16"/>
  </r>
  <r>
    <x v="3"/>
    <s v="Atto 3"/>
    <x v="3"/>
    <s v="Long Range"/>
    <n v="48954.46"/>
    <n v="94.7"/>
    <n v="326"/>
    <n v="184"/>
    <s v="Van"/>
    <n v="5"/>
    <s v="China"/>
    <s v="Mid-range"/>
    <n v="200483"/>
    <n v="3.75"/>
    <n v="4"/>
    <n v="9814537004.1800003"/>
  </r>
  <r>
    <x v="3"/>
    <s v="Atto 3"/>
    <x v="3"/>
    <s v="Base"/>
    <n v="53518.98"/>
    <n v="71.2"/>
    <n v="260"/>
    <n v="153"/>
    <s v="Hatchback"/>
    <n v="4"/>
    <s v="China"/>
    <s v="Mid-range"/>
    <n v="222794"/>
    <n v="3.15"/>
    <n v="4"/>
    <n v="11923707630.120001"/>
  </r>
  <r>
    <x v="13"/>
    <s v="EQG"/>
    <x v="3"/>
    <s v="Long Range"/>
    <n v="133058.62"/>
    <n v="89.4"/>
    <n v="309"/>
    <n v="158"/>
    <s v="Truck"/>
    <n v="5"/>
    <s v="Germany"/>
    <s v="Luxury"/>
    <n v="29039"/>
    <n v="3.99"/>
    <n v="8"/>
    <n v="3863889266.1799998"/>
  </r>
  <r>
    <x v="2"/>
    <s v="Model Y"/>
    <x v="3"/>
    <s v="Standard"/>
    <n v="53432.36"/>
    <n v="79.599999999999994"/>
    <n v="289"/>
    <n v="146"/>
    <s v="Coupe"/>
    <n v="5"/>
    <s v="US"/>
    <s v="Mid-range"/>
    <n v="490497"/>
    <n v="3.93"/>
    <n v="6"/>
    <n v="26208412282.920002"/>
  </r>
  <r>
    <x v="6"/>
    <s v="Kona Electric"/>
    <x v="3"/>
    <s v="Long Range"/>
    <n v="40702.92"/>
    <n v="77.5"/>
    <n v="277"/>
    <n v="183"/>
    <s v="SUV"/>
    <n v="4"/>
    <s v="South Korea"/>
    <s v="Mid-range"/>
    <n v="128695"/>
    <n v="3.64"/>
    <n v="4"/>
    <n v="5238262289.3999996"/>
  </r>
  <r>
    <x v="4"/>
    <s v="e-tron GT"/>
    <x v="3"/>
    <s v="Base"/>
    <n v="67690.27"/>
    <n v="64.3"/>
    <n v="232"/>
    <n v="158"/>
    <s v="Sedan"/>
    <n v="4"/>
    <s v="Germany"/>
    <s v="Premium"/>
    <n v="63429"/>
    <n v="3.38"/>
    <n v="5"/>
    <n v="4293526135.8300004"/>
  </r>
  <r>
    <x v="4"/>
    <s v="Q6 e-tron"/>
    <x v="3"/>
    <s v="Base"/>
    <n v="103373.32"/>
    <n v="48"/>
    <n v="165"/>
    <n v="147"/>
    <s v="Sedan"/>
    <n v="4"/>
    <s v="Germany"/>
    <s v="Luxury"/>
    <n v="46342"/>
    <n v="3.62"/>
    <n v="5"/>
    <n v="4790526395.4400005"/>
  </r>
  <r>
    <x v="4"/>
    <s v="Q6 e-tron"/>
    <x v="3"/>
    <s v="Premium"/>
    <n v="94046.97"/>
    <n v="47.5"/>
    <n v="160"/>
    <n v="155"/>
    <s v="Truck"/>
    <n v="5"/>
    <s v="Germany"/>
    <s v="Premium"/>
    <n v="36637"/>
    <n v="3.22"/>
    <n v="7"/>
    <n v="3445598839.8899999"/>
  </r>
  <r>
    <x v="14"/>
    <s v="EL8"/>
    <x v="3"/>
    <s v="Standard"/>
    <n v="65637.97"/>
    <n v="69.5"/>
    <n v="270"/>
    <n v="162"/>
    <s v="Hatchback"/>
    <n v="5"/>
    <s v="China"/>
    <s v="Premium"/>
    <n v="24026"/>
    <n v="3.35"/>
    <n v="4"/>
    <n v="1577017867.22"/>
  </r>
  <r>
    <x v="9"/>
    <s v="i3"/>
    <x v="3"/>
    <s v="Premium"/>
    <n v="86679.02"/>
    <n v="53.8"/>
    <n v="171"/>
    <n v="146"/>
    <s v="Truck"/>
    <n v="5"/>
    <s v="Germany"/>
    <s v="Premium"/>
    <n v="68670"/>
    <n v="3.23"/>
    <n v="6"/>
    <n v="5952248303.4000006"/>
  </r>
  <r>
    <x v="8"/>
    <s v="Explorer EV"/>
    <x v="3"/>
    <s v="Standard"/>
    <n v="42429.66"/>
    <n v="63.3"/>
    <n v="218"/>
    <n v="140"/>
    <s v="Sedan"/>
    <n v="3"/>
    <s v="US"/>
    <s v="Mid-range"/>
    <n v="37998"/>
    <n v="3.47"/>
    <n v="3"/>
    <n v="1612242220.6800001"/>
  </r>
  <r>
    <x v="5"/>
    <s v="Sportage EV"/>
    <x v="3"/>
    <s v="Premium"/>
    <n v="59926.46"/>
    <n v="66.3"/>
    <n v="219"/>
    <n v="162"/>
    <s v="SUV"/>
    <n v="5"/>
    <s v="South Korea"/>
    <s v="Mid-range"/>
    <n v="144832"/>
    <n v="3.14"/>
    <n v="4"/>
    <n v="8679269054.7199993"/>
  </r>
  <r>
    <x v="2"/>
    <s v="Model 3"/>
    <x v="3"/>
    <s v="Standard"/>
    <n v="106795.24"/>
    <n v="45.7"/>
    <n v="163"/>
    <n v="178"/>
    <s v="Van"/>
    <n v="5"/>
    <s v="US"/>
    <s v="Luxury"/>
    <n v="212365"/>
    <n v="3.61"/>
    <n v="5"/>
    <n v="22679571142.600002"/>
  </r>
  <r>
    <x v="2"/>
    <s v="Model S"/>
    <x v="3"/>
    <s v="Premium"/>
    <n v="64307.39"/>
    <n v="44.8"/>
    <n v="171"/>
    <n v="147"/>
    <s v="Hatchback"/>
    <n v="4"/>
    <s v="US"/>
    <s v="Mid-range"/>
    <n v="138801"/>
    <n v="3.7"/>
    <n v="5"/>
    <n v="8925930039.3899994"/>
  </r>
  <r>
    <x v="3"/>
    <s v="Max"/>
    <x v="3"/>
    <s v="Long Range"/>
    <n v="99850.08"/>
    <n v="105.9"/>
    <n v="400"/>
    <n v="171"/>
    <s v="Truck"/>
    <n v="5"/>
    <s v="China"/>
    <s v="Premium"/>
    <n v="207644"/>
    <n v="3.65"/>
    <n v="3"/>
    <n v="20733270011.52"/>
  </r>
  <r>
    <x v="12"/>
    <s v="Bolt EV"/>
    <x v="3"/>
    <s v="Base"/>
    <n v="59074.75"/>
    <n v="54.5"/>
    <n v="198"/>
    <n v="163"/>
    <s v="Coupe"/>
    <n v="4"/>
    <s v="US"/>
    <s v="Mid-range"/>
    <n v="15584"/>
    <n v="3.31"/>
    <n v="4"/>
    <n v="920620904"/>
  </r>
  <r>
    <x v="2"/>
    <s v="Model Y"/>
    <x v="3"/>
    <s v="Standard"/>
    <n v="100758.31"/>
    <n v="46"/>
    <n v="171"/>
    <n v="175"/>
    <s v="SUV"/>
    <n v="5"/>
    <s v="US"/>
    <s v="Luxury"/>
    <n v="472436"/>
    <n v="3.4"/>
    <n v="4"/>
    <n v="47601852943.159996"/>
  </r>
  <r>
    <x v="8"/>
    <s v="Explorer EV"/>
    <x v="3"/>
    <s v="Performance"/>
    <n v="78508.55"/>
    <n v="73"/>
    <n v="274"/>
    <n v="200"/>
    <s v="Van"/>
    <n v="4"/>
    <s v="US"/>
    <s v="Premium"/>
    <n v="51688"/>
    <n v="3.3"/>
    <n v="3"/>
    <n v="4057949932.4000001"/>
  </r>
  <r>
    <x v="3"/>
    <s v="Yuan Plus"/>
    <x v="3"/>
    <s v="Long Range"/>
    <n v="44084.51"/>
    <n v="94"/>
    <n v="330"/>
    <n v="179"/>
    <s v="Coupe"/>
    <n v="4"/>
    <s v="China"/>
    <s v="Mid-range"/>
    <n v="187463"/>
    <n v="3.67"/>
    <n v="3"/>
    <n v="8264214498.1300001"/>
  </r>
  <r>
    <x v="7"/>
    <s v="ID.5"/>
    <x v="3"/>
    <s v="Performance"/>
    <n v="64071.199999999997"/>
    <n v="77.7"/>
    <n v="297"/>
    <n v="191"/>
    <s v="Coupe"/>
    <n v="3"/>
    <s v="Germany"/>
    <s v="Mid-range"/>
    <n v="290103"/>
    <n v="3.66"/>
    <n v="5"/>
    <n v="18587247333.599998"/>
  </r>
  <r>
    <x v="9"/>
    <s v="i7"/>
    <x v="3"/>
    <s v="Base"/>
    <n v="89651.14"/>
    <n v="73.099999999999994"/>
    <n v="249"/>
    <n v="165"/>
    <s v="Truck"/>
    <n v="4"/>
    <s v="Germany"/>
    <s v="Premium"/>
    <n v="72062"/>
    <n v="3.37"/>
    <n v="6"/>
    <n v="6460440450.6800003"/>
  </r>
  <r>
    <x v="2"/>
    <s v="Model 3"/>
    <x v="3"/>
    <s v="Performance"/>
    <n v="125634.38"/>
    <n v="79.599999999999994"/>
    <n v="268"/>
    <n v="195"/>
    <s v="Hatchback"/>
    <n v="5"/>
    <s v="US"/>
    <s v="Luxury"/>
    <n v="223587"/>
    <n v="3.94"/>
    <n v="4"/>
    <n v="28090214121.060001"/>
  </r>
  <r>
    <x v="0"/>
    <s v="bZ Compact SUV"/>
    <x v="3"/>
    <s v="Premium"/>
    <n v="52160.99"/>
    <n v="69.400000000000006"/>
    <n v="234"/>
    <n v="169"/>
    <s v="SUV"/>
    <n v="5"/>
    <s v="Japan"/>
    <s v="Mid-range"/>
    <n v="7110"/>
    <n v="3.56"/>
    <n v="4"/>
    <n v="370864638.89999998"/>
  </r>
  <r>
    <x v="2"/>
    <s v="Cybertruck"/>
    <x v="3"/>
    <s v="Standard"/>
    <n v="35071.56"/>
    <n v="52.4"/>
    <n v="192"/>
    <n v="168"/>
    <s v="Truck"/>
    <n v="5"/>
    <s v="US"/>
    <s v="Mid-range"/>
    <n v="139628"/>
    <n v="3.17"/>
    <n v="5"/>
    <n v="4896971779.6799994"/>
  </r>
  <r>
    <x v="2"/>
    <s v="Cybertruck"/>
    <x v="3"/>
    <s v="Premium"/>
    <n v="118800.8"/>
    <n v="54.2"/>
    <n v="203"/>
    <n v="162"/>
    <s v="Truck"/>
    <n v="4"/>
    <s v="US"/>
    <s v="Luxury"/>
    <n v="197139"/>
    <n v="3.38"/>
    <n v="5"/>
    <n v="23420270911.200001"/>
  </r>
  <r>
    <x v="7"/>
    <s v="ID. Aero"/>
    <x v="3"/>
    <s v="Standard"/>
    <n v="51298.81"/>
    <n v="63.2"/>
    <n v="237"/>
    <n v="162"/>
    <s v="Coupe"/>
    <n v="5"/>
    <s v="Germany"/>
    <s v="Mid-range"/>
    <n v="222298"/>
    <n v="3.5"/>
    <n v="3"/>
    <n v="11403622865.379999"/>
  </r>
  <r>
    <x v="9"/>
    <s v="i4"/>
    <x v="3"/>
    <s v="Performance"/>
    <n v="130983.67"/>
    <n v="110.9"/>
    <n v="390"/>
    <n v="200"/>
    <s v="Van"/>
    <n v="5"/>
    <s v="Germany"/>
    <s v="Luxury"/>
    <n v="64205"/>
    <n v="3.82"/>
    <n v="5"/>
    <n v="8409806532.3499994"/>
  </r>
  <r>
    <x v="2"/>
    <s v="Model X"/>
    <x v="3"/>
    <s v="Premium"/>
    <n v="53973.57"/>
    <n v="82.6"/>
    <n v="301"/>
    <n v="143"/>
    <s v="Sedan"/>
    <n v="5"/>
    <s v="US"/>
    <s v="Mid-range"/>
    <n v="206669"/>
    <n v="3.87"/>
    <n v="5"/>
    <n v="11154663738.33"/>
  </r>
  <r>
    <x v="9"/>
    <s v="i3"/>
    <x v="3"/>
    <s v="Premium"/>
    <n v="81481.72"/>
    <n v="64.8"/>
    <n v="209"/>
    <n v="180"/>
    <s v="Sedan"/>
    <n v="4"/>
    <s v="Germany"/>
    <s v="Premium"/>
    <n v="60859"/>
    <n v="3.29"/>
    <n v="8"/>
    <n v="4958895997.4800005"/>
  </r>
  <r>
    <x v="13"/>
    <s v="EQE"/>
    <x v="3"/>
    <s v="Long Range"/>
    <n v="142535.28"/>
    <n v="94.3"/>
    <n v="305"/>
    <n v="169"/>
    <s v="Sedan"/>
    <n v="4"/>
    <s v="Germany"/>
    <s v="Luxury"/>
    <n v="32410"/>
    <n v="3.94"/>
    <n v="8"/>
    <n v="4619568424.8000002"/>
  </r>
  <r>
    <x v="3"/>
    <s v="Qin"/>
    <x v="3"/>
    <s v="Performance"/>
    <n v="54457.48"/>
    <n v="80.599999999999994"/>
    <n v="251"/>
    <n v="193"/>
    <s v="Truck"/>
    <n v="4"/>
    <s v="China"/>
    <s v="Mid-range"/>
    <n v="205191"/>
    <n v="3.38"/>
    <n v="4"/>
    <n v="11174184778.68"/>
  </r>
  <r>
    <x v="3"/>
    <s v="Max"/>
    <x v="3"/>
    <s v="Long Range"/>
    <n v="35900.230000000003"/>
    <n v="88"/>
    <n v="302"/>
    <n v="198"/>
    <s v="SUV"/>
    <n v="5"/>
    <s v="China"/>
    <s v="Mid-range"/>
    <n v="176515"/>
    <n v="3.84"/>
    <n v="4"/>
    <n v="6336929098.4500008"/>
  </r>
  <r>
    <x v="3"/>
    <s v="Dolphin"/>
    <x v="3"/>
    <s v="Premium"/>
    <n v="25794.27"/>
    <n v="50.1"/>
    <n v="188"/>
    <n v="135"/>
    <s v="Truck"/>
    <n v="3"/>
    <s v="China"/>
    <s v="Budget"/>
    <n v="112218"/>
    <n v="3.59"/>
    <n v="4"/>
    <n v="2894581390.8600001"/>
  </r>
  <r>
    <x v="13"/>
    <s v="EQG"/>
    <x v="3"/>
    <s v="Base"/>
    <n v="82191.199999999997"/>
    <n v="71.099999999999994"/>
    <n v="281"/>
    <n v="154"/>
    <s v="Sedan"/>
    <n v="4"/>
    <s v="Germany"/>
    <s v="Premium"/>
    <n v="59566"/>
    <n v="3.91"/>
    <n v="8"/>
    <n v="4895801019.1999998"/>
  </r>
  <r>
    <x v="5"/>
    <s v="EV6"/>
    <x v="3"/>
    <s v="Base"/>
    <n v="37474.58"/>
    <n v="58.6"/>
    <n v="209"/>
    <n v="141"/>
    <s v="Truck"/>
    <n v="5"/>
    <s v="South Korea"/>
    <s v="Mid-range"/>
    <n v="67143"/>
    <n v="3.33"/>
    <n v="4"/>
    <n v="2516155724.9400001"/>
  </r>
  <r>
    <x v="6"/>
    <s v="i30"/>
    <x v="3"/>
    <s v="Base"/>
    <n v="37474.79"/>
    <n v="56.5"/>
    <n v="218"/>
    <n v="134"/>
    <s v="Van"/>
    <n v="4"/>
    <s v="South Korea"/>
    <s v="Mid-range"/>
    <n v="129662"/>
    <n v="3.46"/>
    <n v="3"/>
    <n v="4859056220.9800005"/>
  </r>
  <r>
    <x v="7"/>
    <s v="ID.4"/>
    <x v="3"/>
    <s v="Premium"/>
    <n v="69215.27"/>
    <n v="62"/>
    <n v="197"/>
    <n v="136"/>
    <s v="Truck"/>
    <n v="5"/>
    <s v="Germany"/>
    <s v="Premium"/>
    <n v="211559"/>
    <n v="3.61"/>
    <n v="4"/>
    <n v="14643113305.93"/>
  </r>
  <r>
    <x v="6"/>
    <s v="Ioniq 6"/>
    <x v="3"/>
    <s v="Base"/>
    <n v="41678.26"/>
    <n v="66.400000000000006"/>
    <n v="252"/>
    <n v="155"/>
    <s v="Van"/>
    <n v="4"/>
    <s v="South Korea"/>
    <s v="Mid-range"/>
    <n v="52756"/>
    <n v="3.29"/>
    <n v="4"/>
    <n v="2198778284.5599999"/>
  </r>
  <r>
    <x v="12"/>
    <s v="Blazer EV"/>
    <x v="3"/>
    <s v="Performance"/>
    <n v="60380.4"/>
    <n v="91.2"/>
    <n v="308"/>
    <n v="199"/>
    <s v="Van"/>
    <n v="3"/>
    <s v="US"/>
    <s v="Mid-range"/>
    <n v="8909"/>
    <n v="3.76"/>
    <n v="3"/>
    <n v="537928983.60000002"/>
  </r>
  <r>
    <x v="9"/>
    <s v="i4"/>
    <x v="3"/>
    <s v="Standard"/>
    <n v="101992.19"/>
    <n v="49.3"/>
    <n v="168"/>
    <n v="165"/>
    <s v="Sedan"/>
    <n v="5"/>
    <s v="Germany"/>
    <s v="Luxury"/>
    <n v="24913"/>
    <n v="3.34"/>
    <n v="6"/>
    <n v="2540931429.4700003"/>
  </r>
  <r>
    <x v="12"/>
    <s v="Blazer EV"/>
    <x v="3"/>
    <s v="Performance"/>
    <n v="77802.210000000006"/>
    <n v="81.5"/>
    <n v="300"/>
    <n v="195"/>
    <s v="Truck"/>
    <n v="5"/>
    <s v="US"/>
    <s v="Premium"/>
    <n v="18415"/>
    <n v="3.87"/>
    <n v="4"/>
    <n v="1432727697.1500001"/>
  </r>
  <r>
    <x v="3"/>
    <s v="Qin"/>
    <x v="3"/>
    <s v="Base"/>
    <n v="40160.18"/>
    <n v="61.8"/>
    <n v="214"/>
    <n v="164"/>
    <s v="Hatchback"/>
    <n v="5"/>
    <s v="China"/>
    <s v="Mid-range"/>
    <n v="234883"/>
    <n v="3.4"/>
    <n v="3"/>
    <n v="9432943558.9400005"/>
  </r>
  <r>
    <x v="5"/>
    <s v="Picanto EV"/>
    <x v="3"/>
    <s v="Standard"/>
    <n v="66396.28"/>
    <n v="40.4"/>
    <n v="150"/>
    <n v="172"/>
    <s v="Sedan"/>
    <n v="4"/>
    <s v="South Korea"/>
    <s v="Premium"/>
    <n v="93251"/>
    <n v="3.17"/>
    <n v="3"/>
    <n v="6191519506.2799997"/>
  </r>
  <r>
    <x v="2"/>
    <s v="Model 3"/>
    <x v="3"/>
    <s v="Base"/>
    <n v="50661.72"/>
    <n v="45"/>
    <n v="150"/>
    <n v="132"/>
    <s v="Truck"/>
    <n v="5"/>
    <s v="US"/>
    <s v="Mid-range"/>
    <n v="240645"/>
    <n v="3.26"/>
    <n v="6"/>
    <n v="12191489609.4"/>
  </r>
  <r>
    <x v="11"/>
    <s v="R1S"/>
    <x v="3"/>
    <s v="Base"/>
    <n v="71764.23"/>
    <n v="63.3"/>
    <n v="216"/>
    <n v="179"/>
    <s v="Coupe"/>
    <n v="4"/>
    <s v="US"/>
    <s v="Premium"/>
    <n v="16601"/>
    <n v="3.25"/>
    <n v="4"/>
    <n v="1191357982.23"/>
  </r>
  <r>
    <x v="7"/>
    <s v="ID. Buzz"/>
    <x v="3"/>
    <s v="Premium"/>
    <n v="99863.63"/>
    <n v="66.5"/>
    <n v="227"/>
    <n v="134"/>
    <s v="Truck"/>
    <n v="5"/>
    <s v="Germany"/>
    <s v="Premium"/>
    <n v="237739"/>
    <n v="3.79"/>
    <n v="4"/>
    <n v="23741479532.57"/>
  </r>
  <r>
    <x v="12"/>
    <s v="Equinox EV"/>
    <x v="3"/>
    <s v="Long Range"/>
    <n v="33127.160000000003"/>
    <n v="87.4"/>
    <n v="303"/>
    <n v="160"/>
    <s v="SUV"/>
    <n v="4"/>
    <s v="US"/>
    <s v="Budget"/>
    <n v="19880"/>
    <n v="3.66"/>
    <n v="5"/>
    <n v="658567940.80000007"/>
  </r>
  <r>
    <x v="8"/>
    <s v="Explorer EV"/>
    <x v="3"/>
    <s v="Performance"/>
    <n v="66131.67"/>
    <n v="96.5"/>
    <n v="322"/>
    <n v="200"/>
    <s v="Truck"/>
    <n v="5"/>
    <s v="US"/>
    <s v="Premium"/>
    <n v="34351"/>
    <n v="3.53"/>
    <n v="4"/>
    <n v="2271688996.1700001"/>
  </r>
  <r>
    <x v="3"/>
    <s v="Leaf 50X"/>
    <x v="3"/>
    <s v="Performance"/>
    <n v="25921.47"/>
    <n v="101.8"/>
    <n v="344"/>
    <n v="188"/>
    <s v="Truck"/>
    <n v="5"/>
    <s v="China"/>
    <s v="Budget"/>
    <n v="110847"/>
    <n v="3.94"/>
    <n v="4"/>
    <n v="2873317185.0900002"/>
  </r>
  <r>
    <x v="6"/>
    <s v="Ioniq 6"/>
    <x v="3"/>
    <s v="Standard"/>
    <n v="53342.39"/>
    <n v="42.5"/>
    <n v="150"/>
    <n v="179"/>
    <s v="Sedan"/>
    <n v="4"/>
    <s v="South Korea"/>
    <s v="Mid-range"/>
    <n v="142003"/>
    <n v="3.16"/>
    <n v="4"/>
    <n v="7574779407.1700001"/>
  </r>
  <r>
    <x v="5"/>
    <s v="EV9"/>
    <x v="3"/>
    <s v="Standard"/>
    <n v="33510.99"/>
    <n v="40.1"/>
    <n v="152"/>
    <n v="135"/>
    <s v="SUV"/>
    <n v="4"/>
    <s v="South Korea"/>
    <s v="Budget"/>
    <n v="137108"/>
    <n v="3.43"/>
    <n v="4"/>
    <n v="4594624816.9200001"/>
  </r>
  <r>
    <x v="3"/>
    <s v="Seagull"/>
    <x v="3"/>
    <s v="Standard"/>
    <n v="84139.98"/>
    <n v="72.3"/>
    <n v="261"/>
    <n v="130"/>
    <s v="Truck"/>
    <n v="5"/>
    <s v="China"/>
    <s v="Premium"/>
    <n v="236926"/>
    <n v="3.41"/>
    <n v="3"/>
    <n v="19934948901.48"/>
  </r>
  <r>
    <x v="14"/>
    <s v="ET5"/>
    <x v="3"/>
    <s v="Premium"/>
    <n v="114240.51"/>
    <n v="65.599999999999994"/>
    <n v="218"/>
    <n v="162"/>
    <s v="Truck"/>
    <n v="5"/>
    <s v="China"/>
    <s v="Luxury"/>
    <n v="26747"/>
    <n v="3.64"/>
    <n v="5"/>
    <n v="3055590920.9699998"/>
  </r>
  <r>
    <x v="12"/>
    <s v="Silverado EV"/>
    <x v="3"/>
    <s v="Premium"/>
    <n v="41711.199999999997"/>
    <n v="58.9"/>
    <n v="204"/>
    <n v="135"/>
    <s v="Hatchback"/>
    <n v="4"/>
    <s v="US"/>
    <s v="Mid-range"/>
    <n v="776"/>
    <n v="3.17"/>
    <n v="4"/>
    <n v="32367891.199999999"/>
  </r>
  <r>
    <x v="7"/>
    <s v="ID. Aero"/>
    <x v="3"/>
    <s v="Premium"/>
    <n v="60337.62"/>
    <n v="44.2"/>
    <n v="158"/>
    <n v="175"/>
    <s v="Hatchback"/>
    <n v="5"/>
    <s v="Germany"/>
    <s v="Mid-range"/>
    <n v="201954"/>
    <n v="3.3"/>
    <n v="3"/>
    <n v="12185423709.480001"/>
  </r>
  <r>
    <x v="7"/>
    <s v="ID.3"/>
    <x v="3"/>
    <s v="Premium"/>
    <n v="53064.54"/>
    <n v="68.099999999999994"/>
    <n v="226"/>
    <n v="141"/>
    <s v="Truck"/>
    <n v="3"/>
    <s v="Germany"/>
    <s v="Mid-range"/>
    <n v="243991"/>
    <n v="3.26"/>
    <n v="4"/>
    <n v="12947270179.139999"/>
  </r>
  <r>
    <x v="8"/>
    <s v="F-150 Lightning"/>
    <x v="3"/>
    <s v="Performance"/>
    <n v="69526.3"/>
    <n v="114.5"/>
    <n v="415"/>
    <n v="200"/>
    <s v="Truck"/>
    <n v="5"/>
    <s v="US"/>
    <s v="Premium"/>
    <n v="23821"/>
    <n v="3.84"/>
    <n v="3"/>
    <n v="1656185992.3"/>
  </r>
  <r>
    <x v="6"/>
    <s v="Ioniq"/>
    <x v="3"/>
    <s v="Standard"/>
    <n v="73470.2"/>
    <n v="61.6"/>
    <n v="217"/>
    <n v="167"/>
    <s v="Truck"/>
    <n v="5"/>
    <s v="South Korea"/>
    <s v="Premium"/>
    <n v="142666"/>
    <n v="3.15"/>
    <n v="4"/>
    <n v="10481699553.199999"/>
  </r>
  <r>
    <x v="2"/>
    <s v="Model S"/>
    <x v="3"/>
    <s v="Performance"/>
    <n v="105706.18"/>
    <n v="114.7"/>
    <n v="391"/>
    <n v="200"/>
    <s v="Coupe"/>
    <n v="3"/>
    <s v="US"/>
    <s v="Luxury"/>
    <n v="247669"/>
    <n v="4.2"/>
    <n v="5"/>
    <n v="26180143894.419998"/>
  </r>
  <r>
    <x v="2"/>
    <s v="Model S"/>
    <x v="3"/>
    <s v="Standard"/>
    <n v="95125.11"/>
    <n v="45.3"/>
    <n v="150"/>
    <n v="135"/>
    <s v="Hatchback"/>
    <n v="3"/>
    <s v="US"/>
    <s v="Premium"/>
    <n v="116755"/>
    <n v="3.27"/>
    <n v="5"/>
    <n v="11106332218.049999"/>
  </r>
  <r>
    <x v="4"/>
    <s v="e-tron GT"/>
    <x v="3"/>
    <s v="Long Range"/>
    <n v="64643.29"/>
    <n v="83.8"/>
    <n v="293"/>
    <n v="173"/>
    <s v="SUV"/>
    <n v="5"/>
    <s v="Germany"/>
    <s v="Mid-range"/>
    <n v="67458"/>
    <n v="3.6"/>
    <n v="5"/>
    <n v="4360707056.8199997"/>
  </r>
  <r>
    <x v="12"/>
    <s v="Silverado EV"/>
    <x v="3"/>
    <s v="Premium"/>
    <n v="73891.199999999997"/>
    <n v="45"/>
    <n v="150"/>
    <n v="134"/>
    <s v="SUV"/>
    <n v="5"/>
    <s v="US"/>
    <s v="Premium"/>
    <n v="7223"/>
    <n v="3.41"/>
    <n v="4"/>
    <n v="533716137.59999996"/>
  </r>
  <r>
    <x v="3"/>
    <s v="Yuan Plus"/>
    <x v="3"/>
    <s v="Base"/>
    <n v="36015.660000000003"/>
    <n v="52.4"/>
    <n v="178"/>
    <n v="160"/>
    <s v="SUV"/>
    <n v="5"/>
    <s v="China"/>
    <s v="Mid-range"/>
    <n v="143487"/>
    <n v="3.37"/>
    <n v="4"/>
    <n v="5167779006.4200001"/>
  </r>
  <r>
    <x v="5"/>
    <s v="EV9"/>
    <x v="3"/>
    <s v="Standard"/>
    <n v="63386.57"/>
    <n v="61.3"/>
    <n v="218"/>
    <n v="167"/>
    <s v="SUV"/>
    <n v="5"/>
    <s v="South Korea"/>
    <s v="Mid-range"/>
    <n v="97503"/>
    <n v="3.22"/>
    <n v="5"/>
    <n v="6180380734.71"/>
  </r>
  <r>
    <x v="9"/>
    <s v="iX"/>
    <x v="3"/>
    <s v="Performance"/>
    <n v="101590.86"/>
    <n v="116.4"/>
    <n v="426"/>
    <n v="174"/>
    <s v="Van"/>
    <n v="5"/>
    <s v="Germany"/>
    <s v="Luxury"/>
    <n v="73116"/>
    <n v="3.97"/>
    <n v="5"/>
    <n v="7427917319.7600002"/>
  </r>
  <r>
    <x v="2"/>
    <s v="Model 3"/>
    <x v="3"/>
    <s v="Premium"/>
    <n v="67810.929999999993"/>
    <n v="55.5"/>
    <n v="175"/>
    <n v="166"/>
    <s v="Sedan"/>
    <n v="5"/>
    <s v="US"/>
    <s v="Premium"/>
    <n v="194039"/>
    <n v="3.62"/>
    <n v="4"/>
    <n v="13157965046.269999"/>
  </r>
  <r>
    <x v="8"/>
    <s v="Explorer EV"/>
    <x v="3"/>
    <s v="Standard"/>
    <n v="37298.339999999997"/>
    <n v="72.7"/>
    <n v="262"/>
    <n v="154"/>
    <s v="SUV"/>
    <n v="4"/>
    <s v="US"/>
    <s v="Mid-range"/>
    <n v="60230"/>
    <n v="3.57"/>
    <n v="4"/>
    <n v="2246479018.1999998"/>
  </r>
  <r>
    <x v="3"/>
    <s v="Seagull"/>
    <x v="3"/>
    <s v="Standard"/>
    <n v="62912.21"/>
    <n v="54"/>
    <n v="188"/>
    <n v="142"/>
    <s v="Hatchback"/>
    <n v="5"/>
    <s v="China"/>
    <s v="Mid-range"/>
    <n v="196923"/>
    <n v="3.56"/>
    <n v="3"/>
    <n v="12388861129.83"/>
  </r>
  <r>
    <x v="9"/>
    <s v="i4"/>
    <x v="3"/>
    <s v="Base"/>
    <n v="63735.58"/>
    <n v="75.400000000000006"/>
    <n v="276"/>
    <n v="154"/>
    <s v="Sedan"/>
    <n v="5"/>
    <s v="Germany"/>
    <s v="Mid-range"/>
    <n v="28907"/>
    <n v="3.44"/>
    <n v="7"/>
    <n v="1842404411.0599999"/>
  </r>
  <r>
    <x v="2"/>
    <s v="Model Y"/>
    <x v="3"/>
    <s v="Premium"/>
    <n v="144885.91"/>
    <n v="67.7"/>
    <n v="230"/>
    <n v="156"/>
    <s v="Hatchback"/>
    <n v="5"/>
    <s v="US"/>
    <s v="Luxury"/>
    <n v="416711"/>
    <n v="3.88"/>
    <n v="5"/>
    <n v="60375552442.010002"/>
  </r>
  <r>
    <x v="12"/>
    <s v="Blazer EV"/>
    <x v="3"/>
    <s v="Standard"/>
    <n v="62461.41"/>
    <n v="54"/>
    <n v="168"/>
    <n v="138"/>
    <s v="Hatchback"/>
    <n v="4"/>
    <s v="US"/>
    <s v="Mid-range"/>
    <n v="6024"/>
    <n v="3.32"/>
    <n v="4"/>
    <n v="376267533.84000003"/>
  </r>
  <r>
    <x v="3"/>
    <s v="Dolphin"/>
    <x v="3"/>
    <s v="Standard"/>
    <n v="23505.59"/>
    <n v="75.5"/>
    <n v="261"/>
    <n v="166"/>
    <s v="Hatchback"/>
    <n v="3"/>
    <s v="China"/>
    <s v="Budget"/>
    <n v="178149"/>
    <n v="3.42"/>
    <n v="4"/>
    <n v="4187497352.9099998"/>
  </r>
  <r>
    <x v="8"/>
    <s v="E-Transit"/>
    <x v="3"/>
    <s v="Performance"/>
    <n v="78714.850000000006"/>
    <n v="111.5"/>
    <n v="393"/>
    <n v="184"/>
    <s v="Coupe"/>
    <n v="4"/>
    <s v="US"/>
    <s v="Premium"/>
    <n v="41203"/>
    <n v="3.73"/>
    <n v="4"/>
    <n v="3243287964.5500002"/>
  </r>
  <r>
    <x v="13"/>
    <s v="EQE"/>
    <x v="3"/>
    <s v="Standard"/>
    <n v="142019.75"/>
    <n v="58.7"/>
    <n v="200"/>
    <n v="166"/>
    <s v="Hatchback"/>
    <n v="5"/>
    <s v="Germany"/>
    <s v="Luxury"/>
    <n v="57178"/>
    <n v="3.68"/>
    <n v="7"/>
    <n v="8120405265.5"/>
  </r>
  <r>
    <x v="6"/>
    <s v="Ioniq"/>
    <x v="3"/>
    <s v="Long Range"/>
    <n v="48459.839999999997"/>
    <n v="100"/>
    <n v="358"/>
    <n v="175"/>
    <s v="Van"/>
    <n v="4"/>
    <s v="South Korea"/>
    <s v="Mid-range"/>
    <n v="128198"/>
    <n v="3.66"/>
    <n v="4"/>
    <n v="6212454568.3199997"/>
  </r>
  <r>
    <x v="9"/>
    <s v="i7"/>
    <x v="3"/>
    <s v="Performance"/>
    <n v="121734.94"/>
    <n v="72.7"/>
    <n v="249"/>
    <n v="200"/>
    <s v="Coupe"/>
    <n v="5"/>
    <s v="Germany"/>
    <s v="Luxury"/>
    <n v="71997"/>
    <n v="3.55"/>
    <n v="6"/>
    <n v="8764550475.1800003"/>
  </r>
  <r>
    <x v="3"/>
    <s v="Qin"/>
    <x v="3"/>
    <s v="Long Range"/>
    <n v="82830.36"/>
    <n v="90.4"/>
    <n v="294"/>
    <n v="175"/>
    <s v="Van"/>
    <n v="5"/>
    <s v="China"/>
    <s v="Premium"/>
    <n v="213531"/>
    <n v="3.84"/>
    <n v="3"/>
    <n v="17686849601.16"/>
  </r>
  <r>
    <x v="2"/>
    <s v="Model S"/>
    <x v="3"/>
    <s v="Performance"/>
    <n v="170972.65"/>
    <n v="105.1"/>
    <n v="373"/>
    <n v="200"/>
    <s v="Van"/>
    <n v="3"/>
    <s v="US"/>
    <s v="Luxury"/>
    <n v="177006"/>
    <n v="3.89"/>
    <n v="4"/>
    <n v="30263184885.899998"/>
  </r>
  <r>
    <x v="2"/>
    <s v="Cybertruck"/>
    <x v="3"/>
    <s v="Premium"/>
    <n v="172193.15"/>
    <n v="58.2"/>
    <n v="181"/>
    <n v="147"/>
    <s v="Truck"/>
    <n v="5"/>
    <s v="US"/>
    <s v="Luxury"/>
    <n v="199763"/>
    <n v="3.42"/>
    <n v="5"/>
    <n v="34397820223.449997"/>
  </r>
  <r>
    <x v="6"/>
    <s v="Ioniq 5"/>
    <x v="3"/>
    <s v="Premium"/>
    <n v="42532.36"/>
    <n v="70.099999999999994"/>
    <n v="253"/>
    <n v="167"/>
    <s v="Hatchback"/>
    <n v="5"/>
    <s v="South Korea"/>
    <s v="Mid-range"/>
    <n v="118099"/>
    <n v="3.33"/>
    <n v="4"/>
    <n v="5023029183.6400003"/>
  </r>
  <r>
    <x v="2"/>
    <s v="Model S"/>
    <x v="3"/>
    <s v="Base"/>
    <n v="29555.66"/>
    <n v="54.9"/>
    <n v="182"/>
    <n v="163"/>
    <s v="Truck"/>
    <n v="4"/>
    <s v="US"/>
    <s v="Budget"/>
    <n v="119019"/>
    <n v="3.56"/>
    <n v="5"/>
    <n v="3517685097.54"/>
  </r>
  <r>
    <x v="3"/>
    <s v="Yuan Plus"/>
    <x v="3"/>
    <s v="Premium"/>
    <n v="62695.67"/>
    <n v="55.1"/>
    <n v="191"/>
    <n v="143"/>
    <s v="Truck"/>
    <n v="3"/>
    <s v="China"/>
    <s v="Mid-range"/>
    <n v="249959"/>
    <n v="3.49"/>
    <n v="4"/>
    <n v="15671346977.529999"/>
  </r>
  <r>
    <x v="2"/>
    <s v="Model S"/>
    <x v="3"/>
    <s v="Long Range"/>
    <n v="41849.58"/>
    <n v="96.1"/>
    <n v="319"/>
    <n v="174"/>
    <s v="Van"/>
    <n v="5"/>
    <s v="US"/>
    <s v="Mid-range"/>
    <n v="211387"/>
    <n v="4"/>
    <n v="4"/>
    <n v="8846457167.460001"/>
  </r>
  <r>
    <x v="9"/>
    <s v="i3"/>
    <x v="3"/>
    <s v="Long Range"/>
    <n v="113237.82"/>
    <n v="108.8"/>
    <n v="398"/>
    <n v="174"/>
    <s v="Hatchback"/>
    <n v="4"/>
    <s v="Germany"/>
    <s v="Luxury"/>
    <n v="31347"/>
    <n v="3.49"/>
    <n v="7"/>
    <n v="3549665943.5400004"/>
  </r>
  <r>
    <x v="12"/>
    <s v="Equinox EV"/>
    <x v="3"/>
    <s v="Long Range"/>
    <n v="53068.74"/>
    <n v="78.7"/>
    <n v="273"/>
    <n v="184"/>
    <s v="SUV"/>
    <n v="5"/>
    <s v="US"/>
    <s v="Mid-range"/>
    <n v="9605"/>
    <n v="3.25"/>
    <n v="5"/>
    <n v="509725247.69999999"/>
  </r>
  <r>
    <x v="4"/>
    <s v="Q4 e-tron"/>
    <x v="3"/>
    <s v="Base"/>
    <n v="76292.22"/>
    <n v="51.4"/>
    <n v="180"/>
    <n v="174"/>
    <s v="Truck"/>
    <n v="5"/>
    <s v="Germany"/>
    <s v="Premium"/>
    <n v="57167"/>
    <n v="3.32"/>
    <n v="8"/>
    <n v="4361397340.7399998"/>
  </r>
  <r>
    <x v="13"/>
    <s v="EQS"/>
    <x v="3"/>
    <s v="Base"/>
    <n v="129584.74"/>
    <n v="64.2"/>
    <n v="260"/>
    <n v="126"/>
    <s v="Hatchback"/>
    <n v="5"/>
    <s v="Germany"/>
    <s v="Luxury"/>
    <n v="24901"/>
    <n v="3.81"/>
    <n v="6"/>
    <n v="3226789610.7400002"/>
  </r>
  <r>
    <x v="2"/>
    <s v="Model Y"/>
    <x v="3"/>
    <s v="Base"/>
    <n v="112472.41"/>
    <n v="74.3"/>
    <n v="238"/>
    <n v="142"/>
    <s v="Van"/>
    <n v="5"/>
    <s v="US"/>
    <s v="Luxury"/>
    <n v="485203"/>
    <n v="3.66"/>
    <n v="4"/>
    <n v="54571950749.230003"/>
  </r>
  <r>
    <x v="6"/>
    <s v="Ioniq 5"/>
    <x v="3"/>
    <s v="Performance"/>
    <n v="107017.27"/>
    <n v="75.2"/>
    <n v="259"/>
    <n v="184"/>
    <s v="SUV"/>
    <n v="5"/>
    <s v="South Korea"/>
    <s v="Luxury"/>
    <n v="67872"/>
    <n v="3.44"/>
    <n v="4"/>
    <n v="7263476149.4400005"/>
  </r>
  <r>
    <x v="12"/>
    <s v="Equinox EV"/>
    <x v="3"/>
    <s v="Long Range"/>
    <n v="65559.399999999994"/>
    <n v="97.3"/>
    <n v="331"/>
    <n v="177"/>
    <s v="SUV"/>
    <n v="4"/>
    <s v="US"/>
    <s v="Premium"/>
    <n v="6658"/>
    <n v="3.7"/>
    <n v="4"/>
    <n v="436494485.19999999"/>
  </r>
  <r>
    <x v="7"/>
    <s v="ID.3"/>
    <x v="3"/>
    <s v="Standard"/>
    <n v="32332.16"/>
    <n v="53.1"/>
    <n v="184"/>
    <n v="170"/>
    <s v="Hatchback"/>
    <n v="5"/>
    <s v="Germany"/>
    <s v="Budget"/>
    <n v="283336"/>
    <n v="3.52"/>
    <n v="3"/>
    <n v="9160864885.7600002"/>
  </r>
  <r>
    <x v="7"/>
    <s v="ID. Buzz"/>
    <x v="3"/>
    <s v="Performance"/>
    <n v="114648.63"/>
    <n v="104.8"/>
    <n v="352"/>
    <n v="197"/>
    <s v="SUV"/>
    <n v="4"/>
    <s v="Germany"/>
    <s v="Luxury"/>
    <n v="297615"/>
    <n v="3.66"/>
    <n v="4"/>
    <n v="34121152017.450001"/>
  </r>
  <r>
    <x v="5"/>
    <s v="EV9"/>
    <x v="3"/>
    <s v="Performance"/>
    <n v="76777.22"/>
    <n v="72.5"/>
    <n v="254"/>
    <n v="200"/>
    <s v="SUV"/>
    <n v="4"/>
    <s v="South Korea"/>
    <s v="Premium"/>
    <n v="99948"/>
    <n v="3.66"/>
    <n v="5"/>
    <n v="7673729584.5600004"/>
  </r>
  <r>
    <x v="9"/>
    <s v="i3"/>
    <x v="3"/>
    <s v="Performance"/>
    <n v="111495.73"/>
    <n v="82.7"/>
    <n v="283"/>
    <n v="188"/>
    <s v="Coupe"/>
    <n v="4"/>
    <s v="Germany"/>
    <s v="Luxury"/>
    <n v="41408"/>
    <n v="3.72"/>
    <n v="6"/>
    <n v="4616815187.8400002"/>
  </r>
  <r>
    <x v="2"/>
    <s v="Model S"/>
    <x v="3"/>
    <s v="Premium"/>
    <n v="163320.60999999999"/>
    <n v="72.8"/>
    <n v="240"/>
    <n v="147"/>
    <s v="Hatchback"/>
    <n v="4"/>
    <s v="US"/>
    <s v="Luxury"/>
    <n v="220716"/>
    <n v="3.73"/>
    <n v="5"/>
    <n v="36047471756.759995"/>
  </r>
  <r>
    <x v="3"/>
    <s v="Qin"/>
    <x v="3"/>
    <s v="Performance"/>
    <n v="89614.35"/>
    <n v="100.7"/>
    <n v="334"/>
    <n v="192"/>
    <s v="Hatchback"/>
    <n v="5"/>
    <s v="China"/>
    <s v="Premium"/>
    <n v="198687"/>
    <n v="4"/>
    <n v="3"/>
    <n v="17805206358.450001"/>
  </r>
  <r>
    <x v="3"/>
    <s v="Max"/>
    <x v="3"/>
    <s v="Performance"/>
    <n v="102394.49"/>
    <n v="115.2"/>
    <n v="421"/>
    <n v="174"/>
    <s v="Truck"/>
    <n v="5"/>
    <s v="China"/>
    <s v="Luxury"/>
    <n v="226612"/>
    <n v="3.99"/>
    <n v="4"/>
    <n v="23203820167.880001"/>
  </r>
  <r>
    <x v="7"/>
    <s v="ID.4"/>
    <x v="3"/>
    <s v="Premium"/>
    <n v="78484.960000000006"/>
    <n v="48.2"/>
    <n v="168"/>
    <n v="144"/>
    <s v="Sedan"/>
    <n v="4"/>
    <s v="Germany"/>
    <s v="Premium"/>
    <n v="208905"/>
    <n v="3.41"/>
    <n v="4"/>
    <n v="16395900568.800001"/>
  </r>
  <r>
    <x v="3"/>
    <s v="Max"/>
    <x v="3"/>
    <s v="Long Range"/>
    <n v="30609.19"/>
    <n v="78.599999999999994"/>
    <n v="268"/>
    <n v="184"/>
    <s v="Hatchback"/>
    <n v="5"/>
    <s v="China"/>
    <s v="Budget"/>
    <n v="111239"/>
    <n v="3.49"/>
    <n v="4"/>
    <n v="3404935686.4099998"/>
  </r>
  <r>
    <x v="12"/>
    <s v="Bolt EUV"/>
    <x v="3"/>
    <s v="Performance"/>
    <n v="73854.22"/>
    <n v="104.5"/>
    <n v="365"/>
    <n v="200"/>
    <s v="Coupe"/>
    <n v="4"/>
    <s v="US"/>
    <s v="Premium"/>
    <n v="27191"/>
    <n v="3.61"/>
    <n v="3"/>
    <n v="2008170096.02"/>
  </r>
  <r>
    <x v="13"/>
    <s v="EQE"/>
    <x v="3"/>
    <s v="Performance"/>
    <n v="91688.58"/>
    <n v="90.5"/>
    <n v="311"/>
    <n v="192"/>
    <s v="Van"/>
    <n v="5"/>
    <s v="Germany"/>
    <s v="Premium"/>
    <n v="45385"/>
    <n v="4.0599999999999996"/>
    <n v="5"/>
    <n v="4161286203.3000002"/>
  </r>
  <r>
    <x v="3"/>
    <s v="Atto 3"/>
    <x v="3"/>
    <s v="Premium"/>
    <n v="72252.78"/>
    <n v="40.799999999999997"/>
    <n v="150"/>
    <n v="162"/>
    <s v="Hatchback"/>
    <n v="4"/>
    <s v="China"/>
    <s v="Premium"/>
    <n v="245833"/>
    <n v="3.12"/>
    <n v="3"/>
    <n v="17762117665.739998"/>
  </r>
  <r>
    <x v="3"/>
    <s v="Max"/>
    <x v="3"/>
    <s v="Base"/>
    <n v="20788.8"/>
    <n v="46.9"/>
    <n v="161"/>
    <n v="150"/>
    <s v="Van"/>
    <n v="4"/>
    <s v="China"/>
    <s v="Budget"/>
    <n v="208014"/>
    <n v="3.15"/>
    <n v="4"/>
    <n v="4324361443.1999998"/>
  </r>
  <r>
    <x v="15"/>
    <s v="Macan Electric"/>
    <x v="3"/>
    <s v="Standard"/>
    <n v="107490.34"/>
    <n v="61.7"/>
    <n v="224"/>
    <n v="161"/>
    <s v="SUV"/>
    <n v="4"/>
    <s v="Germany"/>
    <s v="Luxury"/>
    <n v="2249"/>
    <n v="3.5"/>
    <n v="8"/>
    <n v="241745774.66"/>
  </r>
  <r>
    <x v="1"/>
    <s v="Ocean"/>
    <x v="3"/>
    <s v="Premium"/>
    <n v="100837.22"/>
    <n v="71.599999999999994"/>
    <n v="259"/>
    <n v="163"/>
    <s v="Sedan"/>
    <n v="5"/>
    <s v="US"/>
    <s v="Luxury"/>
    <n v="27700"/>
    <n v="3.3"/>
    <n v="5"/>
    <n v="2793190994"/>
  </r>
  <r>
    <x v="6"/>
    <s v="Ioniq"/>
    <x v="3"/>
    <s v="Performance"/>
    <n v="69817.039999999994"/>
    <n v="113.2"/>
    <n v="415"/>
    <n v="198"/>
    <s v="Van"/>
    <n v="5"/>
    <s v="South Korea"/>
    <s v="Premium"/>
    <n v="127527"/>
    <n v="3.55"/>
    <n v="4"/>
    <n v="8903557660.0799999"/>
  </r>
  <r>
    <x v="2"/>
    <s v="Model S"/>
    <x v="3"/>
    <s v="Long Range"/>
    <n v="122960.47"/>
    <n v="98.5"/>
    <n v="350"/>
    <n v="178"/>
    <s v="SUV"/>
    <n v="4"/>
    <s v="US"/>
    <s v="Luxury"/>
    <n v="114585"/>
    <n v="4.09"/>
    <n v="4"/>
    <n v="14089425454.950001"/>
  </r>
  <r>
    <x v="12"/>
    <s v="Silverado EV"/>
    <x v="3"/>
    <s v="Performance"/>
    <n v="42948.13"/>
    <n v="93.8"/>
    <n v="328"/>
    <n v="200"/>
    <s v="Sedan"/>
    <n v="4"/>
    <s v="US"/>
    <s v="Mid-range"/>
    <n v="14040"/>
    <n v="3.76"/>
    <n v="4"/>
    <n v="602991745.19999993"/>
  </r>
  <r>
    <x v="2"/>
    <s v="Model 3"/>
    <x v="3"/>
    <s v="Standard"/>
    <n v="128698.36"/>
    <n v="60.8"/>
    <n v="240"/>
    <n v="154"/>
    <s v="Truck"/>
    <n v="5"/>
    <s v="US"/>
    <s v="Luxury"/>
    <n v="132614"/>
    <n v="3.6"/>
    <n v="5"/>
    <n v="17067204313.040001"/>
  </r>
  <r>
    <x v="2"/>
    <s v="Model 3"/>
    <x v="3"/>
    <s v="Standard"/>
    <n v="68205.179999999993"/>
    <n v="50.5"/>
    <n v="178"/>
    <n v="121"/>
    <s v="Van"/>
    <n v="4"/>
    <s v="US"/>
    <s v="Premium"/>
    <n v="179048"/>
    <n v="3.64"/>
    <n v="4"/>
    <n v="12212001068.639999"/>
  </r>
  <r>
    <x v="7"/>
    <s v="ID. Aero"/>
    <x v="3"/>
    <s v="Premium"/>
    <n v="107650.74"/>
    <n v="66"/>
    <n v="238"/>
    <n v="169"/>
    <s v="Hatchback"/>
    <n v="4"/>
    <s v="Germany"/>
    <s v="Luxury"/>
    <n v="215531"/>
    <n v="3.43"/>
    <n v="4"/>
    <n v="23202071642.940002"/>
  </r>
  <r>
    <x v="6"/>
    <s v="Ioniq"/>
    <x v="3"/>
    <s v="Long Range"/>
    <n v="85387.82"/>
    <n v="78.5"/>
    <n v="251"/>
    <n v="178"/>
    <s v="Sedan"/>
    <n v="4"/>
    <s v="South Korea"/>
    <s v="Premium"/>
    <n v="131774"/>
    <n v="3.48"/>
    <n v="3"/>
    <n v="11251894592.68"/>
  </r>
  <r>
    <x v="2"/>
    <s v="Model S"/>
    <x v="3"/>
    <s v="Premium"/>
    <n v="84622.11"/>
    <n v="73.7"/>
    <n v="264"/>
    <n v="143"/>
    <s v="SUV"/>
    <n v="4"/>
    <s v="US"/>
    <s v="Premium"/>
    <n v="193331"/>
    <n v="3.64"/>
    <n v="5"/>
    <n v="16360077148.41"/>
  </r>
  <r>
    <x v="5"/>
    <s v="EV6"/>
    <x v="3"/>
    <s v="Long Range"/>
    <n v="68881.259999999995"/>
    <n v="85.2"/>
    <n v="297"/>
    <n v="172"/>
    <s v="SUV"/>
    <n v="4"/>
    <s v="South Korea"/>
    <s v="Premium"/>
    <n v="85490"/>
    <n v="3.48"/>
    <n v="4"/>
    <n v="5888658917.3999996"/>
  </r>
  <r>
    <x v="5"/>
    <s v="Niro EV"/>
    <x v="3"/>
    <s v="Base"/>
    <n v="53627.18"/>
    <n v="75.2"/>
    <n v="266"/>
    <n v="154"/>
    <s v="Sedan"/>
    <n v="3"/>
    <s v="South Korea"/>
    <s v="Mid-range"/>
    <n v="65815"/>
    <n v="3.66"/>
    <n v="4"/>
    <n v="3529472851.6999998"/>
  </r>
  <r>
    <x v="0"/>
    <s v="bZ Compact SUV"/>
    <x v="3"/>
    <s v="Long Range"/>
    <n v="79916.17"/>
    <n v="85.7"/>
    <n v="295"/>
    <n v="176"/>
    <s v="SUV"/>
    <n v="4"/>
    <s v="Japan"/>
    <s v="Premium"/>
    <n v="29619"/>
    <n v="3.47"/>
    <n v="3"/>
    <n v="2367037039.23"/>
  </r>
  <r>
    <x v="3"/>
    <s v="Max"/>
    <x v="3"/>
    <s v="Performance"/>
    <n v="93434.880000000005"/>
    <n v="89.1"/>
    <n v="321"/>
    <n v="200"/>
    <s v="Van"/>
    <n v="5"/>
    <s v="China"/>
    <s v="Premium"/>
    <n v="220329"/>
    <n v="3.35"/>
    <n v="4"/>
    <n v="20586413675.52"/>
  </r>
  <r>
    <x v="3"/>
    <s v="Qin"/>
    <x v="3"/>
    <s v="Long Range"/>
    <n v="27057.77"/>
    <n v="108.5"/>
    <n v="385"/>
    <n v="162"/>
    <s v="Sedan"/>
    <n v="4"/>
    <s v="China"/>
    <s v="Budget"/>
    <n v="176350"/>
    <n v="3.6"/>
    <n v="4"/>
    <n v="4771637739.5"/>
  </r>
  <r>
    <x v="2"/>
    <s v="Cybertruck"/>
    <x v="3"/>
    <s v="Performance"/>
    <n v="56003.28"/>
    <n v="108.7"/>
    <n v="392"/>
    <n v="192"/>
    <s v="Truck"/>
    <n v="4"/>
    <s v="US"/>
    <s v="Mid-range"/>
    <n v="102435"/>
    <n v="4.04"/>
    <n v="4"/>
    <n v="5736695986.8000002"/>
  </r>
  <r>
    <x v="5"/>
    <s v="EV9"/>
    <x v="3"/>
    <s v="Long Range"/>
    <n v="62846.87"/>
    <n v="96.2"/>
    <n v="339"/>
    <n v="186"/>
    <s v="SUV"/>
    <n v="5"/>
    <s v="South Korea"/>
    <s v="Mid-range"/>
    <n v="73090"/>
    <n v="3.76"/>
    <n v="4"/>
    <n v="4593477728.3000002"/>
  </r>
  <r>
    <x v="3"/>
    <s v="Yuan Plus"/>
    <x v="3"/>
    <s v="Premium"/>
    <n v="44973.03"/>
    <n v="70.2"/>
    <n v="272"/>
    <n v="156"/>
    <s v="Hatchback"/>
    <n v="4"/>
    <s v="China"/>
    <s v="Mid-range"/>
    <n v="163237"/>
    <n v="3.63"/>
    <n v="4"/>
    <n v="7341262498.1099997"/>
  </r>
  <r>
    <x v="5"/>
    <s v="Picanto EV"/>
    <x v="3"/>
    <s v="Performance"/>
    <n v="84710.91"/>
    <n v="95.4"/>
    <n v="364"/>
    <n v="192"/>
    <s v="Sedan"/>
    <n v="4"/>
    <s v="South Korea"/>
    <s v="Premium"/>
    <n v="109134"/>
    <n v="3.67"/>
    <n v="4"/>
    <n v="9244840451.9400005"/>
  </r>
  <r>
    <x v="8"/>
    <s v="Mustang Mach-E"/>
    <x v="3"/>
    <s v="Standard"/>
    <n v="61247.58"/>
    <n v="43"/>
    <n v="150"/>
    <n v="145"/>
    <s v="Hatchback"/>
    <n v="4"/>
    <s v="US"/>
    <s v="Mid-range"/>
    <n v="76286"/>
    <n v="3.13"/>
    <n v="5"/>
    <n v="4672332887.8800001"/>
  </r>
  <r>
    <x v="3"/>
    <s v="Max"/>
    <x v="3"/>
    <s v="Standard"/>
    <n v="26581.17"/>
    <n v="76.3"/>
    <n v="257"/>
    <n v="143"/>
    <s v="SUV"/>
    <n v="5"/>
    <s v="China"/>
    <s v="Budget"/>
    <n v="206659"/>
    <n v="3.36"/>
    <n v="4"/>
    <n v="5493238011.0299997"/>
  </r>
  <r>
    <x v="5"/>
    <s v="Sportage EV"/>
    <x v="3"/>
    <s v="Performance"/>
    <n v="92527.86"/>
    <n v="110.6"/>
    <n v="404"/>
    <n v="200"/>
    <s v="SUV"/>
    <n v="4"/>
    <s v="South Korea"/>
    <s v="Premium"/>
    <n v="118664"/>
    <n v="3.6"/>
    <n v="4"/>
    <n v="10979725979.040001"/>
  </r>
  <r>
    <x v="2"/>
    <s v="Model Y"/>
    <x v="3"/>
    <s v="Base"/>
    <n v="106611.48"/>
    <n v="81.099999999999994"/>
    <n v="298"/>
    <n v="153"/>
    <s v="Hatchback"/>
    <n v="5"/>
    <s v="US"/>
    <s v="Luxury"/>
    <n v="481578"/>
    <n v="4.09"/>
    <n v="4"/>
    <n v="51341743315.439995"/>
  </r>
  <r>
    <x v="3"/>
    <s v="Qin"/>
    <x v="3"/>
    <s v="Premium"/>
    <n v="33832.39"/>
    <n v="82.8"/>
    <n v="276"/>
    <n v="128"/>
    <s v="SUV"/>
    <n v="4"/>
    <s v="China"/>
    <s v="Budget"/>
    <n v="177176"/>
    <n v="3.68"/>
    <n v="4"/>
    <n v="5994287530.6400003"/>
  </r>
  <r>
    <x v="7"/>
    <s v="ID.3"/>
    <x v="3"/>
    <s v="Premium"/>
    <n v="92433.279999999999"/>
    <n v="70.099999999999994"/>
    <n v="250"/>
    <n v="162"/>
    <s v="Coupe"/>
    <n v="4"/>
    <s v="Germany"/>
    <s v="Premium"/>
    <n v="212147"/>
    <n v="3.39"/>
    <n v="3"/>
    <n v="19609443052.16"/>
  </r>
  <r>
    <x v="2"/>
    <s v="Model X"/>
    <x v="3"/>
    <s v="Base"/>
    <n v="55932.63"/>
    <n v="59.8"/>
    <n v="209"/>
    <n v="155"/>
    <s v="SUV"/>
    <n v="3"/>
    <s v="US"/>
    <s v="Mid-range"/>
    <n v="183636"/>
    <n v="3.65"/>
    <n v="5"/>
    <n v="10271244442.68"/>
  </r>
  <r>
    <x v="9"/>
    <s v="i7"/>
    <x v="3"/>
    <s v="Long Range"/>
    <n v="131127.44"/>
    <n v="88.4"/>
    <n v="275"/>
    <n v="175"/>
    <s v="Van"/>
    <n v="4"/>
    <s v="Germany"/>
    <s v="Luxury"/>
    <n v="49932"/>
    <n v="3.32"/>
    <n v="7"/>
    <n v="6547455334.0799999"/>
  </r>
  <r>
    <x v="2"/>
    <s v="Model Y"/>
    <x v="3"/>
    <s v="Long Range"/>
    <n v="63692.69"/>
    <n v="107.7"/>
    <n v="357"/>
    <n v="188"/>
    <s v="Van"/>
    <n v="3"/>
    <s v="US"/>
    <s v="Mid-range"/>
    <n v="462962"/>
    <n v="4.05"/>
    <n v="4"/>
    <n v="29487295147.780003"/>
  </r>
  <r>
    <x v="7"/>
    <s v="ID. Aero"/>
    <x v="3"/>
    <s v="Performance"/>
    <n v="82345.289999999994"/>
    <n v="78.400000000000006"/>
    <n v="276"/>
    <n v="200"/>
    <s v="Hatchback"/>
    <n v="4"/>
    <s v="Germany"/>
    <s v="Premium"/>
    <n v="291745"/>
    <n v="3.72"/>
    <n v="4"/>
    <n v="24023826631.049999"/>
  </r>
  <r>
    <x v="5"/>
    <s v="Niro EV"/>
    <x v="3"/>
    <s v="Performance"/>
    <n v="59632.87"/>
    <n v="90.3"/>
    <n v="325"/>
    <n v="196"/>
    <s v="Coupe"/>
    <n v="5"/>
    <s v="South Korea"/>
    <s v="Mid-range"/>
    <n v="97616"/>
    <n v="3.74"/>
    <n v="4"/>
    <n v="5821122237.9200001"/>
  </r>
  <r>
    <x v="12"/>
    <s v="Bolt EV"/>
    <x v="3"/>
    <s v="Performance"/>
    <n v="39441.22"/>
    <n v="70.400000000000006"/>
    <n v="238"/>
    <n v="192"/>
    <s v="Coupe"/>
    <n v="3"/>
    <s v="US"/>
    <s v="Mid-range"/>
    <n v="9783"/>
    <n v="3.17"/>
    <n v="5"/>
    <n v="385853455.25999999"/>
  </r>
  <r>
    <x v="5"/>
    <s v="Sportage EV"/>
    <x v="3"/>
    <s v="Base"/>
    <n v="47384.85"/>
    <n v="55.2"/>
    <n v="193"/>
    <n v="168"/>
    <s v="SUV"/>
    <n v="4"/>
    <s v="South Korea"/>
    <s v="Mid-range"/>
    <n v="57685"/>
    <n v="3.6"/>
    <n v="4"/>
    <n v="2733395072.25"/>
  </r>
  <r>
    <x v="2"/>
    <s v="Model X"/>
    <x v="3"/>
    <s v="Performance"/>
    <n v="111766.84"/>
    <n v="104.9"/>
    <n v="361"/>
    <n v="200"/>
    <s v="Hatchback"/>
    <n v="4"/>
    <s v="US"/>
    <s v="Luxury"/>
    <n v="176852"/>
    <n v="4.05"/>
    <n v="5"/>
    <n v="19766189187.68"/>
  </r>
  <r>
    <x v="5"/>
    <s v="EV6"/>
    <x v="3"/>
    <s v="Premium"/>
    <n v="82403.5"/>
    <n v="78.599999999999994"/>
    <n v="288"/>
    <n v="151"/>
    <s v="Van"/>
    <n v="4"/>
    <s v="South Korea"/>
    <s v="Premium"/>
    <n v="95064"/>
    <n v="3.74"/>
    <n v="4"/>
    <n v="7833606324"/>
  </r>
  <r>
    <x v="9"/>
    <s v="i5"/>
    <x v="3"/>
    <s v="Premium"/>
    <n v="104739.58"/>
    <n v="54.5"/>
    <n v="189"/>
    <n v="151"/>
    <s v="Coupe"/>
    <n v="5"/>
    <s v="Germany"/>
    <s v="Luxury"/>
    <n v="58894"/>
    <n v="3.16"/>
    <n v="8"/>
    <n v="6168532824.5200005"/>
  </r>
  <r>
    <x v="2"/>
    <s v="Cybertruck"/>
    <x v="3"/>
    <s v="Long Range"/>
    <n v="40789.910000000003"/>
    <n v="106.8"/>
    <n v="379"/>
    <n v="177"/>
    <s v="Truck"/>
    <n v="5"/>
    <s v="US"/>
    <s v="Mid-range"/>
    <n v="187262"/>
    <n v="4.38"/>
    <n v="6"/>
    <n v="7638400126.420001"/>
  </r>
  <r>
    <x v="10"/>
    <n v="4"/>
    <x v="3"/>
    <s v="Performance"/>
    <n v="90903.84"/>
    <n v="95"/>
    <n v="337"/>
    <n v="185"/>
    <s v="Coupe"/>
    <n v="5"/>
    <s v="Sweden"/>
    <s v="Premium"/>
    <n v="18672"/>
    <n v="3.64"/>
    <n v="3"/>
    <n v="1697356500.48"/>
  </r>
  <r>
    <x v="3"/>
    <s v="Max"/>
    <x v="3"/>
    <s v="Long Range"/>
    <n v="98961.38"/>
    <n v="90.2"/>
    <n v="294"/>
    <n v="171"/>
    <s v="Van"/>
    <n v="4"/>
    <s v="China"/>
    <s v="Premium"/>
    <n v="230275"/>
    <n v="3.52"/>
    <n v="5"/>
    <n v="22788331779.5"/>
  </r>
  <r>
    <x v="3"/>
    <s v="Qin"/>
    <x v="3"/>
    <s v="Long Range"/>
    <n v="52355.75"/>
    <n v="87.1"/>
    <n v="286"/>
    <n v="184"/>
    <s v="Sedan"/>
    <n v="5"/>
    <s v="China"/>
    <s v="Mid-range"/>
    <n v="146928"/>
    <n v="3.27"/>
    <n v="4"/>
    <n v="7692525636"/>
  </r>
  <r>
    <x v="4"/>
    <s v="e-tron GT"/>
    <x v="3"/>
    <s v="Premium"/>
    <n v="88280.78"/>
    <n v="42.7"/>
    <n v="156"/>
    <n v="173"/>
    <s v="Coupe"/>
    <n v="4"/>
    <s v="Germany"/>
    <s v="Premium"/>
    <n v="66857"/>
    <n v="3.24"/>
    <n v="5"/>
    <n v="5902188108.46"/>
  </r>
  <r>
    <x v="2"/>
    <s v="Model S"/>
    <x v="3"/>
    <s v="Base"/>
    <n v="45116.56"/>
    <n v="45.3"/>
    <n v="169"/>
    <n v="158"/>
    <s v="Sedan"/>
    <n v="3"/>
    <s v="US"/>
    <s v="Mid-range"/>
    <n v="116884"/>
    <n v="3.58"/>
    <n v="5"/>
    <n v="5273403999.04"/>
  </r>
  <r>
    <x v="7"/>
    <s v="ID.4"/>
    <x v="3"/>
    <s v="Long Range"/>
    <n v="49537.91"/>
    <n v="82.9"/>
    <n v="278"/>
    <n v="191"/>
    <s v="Coupe"/>
    <n v="5"/>
    <s v="Germany"/>
    <s v="Mid-range"/>
    <n v="250021"/>
    <n v="3.64"/>
    <n v="3"/>
    <n v="12385517796.110001"/>
  </r>
  <r>
    <x v="2"/>
    <s v="Model 3"/>
    <x v="3"/>
    <s v="Performance"/>
    <n v="53096.09"/>
    <n v="113.8"/>
    <n v="404"/>
    <n v="200"/>
    <s v="Van"/>
    <n v="4"/>
    <s v="US"/>
    <s v="Mid-range"/>
    <n v="123687"/>
    <n v="4.34"/>
    <n v="5"/>
    <n v="6567296083.8299999"/>
  </r>
  <r>
    <x v="6"/>
    <s v="Ioniq 5"/>
    <x v="3"/>
    <s v="Base"/>
    <n v="40063.519999999997"/>
    <n v="83"/>
    <n v="298"/>
    <n v="134"/>
    <s v="Van"/>
    <n v="5"/>
    <s v="South Korea"/>
    <s v="Mid-range"/>
    <n v="95016"/>
    <n v="3.55"/>
    <n v="4"/>
    <n v="3806675416.3199997"/>
  </r>
  <r>
    <x v="3"/>
    <s v="Seagull"/>
    <x v="3"/>
    <s v="Base"/>
    <n v="72565.72"/>
    <n v="43.8"/>
    <n v="153"/>
    <n v="175"/>
    <s v="Hatchback"/>
    <n v="5"/>
    <s v="China"/>
    <s v="Premium"/>
    <n v="193019"/>
    <n v="3.17"/>
    <n v="4"/>
    <n v="14006562708.68"/>
  </r>
  <r>
    <x v="2"/>
    <s v="Model S"/>
    <x v="3"/>
    <s v="Premium"/>
    <n v="90489.19"/>
    <n v="66.8"/>
    <n v="227"/>
    <n v="144"/>
    <s v="Van"/>
    <n v="4"/>
    <s v="US"/>
    <s v="Premium"/>
    <n v="231411"/>
    <n v="3.84"/>
    <n v="4"/>
    <n v="20940193947.09"/>
  </r>
  <r>
    <x v="6"/>
    <s v="Ioniq 6"/>
    <x v="3"/>
    <s v="Long Range"/>
    <n v="79421.070000000007"/>
    <n v="79.2"/>
    <n v="250"/>
    <n v="164"/>
    <s v="Van"/>
    <n v="5"/>
    <s v="South Korea"/>
    <s v="Premium"/>
    <n v="120050"/>
    <n v="3.41"/>
    <n v="3"/>
    <n v="9534499453.5"/>
  </r>
  <r>
    <x v="6"/>
    <s v="Kona Electric"/>
    <x v="3"/>
    <s v="Long Range"/>
    <n v="89541.119999999995"/>
    <n v="95.4"/>
    <n v="330"/>
    <n v="179"/>
    <s v="SUV"/>
    <n v="5"/>
    <s v="South Korea"/>
    <s v="Premium"/>
    <n v="122583"/>
    <n v="3.74"/>
    <n v="3"/>
    <n v="10976219112.959999"/>
  </r>
  <r>
    <x v="9"/>
    <s v="i3"/>
    <x v="3"/>
    <s v="Base"/>
    <n v="89086.86"/>
    <n v="79.5"/>
    <n v="279"/>
    <n v="179"/>
    <s v="Truck"/>
    <n v="4"/>
    <s v="Germany"/>
    <s v="Premium"/>
    <n v="63501"/>
    <n v="3.78"/>
    <n v="5"/>
    <n v="5657104696.8599997"/>
  </r>
  <r>
    <x v="13"/>
    <s v="EQS"/>
    <x v="3"/>
    <s v="Premium"/>
    <n v="111693.41"/>
    <n v="44.9"/>
    <n v="154"/>
    <n v="144"/>
    <s v="Hatchback"/>
    <n v="4"/>
    <s v="Germany"/>
    <s v="Luxury"/>
    <n v="72096"/>
    <n v="3.64"/>
    <n v="6"/>
    <n v="8052648087.3600006"/>
  </r>
  <r>
    <x v="9"/>
    <s v="iX"/>
    <x v="3"/>
    <s v="Long Range"/>
    <n v="130324.5"/>
    <n v="105"/>
    <n v="370"/>
    <n v="186"/>
    <s v="Sedan"/>
    <n v="5"/>
    <s v="Germany"/>
    <s v="Luxury"/>
    <n v="62481"/>
    <n v="3.82"/>
    <n v="6"/>
    <n v="8142805084.5"/>
  </r>
  <r>
    <x v="2"/>
    <s v="Model 3"/>
    <x v="3"/>
    <s v="Premium"/>
    <n v="98229.28"/>
    <n v="82.6"/>
    <n v="290"/>
    <n v="142"/>
    <s v="Sedan"/>
    <n v="4"/>
    <s v="US"/>
    <s v="Premium"/>
    <n v="151125"/>
    <n v="4.05"/>
    <n v="4"/>
    <n v="14844899940"/>
  </r>
  <r>
    <x v="9"/>
    <s v="i3"/>
    <x v="3"/>
    <s v="Premium"/>
    <n v="126296.04"/>
    <n v="69.400000000000006"/>
    <n v="238"/>
    <n v="158"/>
    <s v="Truck"/>
    <n v="4"/>
    <s v="Germany"/>
    <s v="Luxury"/>
    <n v="27018"/>
    <n v="3.73"/>
    <n v="8"/>
    <n v="3412266408.7199998"/>
  </r>
  <r>
    <x v="2"/>
    <s v="Cybertruck"/>
    <x v="3"/>
    <s v="Performance"/>
    <n v="182463.57"/>
    <n v="109.2"/>
    <n v="389"/>
    <n v="200"/>
    <s v="Truck"/>
    <n v="5"/>
    <s v="US"/>
    <s v="Luxury"/>
    <n v="202403"/>
    <n v="3.98"/>
    <n v="5"/>
    <n v="36931173958.709999"/>
  </r>
  <r>
    <x v="2"/>
    <s v="Model X"/>
    <x v="3"/>
    <s v="Premium"/>
    <n v="43481.03"/>
    <n v="65.2"/>
    <n v="217"/>
    <n v="143"/>
    <s v="SUV"/>
    <n v="5"/>
    <s v="US"/>
    <s v="Mid-range"/>
    <n v="134257"/>
    <n v="3.73"/>
    <n v="6"/>
    <n v="5837632644.71"/>
  </r>
  <r>
    <x v="3"/>
    <s v="Atto 3"/>
    <x v="3"/>
    <s v="Base"/>
    <n v="73542.570000000007"/>
    <n v="52.6"/>
    <n v="178"/>
    <n v="142"/>
    <s v="Hatchback"/>
    <n v="5"/>
    <s v="China"/>
    <s v="Premium"/>
    <n v="164917"/>
    <n v="3"/>
    <n v="4"/>
    <n v="12128420016.690001"/>
  </r>
  <r>
    <x v="2"/>
    <s v="Model S"/>
    <x v="3"/>
    <s v="Premium"/>
    <n v="51643.69"/>
    <n v="41.7"/>
    <n v="150"/>
    <n v="153"/>
    <s v="Truck"/>
    <n v="5"/>
    <s v="US"/>
    <s v="Mid-range"/>
    <n v="247691"/>
    <n v="3.41"/>
    <n v="6"/>
    <n v="12791677219.790001"/>
  </r>
  <r>
    <x v="8"/>
    <s v="E-Transit"/>
    <x v="3"/>
    <s v="Standard"/>
    <n v="53190.35"/>
    <n v="62.2"/>
    <n v="200"/>
    <n v="148"/>
    <s v="Hatchback"/>
    <n v="4"/>
    <s v="US"/>
    <s v="Mid-range"/>
    <n v="73417"/>
    <n v="3.13"/>
    <n v="4"/>
    <n v="3905075925.9499998"/>
  </r>
  <r>
    <x v="6"/>
    <s v="Kona Electric"/>
    <x v="3"/>
    <s v="Long Range"/>
    <n v="49376.97"/>
    <n v="105.9"/>
    <n v="348"/>
    <n v="175"/>
    <s v="Hatchback"/>
    <n v="5"/>
    <s v="South Korea"/>
    <s v="Mid-range"/>
    <n v="113770"/>
    <n v="3.51"/>
    <n v="4"/>
    <n v="5617617876.9000006"/>
  </r>
  <r>
    <x v="1"/>
    <s v="Ocean"/>
    <x v="3"/>
    <s v="Base"/>
    <n v="81514.31"/>
    <n v="48.1"/>
    <n v="186"/>
    <n v="157"/>
    <s v="Hatchback"/>
    <n v="4"/>
    <s v="US"/>
    <s v="Premium"/>
    <n v="16427"/>
    <n v="3.38"/>
    <n v="3"/>
    <n v="1339035570.3699999"/>
  </r>
  <r>
    <x v="10"/>
    <n v="3"/>
    <x v="3"/>
    <s v="Long Range"/>
    <n v="77182.19"/>
    <n v="88.8"/>
    <n v="337"/>
    <n v="160"/>
    <s v="Hatchback"/>
    <n v="5"/>
    <s v="Sweden"/>
    <s v="Premium"/>
    <n v="5412"/>
    <n v="3.55"/>
    <n v="3"/>
    <n v="417710012.28000003"/>
  </r>
  <r>
    <x v="8"/>
    <s v="Explorer EV"/>
    <x v="3"/>
    <s v="Standard"/>
    <n v="38433.81"/>
    <n v="45.5"/>
    <n v="152"/>
    <n v="137"/>
    <s v="Truck"/>
    <n v="4"/>
    <s v="US"/>
    <s v="Mid-range"/>
    <n v="31451"/>
    <n v="3.08"/>
    <n v="3"/>
    <n v="1208781758.3099999"/>
  </r>
  <r>
    <x v="7"/>
    <s v="ID.3"/>
    <x v="3"/>
    <s v="Premium"/>
    <n v="99609.58"/>
    <n v="83.8"/>
    <n v="287"/>
    <n v="141"/>
    <s v="Coupe"/>
    <n v="4"/>
    <s v="Germany"/>
    <s v="Premium"/>
    <n v="245824"/>
    <n v="3.56"/>
    <n v="5"/>
    <n v="24486425393.920002"/>
  </r>
  <r>
    <x v="3"/>
    <s v="Max"/>
    <x v="3"/>
    <s v="Long Range"/>
    <n v="94064.69"/>
    <n v="95.8"/>
    <n v="342"/>
    <n v="180"/>
    <s v="Hatchback"/>
    <n v="5"/>
    <s v="China"/>
    <s v="Premium"/>
    <n v="117049"/>
    <n v="3.64"/>
    <n v="5"/>
    <n v="11010177899.809999"/>
  </r>
  <r>
    <x v="5"/>
    <s v="Sportage EV"/>
    <x v="3"/>
    <s v="Base"/>
    <n v="31014.43"/>
    <n v="43.7"/>
    <n v="167"/>
    <n v="149"/>
    <s v="SUV"/>
    <n v="5"/>
    <s v="South Korea"/>
    <s v="Budget"/>
    <n v="68930"/>
    <n v="3.05"/>
    <n v="4"/>
    <n v="2137824659.9000001"/>
  </r>
  <r>
    <x v="12"/>
    <s v="Blazer EV"/>
    <x v="3"/>
    <s v="Standard"/>
    <n v="45534.53"/>
    <n v="61.3"/>
    <n v="201"/>
    <n v="130"/>
    <s v="Sedan"/>
    <n v="5"/>
    <s v="US"/>
    <s v="Mid-range"/>
    <n v="7422"/>
    <n v="3.31"/>
    <n v="3"/>
    <n v="337957281.65999997"/>
  </r>
  <r>
    <x v="12"/>
    <s v="Blazer EV"/>
    <x v="3"/>
    <s v="Base"/>
    <n v="30572.73"/>
    <n v="55.2"/>
    <n v="208"/>
    <n v="134"/>
    <s v="Coupe"/>
    <n v="4"/>
    <s v="US"/>
    <s v="Budget"/>
    <n v="13459"/>
    <n v="3.31"/>
    <n v="4"/>
    <n v="411478373.06999999"/>
  </r>
  <r>
    <x v="2"/>
    <s v="Model S"/>
    <x v="3"/>
    <s v="Base"/>
    <n v="41460.269999999997"/>
    <n v="53.8"/>
    <n v="191"/>
    <n v="155"/>
    <s v="Van"/>
    <n v="4"/>
    <s v="US"/>
    <s v="Mid-range"/>
    <n v="119951"/>
    <n v="3.56"/>
    <n v="4"/>
    <n v="4973200846.7699995"/>
  </r>
  <r>
    <x v="7"/>
    <s v="ID.3"/>
    <x v="3"/>
    <s v="Performance"/>
    <n v="70444.740000000005"/>
    <n v="90.5"/>
    <n v="338"/>
    <n v="185"/>
    <s v="Truck"/>
    <n v="4"/>
    <s v="Germany"/>
    <s v="Premium"/>
    <n v="214221"/>
    <n v="3.69"/>
    <n v="4"/>
    <n v="15090742647.540001"/>
  </r>
  <r>
    <x v="4"/>
    <s v="Q4 e-tron"/>
    <x v="3"/>
    <s v="Base"/>
    <n v="48523.32"/>
    <n v="82.6"/>
    <n v="283"/>
    <n v="137"/>
    <s v="SUV"/>
    <n v="5"/>
    <s v="Germany"/>
    <s v="Mid-range"/>
    <n v="57366"/>
    <n v="3.57"/>
    <n v="6"/>
    <n v="2783588775.1199999"/>
  </r>
  <r>
    <x v="7"/>
    <s v="ID.3"/>
    <x v="3"/>
    <s v="Premium"/>
    <n v="57817.4"/>
    <n v="40.4"/>
    <n v="167"/>
    <n v="156"/>
    <s v="Truck"/>
    <n v="5"/>
    <s v="Germany"/>
    <s v="Mid-range"/>
    <n v="227778"/>
    <n v="3.41"/>
    <n v="3"/>
    <n v="13169531737.200001"/>
  </r>
  <r>
    <x v="4"/>
    <s v="e-tron"/>
    <x v="3"/>
    <s v="Long Range"/>
    <n v="82135.990000000005"/>
    <n v="78.3"/>
    <n v="272"/>
    <n v="170"/>
    <s v="Sedan"/>
    <n v="4"/>
    <s v="Germany"/>
    <s v="Premium"/>
    <n v="56851"/>
    <n v="3.65"/>
    <n v="6"/>
    <n v="4669513167.4900007"/>
  </r>
  <r>
    <x v="13"/>
    <s v="EQE"/>
    <x v="3"/>
    <s v="Standard"/>
    <n v="112177.54"/>
    <n v="67.5"/>
    <n v="236"/>
    <n v="128"/>
    <s v="Van"/>
    <n v="4"/>
    <s v="Germany"/>
    <s v="Luxury"/>
    <n v="38676"/>
    <n v="3.75"/>
    <n v="6"/>
    <n v="4338578537.04"/>
  </r>
  <r>
    <x v="6"/>
    <s v="i30"/>
    <x v="3"/>
    <s v="Standard"/>
    <n v="33062.26"/>
    <n v="78.5"/>
    <n v="266"/>
    <n v="128"/>
    <s v="Van"/>
    <n v="5"/>
    <s v="South Korea"/>
    <s v="Budget"/>
    <n v="88310"/>
    <n v="3.39"/>
    <n v="4"/>
    <n v="2919728180.6000004"/>
  </r>
  <r>
    <x v="7"/>
    <s v="ID. Buzz"/>
    <x v="3"/>
    <s v="Performance"/>
    <n v="110994.9"/>
    <n v="76.8"/>
    <n v="250"/>
    <n v="198"/>
    <s v="SUV"/>
    <n v="5"/>
    <s v="Germany"/>
    <s v="Luxury"/>
    <n v="225518"/>
    <n v="3.24"/>
    <n v="4"/>
    <n v="25031347858.199997"/>
  </r>
  <r>
    <x v="12"/>
    <s v="Silverado EV"/>
    <x v="3"/>
    <s v="Performance"/>
    <n v="95648.05"/>
    <n v="112.2"/>
    <n v="409"/>
    <n v="200"/>
    <s v="Truck"/>
    <n v="4"/>
    <s v="US"/>
    <s v="Premium"/>
    <n v="20948"/>
    <n v="3.66"/>
    <n v="5"/>
    <n v="2003635351.4000001"/>
  </r>
  <r>
    <x v="7"/>
    <s v="ID. Aero"/>
    <x v="3"/>
    <s v="Base"/>
    <n v="44658.67"/>
    <n v="73.2"/>
    <n v="219"/>
    <n v="140"/>
    <s v="Sedan"/>
    <n v="5"/>
    <s v="Germany"/>
    <s v="Mid-range"/>
    <n v="256210"/>
    <n v="3.39"/>
    <n v="5"/>
    <n v="11441997840.699999"/>
  </r>
  <r>
    <x v="7"/>
    <s v="ID.4"/>
    <x v="3"/>
    <s v="Long Range"/>
    <n v="78653.83"/>
    <n v="94.4"/>
    <n v="350"/>
    <n v="189"/>
    <s v="Coupe"/>
    <n v="5"/>
    <s v="Germany"/>
    <s v="Premium"/>
    <n v="204287"/>
    <n v="3.97"/>
    <n v="4"/>
    <n v="16067954969.210001"/>
  </r>
  <r>
    <x v="3"/>
    <s v="Leaf 50X"/>
    <x v="3"/>
    <s v="Standard"/>
    <n v="74284.45"/>
    <n v="84.2"/>
    <n v="286"/>
    <n v="162"/>
    <s v="Truck"/>
    <n v="5"/>
    <s v="China"/>
    <s v="Premium"/>
    <n v="128075"/>
    <n v="3.77"/>
    <n v="5"/>
    <n v="9513980933.75"/>
  </r>
  <r>
    <x v="3"/>
    <s v="Seagull"/>
    <x v="3"/>
    <s v="Premium"/>
    <n v="109450.6"/>
    <n v="64.2"/>
    <n v="232"/>
    <n v="143"/>
    <s v="Sedan"/>
    <n v="5"/>
    <s v="China"/>
    <s v="Luxury"/>
    <n v="128508"/>
    <n v="3.59"/>
    <n v="4"/>
    <n v="14065277704.800001"/>
  </r>
  <r>
    <x v="2"/>
    <s v="Model X"/>
    <x v="3"/>
    <s v="Performance"/>
    <n v="164467.67000000001"/>
    <n v="113.9"/>
    <n v="371"/>
    <n v="200"/>
    <s v="Van"/>
    <n v="5"/>
    <s v="US"/>
    <s v="Luxury"/>
    <n v="146842"/>
    <n v="3.92"/>
    <n v="4"/>
    <n v="24150761598.140003"/>
  </r>
  <r>
    <x v="6"/>
    <s v="Ioniq 5"/>
    <x v="3"/>
    <s v="Standard"/>
    <n v="55335.519999999997"/>
    <n v="51.9"/>
    <n v="156"/>
    <n v="176"/>
    <s v="Van"/>
    <n v="3"/>
    <s v="South Korea"/>
    <s v="Mid-range"/>
    <n v="84896"/>
    <n v="3.28"/>
    <n v="5"/>
    <n v="4697764305.9200001"/>
  </r>
  <r>
    <x v="6"/>
    <s v="Ioniq 5"/>
    <x v="3"/>
    <s v="Long Range"/>
    <n v="41738.1"/>
    <n v="88.1"/>
    <n v="330"/>
    <n v="167"/>
    <s v="Hatchback"/>
    <n v="5"/>
    <s v="South Korea"/>
    <s v="Mid-range"/>
    <n v="92151"/>
    <n v="3.69"/>
    <n v="4"/>
    <n v="3846207653.0999999"/>
  </r>
  <r>
    <x v="9"/>
    <s v="i3"/>
    <x v="3"/>
    <s v="Long Range"/>
    <n v="122665.71"/>
    <n v="102.1"/>
    <n v="360"/>
    <n v="190"/>
    <s v="Hatchback"/>
    <n v="5"/>
    <s v="Germany"/>
    <s v="Luxury"/>
    <n v="66187"/>
    <n v="3.78"/>
    <n v="7"/>
    <n v="8118875347.7700005"/>
  </r>
  <r>
    <x v="12"/>
    <s v="Bolt EV"/>
    <x v="4"/>
    <s v="Premium"/>
    <n v="49651.12"/>
    <n v="58.2"/>
    <n v="225"/>
    <n v="148"/>
    <s v="Van"/>
    <n v="4"/>
    <s v="US"/>
    <s v="Mid-range"/>
    <n v="16590"/>
    <n v="3.7"/>
    <n v="3"/>
    <n v="823712080.80000007"/>
  </r>
  <r>
    <x v="5"/>
    <s v="Sportage EV"/>
    <x v="4"/>
    <s v="Long Range"/>
    <n v="38131.56"/>
    <n v="102.5"/>
    <n v="349"/>
    <n v="176"/>
    <s v="SUV"/>
    <n v="4"/>
    <s v="South Korea"/>
    <s v="Mid-range"/>
    <n v="127201"/>
    <n v="3.81"/>
    <n v="3"/>
    <n v="4850372563.5599995"/>
  </r>
  <r>
    <x v="2"/>
    <s v="Model 3"/>
    <x v="4"/>
    <s v="Premium"/>
    <n v="128427.66"/>
    <n v="68.599999999999994"/>
    <n v="222"/>
    <n v="149"/>
    <s v="Coupe"/>
    <n v="5"/>
    <s v="US"/>
    <s v="Luxury"/>
    <n v="213937"/>
    <n v="3.54"/>
    <n v="6"/>
    <n v="27475428297.420002"/>
  </r>
  <r>
    <x v="2"/>
    <s v="Model 3"/>
    <x v="4"/>
    <s v="Premium"/>
    <n v="95912.83"/>
    <n v="49.8"/>
    <n v="167"/>
    <n v="138"/>
    <s v="Sedan"/>
    <n v="4"/>
    <s v="US"/>
    <s v="Premium"/>
    <n v="124780"/>
    <n v="3.56"/>
    <n v="5"/>
    <n v="11968002927.4"/>
  </r>
  <r>
    <x v="2"/>
    <s v="Model S"/>
    <x v="4"/>
    <s v="Premium"/>
    <n v="134964.13"/>
    <n v="67.400000000000006"/>
    <n v="250"/>
    <n v="135"/>
    <s v="Van"/>
    <n v="5"/>
    <s v="US"/>
    <s v="Luxury"/>
    <n v="235048"/>
    <n v="3.81"/>
    <n v="5"/>
    <n v="31723048828.240002"/>
  </r>
  <r>
    <x v="3"/>
    <s v="Atto 3"/>
    <x v="4"/>
    <s v="Standard"/>
    <n v="64427.02"/>
    <n v="70.5"/>
    <n v="265"/>
    <n v="138"/>
    <s v="Truck"/>
    <n v="5"/>
    <s v="China"/>
    <s v="Mid-range"/>
    <n v="204232"/>
    <n v="3.52"/>
    <n v="4"/>
    <n v="13158059148.639999"/>
  </r>
  <r>
    <x v="6"/>
    <s v="Kona Electric"/>
    <x v="4"/>
    <s v="Premium"/>
    <n v="63139.95"/>
    <n v="81"/>
    <n v="275"/>
    <n v="141"/>
    <s v="Coupe"/>
    <n v="4"/>
    <s v="South Korea"/>
    <s v="Mid-range"/>
    <n v="132242"/>
    <n v="3.43"/>
    <n v="5"/>
    <n v="8349753267.8999996"/>
  </r>
  <r>
    <x v="7"/>
    <s v="ID.4"/>
    <x v="4"/>
    <s v="Long Range"/>
    <n v="77030"/>
    <n v="88"/>
    <n v="332"/>
    <n v="183"/>
    <s v="Sedan"/>
    <n v="4"/>
    <s v="Germany"/>
    <s v="Premium"/>
    <n v="238587"/>
    <n v="3.37"/>
    <n v="4"/>
    <n v="18378356610"/>
  </r>
  <r>
    <x v="3"/>
    <s v="Atto 3"/>
    <x v="4"/>
    <s v="Premium"/>
    <n v="72336.67"/>
    <n v="77.900000000000006"/>
    <n v="295"/>
    <n v="178"/>
    <s v="Van"/>
    <n v="3"/>
    <s v="China"/>
    <s v="Premium"/>
    <n v="168778"/>
    <n v="3.53"/>
    <n v="3"/>
    <n v="12208838489.26"/>
  </r>
  <r>
    <x v="3"/>
    <s v="Yuan Plus"/>
    <x v="4"/>
    <s v="Performance"/>
    <n v="114839.62"/>
    <n v="76.599999999999994"/>
    <n v="293"/>
    <n v="200"/>
    <s v="SUV"/>
    <n v="5"/>
    <s v="China"/>
    <s v="Luxury"/>
    <n v="229532"/>
    <n v="3.41"/>
    <n v="4"/>
    <n v="26359367657.84"/>
  </r>
  <r>
    <x v="7"/>
    <s v="ID.5"/>
    <x v="4"/>
    <s v="Long Range"/>
    <n v="51142.17"/>
    <n v="101.7"/>
    <n v="359"/>
    <n v="161"/>
    <s v="Coupe"/>
    <n v="4"/>
    <s v="Germany"/>
    <s v="Mid-range"/>
    <n v="203079"/>
    <n v="3.64"/>
    <n v="5"/>
    <n v="10385900741.43"/>
  </r>
  <r>
    <x v="5"/>
    <s v="EV9"/>
    <x v="4"/>
    <s v="Standard"/>
    <n v="66876.75"/>
    <n v="66.7"/>
    <n v="236"/>
    <n v="164"/>
    <s v="SUV"/>
    <n v="4"/>
    <s v="South Korea"/>
    <s v="Premium"/>
    <n v="117514"/>
    <n v="3.53"/>
    <n v="3"/>
    <n v="7858954399.5"/>
  </r>
  <r>
    <x v="5"/>
    <s v="Niro EV"/>
    <x v="4"/>
    <s v="Performance"/>
    <n v="105946.66"/>
    <n v="79.3"/>
    <n v="245"/>
    <n v="200"/>
    <s v="Coupe"/>
    <n v="4"/>
    <s v="South Korea"/>
    <s v="Luxury"/>
    <n v="147459"/>
    <n v="3.43"/>
    <n v="3"/>
    <n v="15622788536.940001"/>
  </r>
  <r>
    <x v="2"/>
    <s v="Cybertruck"/>
    <x v="4"/>
    <s v="Performance"/>
    <n v="42827.24"/>
    <n v="89.9"/>
    <n v="311"/>
    <n v="200"/>
    <s v="Truck"/>
    <n v="4"/>
    <s v="US"/>
    <s v="Mid-range"/>
    <n v="133489"/>
    <n v="3.82"/>
    <n v="5"/>
    <n v="5716965440.3599997"/>
  </r>
  <r>
    <x v="2"/>
    <s v="Cybertruck"/>
    <x v="4"/>
    <s v="Standard"/>
    <n v="121805.3"/>
    <n v="58.9"/>
    <n v="204"/>
    <n v="173"/>
    <s v="Truck"/>
    <n v="4"/>
    <s v="US"/>
    <s v="Luxury"/>
    <n v="225373"/>
    <n v="3.75"/>
    <n v="5"/>
    <n v="27451625876.900002"/>
  </r>
  <r>
    <x v="2"/>
    <s v="Model X"/>
    <x v="4"/>
    <s v="Long Range"/>
    <n v="117517.98"/>
    <n v="101"/>
    <n v="350"/>
    <n v="186"/>
    <s v="Truck"/>
    <n v="5"/>
    <s v="US"/>
    <s v="Luxury"/>
    <n v="122440"/>
    <n v="3.96"/>
    <n v="5"/>
    <n v="14388901471.199999"/>
  </r>
  <r>
    <x v="3"/>
    <s v="Max"/>
    <x v="4"/>
    <s v="Base"/>
    <n v="24029.61"/>
    <n v="45.6"/>
    <n v="153"/>
    <n v="177"/>
    <s v="Sedan"/>
    <n v="5"/>
    <s v="China"/>
    <s v="Budget"/>
    <n v="157077"/>
    <n v="3.46"/>
    <n v="3"/>
    <n v="3774499049.9700003"/>
  </r>
  <r>
    <x v="9"/>
    <s v="i3"/>
    <x v="4"/>
    <s v="Long Range"/>
    <n v="120387.4"/>
    <n v="79.400000000000006"/>
    <n v="285"/>
    <n v="193"/>
    <s v="Truck"/>
    <n v="4"/>
    <s v="Germany"/>
    <s v="Luxury"/>
    <n v="62864"/>
    <n v="3.27"/>
    <n v="8"/>
    <n v="7568033513.5999994"/>
  </r>
  <r>
    <x v="5"/>
    <s v="Sportage EV"/>
    <x v="4"/>
    <s v="Long Range"/>
    <n v="95244.75"/>
    <n v="77.2"/>
    <n v="262"/>
    <n v="194"/>
    <s v="SUV"/>
    <n v="4"/>
    <s v="South Korea"/>
    <s v="Premium"/>
    <n v="76023"/>
    <n v="3.44"/>
    <n v="3"/>
    <n v="7240791629.25"/>
  </r>
  <r>
    <x v="11"/>
    <s v="R3"/>
    <x v="4"/>
    <s v="Base"/>
    <n v="66816.36"/>
    <n v="69.900000000000006"/>
    <n v="247"/>
    <n v="171"/>
    <s v="Sedan"/>
    <n v="5"/>
    <s v="US"/>
    <s v="Premium"/>
    <n v="27456"/>
    <n v="3.39"/>
    <n v="6"/>
    <n v="1834509980.1600001"/>
  </r>
  <r>
    <x v="7"/>
    <s v="ID. Aero"/>
    <x v="4"/>
    <s v="Long Range"/>
    <n v="42431.05"/>
    <n v="88.6"/>
    <n v="306"/>
    <n v="166"/>
    <s v="Coupe"/>
    <n v="3"/>
    <s v="Germany"/>
    <s v="Mid-range"/>
    <n v="260840"/>
    <n v="3.53"/>
    <n v="4"/>
    <n v="11067715082"/>
  </r>
  <r>
    <x v="3"/>
    <s v="Dolphin"/>
    <x v="4"/>
    <s v="Performance"/>
    <n v="30671.06"/>
    <n v="87.5"/>
    <n v="303"/>
    <n v="190"/>
    <s v="Sedan"/>
    <n v="5"/>
    <s v="China"/>
    <s v="Budget"/>
    <n v="201621"/>
    <n v="3.28"/>
    <n v="4"/>
    <n v="6183929788.2600002"/>
  </r>
  <r>
    <x v="3"/>
    <s v="Dolphin"/>
    <x v="4"/>
    <s v="Premium"/>
    <n v="83518.44"/>
    <n v="77.099999999999994"/>
    <n v="267"/>
    <n v="146"/>
    <s v="Coupe"/>
    <n v="3"/>
    <s v="China"/>
    <s v="Premium"/>
    <n v="148454"/>
    <n v="3.28"/>
    <n v="5"/>
    <n v="12398646491.76"/>
  </r>
  <r>
    <x v="5"/>
    <s v="Niro EV"/>
    <x v="4"/>
    <s v="Premium"/>
    <n v="68436.66"/>
    <n v="70"/>
    <n v="249"/>
    <n v="141"/>
    <s v="Coupe"/>
    <n v="3"/>
    <s v="South Korea"/>
    <s v="Premium"/>
    <n v="81219"/>
    <n v="3.63"/>
    <n v="3"/>
    <n v="5558357088.54"/>
  </r>
  <r>
    <x v="8"/>
    <s v="Explorer EV"/>
    <x v="4"/>
    <s v="Long Range"/>
    <n v="66402.61"/>
    <n v="90.5"/>
    <n v="334"/>
    <n v="162"/>
    <s v="Van"/>
    <n v="5"/>
    <s v="US"/>
    <s v="Premium"/>
    <n v="36517"/>
    <n v="3.69"/>
    <n v="3"/>
    <n v="2424824109.3699999"/>
  </r>
  <r>
    <x v="2"/>
    <s v="Model X"/>
    <x v="4"/>
    <s v="Performance"/>
    <n v="42932.18"/>
    <n v="99"/>
    <n v="356"/>
    <n v="192"/>
    <s v="Hatchback"/>
    <n v="5"/>
    <s v="US"/>
    <s v="Mid-range"/>
    <n v="238196"/>
    <n v="4"/>
    <n v="5"/>
    <n v="10226273547.280001"/>
  </r>
  <r>
    <x v="2"/>
    <s v="Model S"/>
    <x v="4"/>
    <s v="Premium"/>
    <n v="66707.72"/>
    <n v="45.8"/>
    <n v="150"/>
    <n v="166"/>
    <s v="Van"/>
    <n v="5"/>
    <s v="US"/>
    <s v="Premium"/>
    <n v="187104"/>
    <n v="3.23"/>
    <n v="5"/>
    <n v="12481281242.880001"/>
  </r>
  <r>
    <x v="8"/>
    <s v="Explorer EV"/>
    <x v="4"/>
    <s v="Long Range"/>
    <n v="69723.399999999994"/>
    <n v="91.5"/>
    <n v="331"/>
    <n v="180"/>
    <s v="Truck"/>
    <n v="5"/>
    <s v="US"/>
    <s v="Premium"/>
    <n v="54063"/>
    <n v="3.64"/>
    <n v="4"/>
    <n v="3769456174.1999998"/>
  </r>
  <r>
    <x v="12"/>
    <s v="Equinox EV"/>
    <x v="4"/>
    <s v="Long Range"/>
    <n v="78668.52"/>
    <n v="102.9"/>
    <n v="368"/>
    <n v="179"/>
    <s v="SUV"/>
    <n v="5"/>
    <s v="US"/>
    <s v="Premium"/>
    <n v="14020"/>
    <n v="3.97"/>
    <n v="4"/>
    <n v="1102932650.4000001"/>
  </r>
  <r>
    <x v="8"/>
    <s v="Mustang Mach-E"/>
    <x v="4"/>
    <s v="Standard"/>
    <n v="79438.2"/>
    <n v="82.5"/>
    <n v="299"/>
    <n v="149"/>
    <s v="Van"/>
    <n v="5"/>
    <s v="US"/>
    <s v="Premium"/>
    <n v="21827"/>
    <n v="3.81"/>
    <n v="3"/>
    <n v="1733897591.3999999"/>
  </r>
  <r>
    <x v="2"/>
    <s v="Model 3"/>
    <x v="4"/>
    <s v="Performance"/>
    <n v="139025.28"/>
    <n v="93.4"/>
    <n v="320"/>
    <n v="200"/>
    <s v="Coupe"/>
    <n v="4"/>
    <s v="US"/>
    <s v="Luxury"/>
    <n v="220216"/>
    <n v="4.07"/>
    <n v="5"/>
    <n v="30615591060.48"/>
  </r>
  <r>
    <x v="2"/>
    <s v="Cybertruck"/>
    <x v="4"/>
    <s v="Long Range"/>
    <n v="158925.9"/>
    <n v="82.5"/>
    <n v="291"/>
    <n v="186"/>
    <s v="Truck"/>
    <n v="5"/>
    <s v="US"/>
    <s v="Luxury"/>
    <n v="138950"/>
    <n v="3.85"/>
    <n v="6"/>
    <n v="22082753805"/>
  </r>
  <r>
    <x v="3"/>
    <s v="Leaf 50X"/>
    <x v="4"/>
    <s v="Premium"/>
    <n v="100360.19"/>
    <n v="50"/>
    <n v="193"/>
    <n v="155"/>
    <s v="Van"/>
    <n v="5"/>
    <s v="China"/>
    <s v="Luxury"/>
    <n v="137465"/>
    <n v="3.1"/>
    <n v="4"/>
    <n v="13796013518.35"/>
  </r>
  <r>
    <x v="9"/>
    <s v="i3"/>
    <x v="4"/>
    <s v="Standard"/>
    <n v="84405.92"/>
    <n v="52.5"/>
    <n v="173"/>
    <n v="169"/>
    <s v="Truck"/>
    <n v="3"/>
    <s v="Germany"/>
    <s v="Premium"/>
    <n v="42777"/>
    <n v="3.19"/>
    <n v="6"/>
    <n v="3610632039.8400002"/>
  </r>
  <r>
    <x v="4"/>
    <s v="Q6 e-tron"/>
    <x v="4"/>
    <s v="Standard"/>
    <n v="73910.789999999994"/>
    <n v="41.9"/>
    <n v="150"/>
    <n v="142"/>
    <s v="SUV"/>
    <n v="4"/>
    <s v="Germany"/>
    <s v="Premium"/>
    <n v="36319"/>
    <n v="3"/>
    <n v="5"/>
    <n v="2684365982.0099998"/>
  </r>
  <r>
    <x v="2"/>
    <s v="Cybertruck"/>
    <x v="4"/>
    <s v="Base"/>
    <n v="38394.15"/>
    <n v="47.7"/>
    <n v="189"/>
    <n v="169"/>
    <s v="Truck"/>
    <n v="3"/>
    <s v="US"/>
    <s v="Mid-range"/>
    <n v="246203"/>
    <n v="3.51"/>
    <n v="4"/>
    <n v="9452754912.4500008"/>
  </r>
  <r>
    <x v="12"/>
    <s v="Blazer EV"/>
    <x v="4"/>
    <s v="Long Range"/>
    <n v="76560.479999999996"/>
    <n v="82.9"/>
    <n v="300"/>
    <n v="184"/>
    <s v="Van"/>
    <n v="4"/>
    <s v="US"/>
    <s v="Premium"/>
    <n v="12139"/>
    <n v="3.5"/>
    <n v="4"/>
    <n v="929367666.71999991"/>
  </r>
  <r>
    <x v="6"/>
    <s v="Ioniq"/>
    <x v="4"/>
    <s v="Standard"/>
    <n v="44654.99"/>
    <n v="65.400000000000006"/>
    <n v="223"/>
    <n v="146"/>
    <s v="SUV"/>
    <n v="4"/>
    <s v="South Korea"/>
    <s v="Mid-range"/>
    <n v="128091"/>
    <n v="3"/>
    <n v="4"/>
    <n v="5719902324.0900002"/>
  </r>
  <r>
    <x v="2"/>
    <s v="Cybertruck"/>
    <x v="4"/>
    <s v="Performance"/>
    <n v="177944.09"/>
    <n v="93"/>
    <n v="295"/>
    <n v="193"/>
    <s v="Truck"/>
    <n v="3"/>
    <s v="US"/>
    <s v="Luxury"/>
    <n v="234160"/>
    <n v="3.91"/>
    <n v="6"/>
    <n v="41667388114.400002"/>
  </r>
  <r>
    <x v="2"/>
    <s v="Cybertruck"/>
    <x v="4"/>
    <s v="Base"/>
    <n v="59967.87"/>
    <n v="70"/>
    <n v="238"/>
    <n v="159"/>
    <s v="Truck"/>
    <n v="4"/>
    <s v="US"/>
    <s v="Mid-range"/>
    <n v="228933"/>
    <n v="3.44"/>
    <n v="5"/>
    <n v="13728624382.710001"/>
  </r>
  <r>
    <x v="9"/>
    <s v="iX"/>
    <x v="4"/>
    <s v="Performance"/>
    <n v="84125.95"/>
    <n v="98.9"/>
    <n v="363"/>
    <n v="192"/>
    <s v="Hatchback"/>
    <n v="5"/>
    <s v="Germany"/>
    <s v="Premium"/>
    <n v="33561"/>
    <n v="3.47"/>
    <n v="7"/>
    <n v="2823351007.9499998"/>
  </r>
  <r>
    <x v="7"/>
    <s v="ID.3"/>
    <x v="4"/>
    <s v="Performance"/>
    <n v="50097.49"/>
    <n v="98.3"/>
    <n v="341"/>
    <n v="200"/>
    <s v="Van"/>
    <n v="3"/>
    <s v="Germany"/>
    <s v="Mid-range"/>
    <n v="263009"/>
    <n v="3.76"/>
    <n v="5"/>
    <n v="13176090747.41"/>
  </r>
  <r>
    <x v="12"/>
    <s v="Bolt EUV"/>
    <x v="4"/>
    <s v="Premium"/>
    <n v="43668.28"/>
    <n v="79.400000000000006"/>
    <n v="284"/>
    <n v="120"/>
    <s v="Truck"/>
    <n v="4"/>
    <s v="US"/>
    <s v="Mid-range"/>
    <n v="1211"/>
    <n v="3.34"/>
    <n v="3"/>
    <n v="52882287.079999998"/>
  </r>
  <r>
    <x v="8"/>
    <s v="F-150 Lightning"/>
    <x v="4"/>
    <s v="Long Range"/>
    <n v="54997.37"/>
    <n v="100.7"/>
    <n v="353"/>
    <n v="183"/>
    <s v="Truck"/>
    <n v="5"/>
    <s v="US"/>
    <s v="Mid-range"/>
    <n v="49671"/>
    <n v="3.66"/>
    <n v="3"/>
    <n v="2731774365.27"/>
  </r>
  <r>
    <x v="4"/>
    <s v="Q6 e-tron"/>
    <x v="4"/>
    <s v="Long Range"/>
    <n v="130606.12"/>
    <n v="106.6"/>
    <n v="385"/>
    <n v="169"/>
    <s v="SUV"/>
    <n v="5"/>
    <s v="Germany"/>
    <s v="Luxury"/>
    <n v="39897"/>
    <n v="3.7"/>
    <n v="7"/>
    <n v="5210792369.6399994"/>
  </r>
  <r>
    <x v="3"/>
    <s v="Atto 3"/>
    <x v="4"/>
    <s v="Long Range"/>
    <n v="47823.41"/>
    <n v="77.2"/>
    <n v="258"/>
    <n v="182"/>
    <s v="Coupe"/>
    <n v="5"/>
    <s v="China"/>
    <s v="Mid-range"/>
    <n v="108045"/>
    <n v="3.61"/>
    <n v="4"/>
    <n v="5167080333.4500008"/>
  </r>
  <r>
    <x v="3"/>
    <s v="Qin"/>
    <x v="4"/>
    <s v="Standard"/>
    <n v="21712.400000000001"/>
    <n v="83.3"/>
    <n v="307"/>
    <n v="171"/>
    <s v="Van"/>
    <n v="4"/>
    <s v="China"/>
    <s v="Budget"/>
    <n v="169389"/>
    <n v="3.37"/>
    <n v="3"/>
    <n v="3677841723.6000004"/>
  </r>
  <r>
    <x v="7"/>
    <s v="ID. Aero"/>
    <x v="4"/>
    <s v="Long Range"/>
    <n v="54335.65"/>
    <n v="77.599999999999994"/>
    <n v="286"/>
    <n v="186"/>
    <s v="Sedan"/>
    <n v="5"/>
    <s v="Germany"/>
    <s v="Mid-range"/>
    <n v="284565"/>
    <n v="3.65"/>
    <n v="3"/>
    <n v="15462024242.25"/>
  </r>
  <r>
    <x v="8"/>
    <s v="Explorer EV"/>
    <x v="4"/>
    <s v="Base"/>
    <n v="53737.95"/>
    <n v="61.5"/>
    <n v="226"/>
    <n v="152"/>
    <s v="Sedan"/>
    <n v="3"/>
    <s v="US"/>
    <s v="Mid-range"/>
    <n v="62660"/>
    <n v="3.28"/>
    <n v="3"/>
    <n v="3367219947"/>
  </r>
  <r>
    <x v="2"/>
    <s v="Model Y"/>
    <x v="4"/>
    <s v="Base"/>
    <n v="105607.38"/>
    <n v="44.4"/>
    <n v="150"/>
    <n v="163"/>
    <s v="Van"/>
    <n v="4"/>
    <s v="US"/>
    <s v="Luxury"/>
    <n v="422392"/>
    <n v="3.52"/>
    <n v="5"/>
    <n v="44607712452.959999"/>
  </r>
  <r>
    <x v="2"/>
    <s v="Model 3"/>
    <x v="4"/>
    <s v="Long Range"/>
    <n v="138760.95999999999"/>
    <n v="99.4"/>
    <n v="376"/>
    <n v="175"/>
    <s v="Sedan"/>
    <n v="5"/>
    <s v="US"/>
    <s v="Luxury"/>
    <n v="204411"/>
    <n v="3.95"/>
    <n v="5"/>
    <n v="28364266594.559998"/>
  </r>
  <r>
    <x v="3"/>
    <s v="Dolphin"/>
    <x v="4"/>
    <s v="Premium"/>
    <n v="89340.39"/>
    <n v="64.599999999999994"/>
    <n v="223"/>
    <n v="132"/>
    <s v="Van"/>
    <n v="5"/>
    <s v="China"/>
    <s v="Premium"/>
    <n v="229760"/>
    <n v="3.35"/>
    <n v="4"/>
    <n v="20526848006.400002"/>
  </r>
  <r>
    <x v="6"/>
    <s v="Ioniq"/>
    <x v="4"/>
    <s v="Base"/>
    <n v="29445.040000000001"/>
    <n v="64.2"/>
    <n v="222"/>
    <n v="173"/>
    <s v="Hatchback"/>
    <n v="5"/>
    <s v="South Korea"/>
    <s v="Budget"/>
    <n v="53245"/>
    <n v="3.2"/>
    <n v="3"/>
    <n v="1567801154.8"/>
  </r>
  <r>
    <x v="2"/>
    <s v="Cybertruck"/>
    <x v="4"/>
    <s v="Long Range"/>
    <n v="57586.87"/>
    <n v="108.4"/>
    <n v="364"/>
    <n v="163"/>
    <s v="Truck"/>
    <n v="4"/>
    <s v="US"/>
    <s v="Mid-range"/>
    <n v="136381"/>
    <n v="3.84"/>
    <n v="4"/>
    <n v="7853754917.4700003"/>
  </r>
  <r>
    <x v="4"/>
    <s v="Q6 e-tron"/>
    <x v="4"/>
    <s v="Standard"/>
    <n v="112837.91"/>
    <n v="61"/>
    <n v="222"/>
    <n v="144"/>
    <s v="Sedan"/>
    <n v="3"/>
    <s v="Germany"/>
    <s v="Luxury"/>
    <n v="45029"/>
    <n v="3.56"/>
    <n v="8"/>
    <n v="5080978249.3900003"/>
  </r>
  <r>
    <x v="2"/>
    <s v="Model Y"/>
    <x v="4"/>
    <s v="Base"/>
    <n v="40219.61"/>
    <n v="80.099999999999994"/>
    <n v="308"/>
    <n v="171"/>
    <s v="Coupe"/>
    <n v="5"/>
    <s v="US"/>
    <s v="Mid-range"/>
    <n v="429025"/>
    <n v="3.73"/>
    <n v="5"/>
    <n v="17255218180.25"/>
  </r>
  <r>
    <x v="15"/>
    <s v="Taycan"/>
    <x v="4"/>
    <s v="Premium"/>
    <n v="142936.98000000001"/>
    <n v="54.2"/>
    <n v="186"/>
    <n v="130"/>
    <s v="SUV"/>
    <n v="5"/>
    <s v="Germany"/>
    <s v="Luxury"/>
    <n v="23751"/>
    <n v="3.87"/>
    <n v="5"/>
    <n v="3394896211.98"/>
  </r>
  <r>
    <x v="3"/>
    <s v="Qin"/>
    <x v="4"/>
    <s v="Performance"/>
    <n v="99381.36"/>
    <n v="80.7"/>
    <n v="289"/>
    <n v="200"/>
    <s v="Truck"/>
    <n v="4"/>
    <s v="China"/>
    <s v="Premium"/>
    <n v="152043"/>
    <n v="3.48"/>
    <n v="4"/>
    <n v="15110240118.48"/>
  </r>
  <r>
    <x v="9"/>
    <s v="i3"/>
    <x v="4"/>
    <s v="Premium"/>
    <n v="109123.19"/>
    <n v="75.8"/>
    <n v="284"/>
    <n v="136"/>
    <s v="Van"/>
    <n v="5"/>
    <s v="Germany"/>
    <s v="Luxury"/>
    <n v="54152"/>
    <n v="3.63"/>
    <n v="8"/>
    <n v="5909238984.8800001"/>
  </r>
  <r>
    <x v="3"/>
    <s v="Seagull"/>
    <x v="4"/>
    <s v="Base"/>
    <n v="19470.990000000002"/>
    <n v="82.7"/>
    <n v="291"/>
    <n v="159"/>
    <s v="Truck"/>
    <n v="3"/>
    <s v="China"/>
    <s v="Budget"/>
    <n v="210937"/>
    <n v="3.48"/>
    <n v="3"/>
    <n v="4107152217.6300001"/>
  </r>
  <r>
    <x v="13"/>
    <s v="GLE EV"/>
    <x v="4"/>
    <s v="Premium"/>
    <n v="194076.68"/>
    <n v="41.1"/>
    <n v="160"/>
    <n v="136"/>
    <s v="Hatchback"/>
    <n v="3"/>
    <s v="Germany"/>
    <s v="Luxury"/>
    <n v="69583"/>
    <n v="3.65"/>
    <n v="7"/>
    <n v="13504437624.439999"/>
  </r>
  <r>
    <x v="2"/>
    <s v="Model Y"/>
    <x v="4"/>
    <s v="Standard"/>
    <n v="31623.119999999999"/>
    <n v="77.5"/>
    <n v="246"/>
    <n v="165"/>
    <s v="Hatchback"/>
    <n v="5"/>
    <s v="US"/>
    <s v="Budget"/>
    <n v="457458"/>
    <n v="3.75"/>
    <n v="5"/>
    <n v="14466249228.959999"/>
  </r>
  <r>
    <x v="3"/>
    <s v="Leaf 50X"/>
    <x v="4"/>
    <s v="Base"/>
    <n v="77144.36"/>
    <n v="70.900000000000006"/>
    <n v="259"/>
    <n v="137"/>
    <s v="Hatchback"/>
    <n v="4"/>
    <s v="China"/>
    <s v="Premium"/>
    <n v="140199"/>
    <n v="3.58"/>
    <n v="5"/>
    <n v="10815562127.639999"/>
  </r>
  <r>
    <x v="3"/>
    <s v="Leaf 50X"/>
    <x v="4"/>
    <s v="Standard"/>
    <n v="55111.29"/>
    <n v="68.400000000000006"/>
    <n v="223"/>
    <n v="171"/>
    <s v="Hatchback"/>
    <n v="4"/>
    <s v="China"/>
    <s v="Mid-range"/>
    <n v="112631"/>
    <n v="3.46"/>
    <n v="5"/>
    <n v="6207239703.9899998"/>
  </r>
  <r>
    <x v="5"/>
    <s v="EV9"/>
    <x v="4"/>
    <s v="Premium"/>
    <n v="65472.17"/>
    <n v="78.2"/>
    <n v="224"/>
    <n v="133"/>
    <s v="SUV"/>
    <n v="4"/>
    <s v="South Korea"/>
    <s v="Premium"/>
    <n v="60682"/>
    <n v="3.3"/>
    <n v="3"/>
    <n v="3972982219.9400001"/>
  </r>
  <r>
    <x v="2"/>
    <s v="Model S"/>
    <x v="4"/>
    <s v="Performance"/>
    <n v="119857.21"/>
    <n v="83.5"/>
    <n v="307"/>
    <n v="200"/>
    <s v="Truck"/>
    <n v="4"/>
    <s v="US"/>
    <s v="Luxury"/>
    <n v="142701"/>
    <n v="4.1399999999999997"/>
    <n v="5"/>
    <n v="17103743724.210001"/>
  </r>
  <r>
    <x v="8"/>
    <s v="Explorer EV"/>
    <x v="4"/>
    <s v="Performance"/>
    <n v="105603.42"/>
    <n v="114.4"/>
    <n v="427"/>
    <n v="200"/>
    <s v="Van"/>
    <n v="4"/>
    <s v="US"/>
    <s v="Luxury"/>
    <n v="31600"/>
    <n v="4.03"/>
    <n v="5"/>
    <n v="3337068072"/>
  </r>
  <r>
    <x v="9"/>
    <s v="i7"/>
    <x v="4"/>
    <s v="Long Range"/>
    <n v="93724.2"/>
    <n v="100"/>
    <n v="326"/>
    <n v="188"/>
    <s v="Van"/>
    <n v="4"/>
    <s v="Germany"/>
    <s v="Premium"/>
    <n v="36760"/>
    <n v="3.63"/>
    <n v="6"/>
    <n v="3445301592"/>
  </r>
  <r>
    <x v="3"/>
    <s v="Seagull"/>
    <x v="4"/>
    <s v="Standard"/>
    <n v="32276.7"/>
    <n v="53.8"/>
    <n v="220"/>
    <n v="142"/>
    <s v="Hatchback"/>
    <n v="5"/>
    <s v="China"/>
    <s v="Budget"/>
    <n v="236029"/>
    <n v="3.7"/>
    <n v="4"/>
    <n v="7618237224.3000002"/>
  </r>
  <r>
    <x v="12"/>
    <s v="Bolt EV"/>
    <x v="4"/>
    <s v="Standard"/>
    <n v="61070.92"/>
    <n v="75.7"/>
    <n v="280"/>
    <n v="156"/>
    <s v="Hatchback"/>
    <n v="5"/>
    <s v="US"/>
    <s v="Mid-range"/>
    <n v="2434"/>
    <n v="3.31"/>
    <n v="4"/>
    <n v="148646619.28"/>
  </r>
  <r>
    <x v="12"/>
    <s v="Bolt EV"/>
    <x v="4"/>
    <s v="Base"/>
    <n v="56305.37"/>
    <n v="52"/>
    <n v="170"/>
    <n v="149"/>
    <s v="Van"/>
    <n v="4"/>
    <s v="US"/>
    <s v="Mid-range"/>
    <n v="2728"/>
    <n v="3.2"/>
    <n v="5"/>
    <n v="153601049.36000001"/>
  </r>
  <r>
    <x v="5"/>
    <s v="EV6"/>
    <x v="4"/>
    <s v="Standard"/>
    <n v="44920.54"/>
    <n v="57.9"/>
    <n v="198"/>
    <n v="122"/>
    <s v="Truck"/>
    <n v="5"/>
    <s v="South Korea"/>
    <s v="Mid-range"/>
    <n v="145791"/>
    <n v="3"/>
    <n v="5"/>
    <n v="6549010447.1400003"/>
  </r>
  <r>
    <x v="2"/>
    <s v="Cybertruck"/>
    <x v="4"/>
    <s v="Premium"/>
    <n v="47891.48"/>
    <n v="42.5"/>
    <n v="164"/>
    <n v="175"/>
    <s v="Truck"/>
    <n v="3"/>
    <s v="US"/>
    <s v="Mid-range"/>
    <n v="118665"/>
    <n v="3.65"/>
    <n v="6"/>
    <n v="5683042474.2000008"/>
  </r>
  <r>
    <x v="1"/>
    <s v="Ronin"/>
    <x v="4"/>
    <s v="Premium"/>
    <n v="67456.63"/>
    <n v="41.7"/>
    <n v="150"/>
    <n v="169"/>
    <s v="Coupe"/>
    <n v="4"/>
    <s v="US"/>
    <s v="Premium"/>
    <n v="20333"/>
    <n v="3.29"/>
    <n v="4"/>
    <n v="1371595657.7900002"/>
  </r>
  <r>
    <x v="6"/>
    <s v="Ioniq 5"/>
    <x v="4"/>
    <s v="Long Range"/>
    <n v="83570.149999999994"/>
    <n v="78.5"/>
    <n v="258"/>
    <n v="189"/>
    <s v="Coupe"/>
    <n v="5"/>
    <s v="South Korea"/>
    <s v="Premium"/>
    <n v="145959"/>
    <n v="3.37"/>
    <n v="4"/>
    <n v="12197815523.849998"/>
  </r>
  <r>
    <x v="3"/>
    <s v="Yuan Plus"/>
    <x v="4"/>
    <s v="Premium"/>
    <n v="107358.88"/>
    <n v="58.4"/>
    <n v="205"/>
    <n v="132"/>
    <s v="Coupe"/>
    <n v="3"/>
    <s v="China"/>
    <s v="Luxury"/>
    <n v="110469"/>
    <n v="3.56"/>
    <n v="4"/>
    <n v="11859828114.720001"/>
  </r>
  <r>
    <x v="7"/>
    <s v="ID. Aero"/>
    <x v="4"/>
    <s v="Long Range"/>
    <n v="59514"/>
    <n v="103.6"/>
    <n v="337"/>
    <n v="183"/>
    <s v="SUV"/>
    <n v="4"/>
    <s v="Germany"/>
    <s v="Mid-range"/>
    <n v="230145"/>
    <n v="3.7"/>
    <n v="3"/>
    <n v="13696849530"/>
  </r>
  <r>
    <x v="11"/>
    <s v="R2"/>
    <x v="4"/>
    <s v="Standard"/>
    <n v="84156.92"/>
    <n v="68.400000000000006"/>
    <n v="226"/>
    <n v="165"/>
    <s v="Coupe"/>
    <n v="4"/>
    <s v="US"/>
    <s v="Premium"/>
    <n v="29685"/>
    <n v="3.44"/>
    <n v="4"/>
    <n v="2498198170.1999998"/>
  </r>
  <r>
    <x v="7"/>
    <s v="ID.5"/>
    <x v="4"/>
    <s v="Base"/>
    <n v="39960.53"/>
    <n v="63.9"/>
    <n v="252"/>
    <n v="165"/>
    <s v="Sedan"/>
    <n v="4"/>
    <s v="Germany"/>
    <s v="Mid-range"/>
    <n v="212818"/>
    <n v="3.48"/>
    <n v="3"/>
    <n v="8504320073.54"/>
  </r>
  <r>
    <x v="1"/>
    <s v="Ronin"/>
    <x v="4"/>
    <s v="Long Range"/>
    <n v="115878.52"/>
    <n v="94.5"/>
    <n v="334"/>
    <n v="166"/>
    <s v="Truck"/>
    <n v="4"/>
    <s v="US"/>
    <s v="Luxury"/>
    <n v="6077"/>
    <n v="3.64"/>
    <n v="5"/>
    <n v="704193766.04000008"/>
  </r>
  <r>
    <x v="0"/>
    <s v="bZ Compact SUV"/>
    <x v="4"/>
    <s v="Long Range"/>
    <n v="64461.760000000002"/>
    <n v="85.4"/>
    <n v="288"/>
    <n v="180"/>
    <s v="SUV"/>
    <n v="4"/>
    <s v="Japan"/>
    <s v="Mid-range"/>
    <n v="1214"/>
    <n v="3.76"/>
    <n v="4"/>
    <n v="78256576.640000001"/>
  </r>
  <r>
    <x v="6"/>
    <s v="Ioniq"/>
    <x v="4"/>
    <s v="Base"/>
    <n v="50276.57"/>
    <n v="73.2"/>
    <n v="241"/>
    <n v="138"/>
    <s v="Van"/>
    <n v="3"/>
    <s v="South Korea"/>
    <s v="Mid-range"/>
    <n v="126203"/>
    <n v="3.42"/>
    <n v="4"/>
    <n v="6345053963.71"/>
  </r>
  <r>
    <x v="3"/>
    <s v="Leaf 50X"/>
    <x v="4"/>
    <s v="Performance"/>
    <n v="118468.84"/>
    <n v="86.8"/>
    <n v="291"/>
    <n v="200"/>
    <s v="Coupe"/>
    <n v="4"/>
    <s v="China"/>
    <s v="Luxury"/>
    <n v="209498"/>
    <n v="3.76"/>
    <n v="3"/>
    <n v="24818985042.32"/>
  </r>
  <r>
    <x v="8"/>
    <s v="Mustang Mach-E"/>
    <x v="4"/>
    <s v="Base"/>
    <n v="52120.46"/>
    <n v="64.5"/>
    <n v="208"/>
    <n v="181"/>
    <s v="Coupe"/>
    <n v="4"/>
    <s v="US"/>
    <s v="Mid-range"/>
    <n v="29029"/>
    <n v="3.16"/>
    <n v="4"/>
    <n v="1513004833.3399999"/>
  </r>
  <r>
    <x v="13"/>
    <s v="EQC"/>
    <x v="4"/>
    <s v="Long Range"/>
    <n v="169395.24"/>
    <n v="99.7"/>
    <n v="323"/>
    <n v="172"/>
    <s v="Truck"/>
    <n v="3"/>
    <s v="Germany"/>
    <s v="Luxury"/>
    <n v="60151"/>
    <n v="3.87"/>
    <n v="7"/>
    <n v="10189293081.24"/>
  </r>
  <r>
    <x v="6"/>
    <s v="Ioniq"/>
    <x v="4"/>
    <s v="Performance"/>
    <n v="50087.55"/>
    <n v="104.8"/>
    <n v="362"/>
    <n v="188"/>
    <s v="Truck"/>
    <n v="5"/>
    <s v="South Korea"/>
    <s v="Mid-range"/>
    <n v="62703"/>
    <n v="3.86"/>
    <n v="3"/>
    <n v="3140639647.6500001"/>
  </r>
  <r>
    <x v="3"/>
    <s v="Max"/>
    <x v="4"/>
    <s v="Base"/>
    <n v="36467.370000000003"/>
    <n v="45"/>
    <n v="150"/>
    <n v="169"/>
    <s v="Coupe"/>
    <n v="4"/>
    <s v="China"/>
    <s v="Mid-range"/>
    <n v="220450"/>
    <n v="3.22"/>
    <n v="4"/>
    <n v="8039231716.500001"/>
  </r>
  <r>
    <x v="13"/>
    <s v="GLE EV"/>
    <x v="4"/>
    <s v="Base"/>
    <n v="116775.93"/>
    <n v="78.599999999999994"/>
    <n v="259"/>
    <n v="166"/>
    <s v="Hatchback"/>
    <n v="4"/>
    <s v="Germany"/>
    <s v="Luxury"/>
    <n v="43904"/>
    <n v="3.6"/>
    <n v="6"/>
    <n v="5126930430.7199993"/>
  </r>
  <r>
    <x v="7"/>
    <s v="ID.3"/>
    <x v="4"/>
    <s v="Premium"/>
    <n v="98791.59"/>
    <n v="77"/>
    <n v="250"/>
    <n v="133"/>
    <s v="Hatchback"/>
    <n v="5"/>
    <s v="Germany"/>
    <s v="Premium"/>
    <n v="289215"/>
    <n v="3.46"/>
    <n v="4"/>
    <n v="28572009701.849998"/>
  </r>
  <r>
    <x v="6"/>
    <s v="Kona Electric"/>
    <x v="4"/>
    <s v="Premium"/>
    <n v="75053.58"/>
    <n v="43"/>
    <n v="154"/>
    <n v="150"/>
    <s v="Truck"/>
    <n v="4"/>
    <s v="South Korea"/>
    <s v="Premium"/>
    <n v="86699"/>
    <n v="3.36"/>
    <n v="4"/>
    <n v="6507070332.4200001"/>
  </r>
  <r>
    <x v="3"/>
    <s v="Max"/>
    <x v="4"/>
    <s v="Standard"/>
    <n v="39727.71"/>
    <n v="45.3"/>
    <n v="154"/>
    <n v="170"/>
    <s v="Van"/>
    <n v="4"/>
    <s v="China"/>
    <s v="Mid-range"/>
    <n v="139199"/>
    <n v="3.11"/>
    <n v="5"/>
    <n v="5530057504.29"/>
  </r>
  <r>
    <x v="6"/>
    <s v="Ioniq 5"/>
    <x v="4"/>
    <s v="Premium"/>
    <n v="80948.92"/>
    <n v="68.599999999999994"/>
    <n v="262"/>
    <n v="162"/>
    <s v="Van"/>
    <n v="5"/>
    <s v="South Korea"/>
    <s v="Premium"/>
    <n v="134570"/>
    <n v="3.64"/>
    <n v="3"/>
    <n v="10893296164.4"/>
  </r>
  <r>
    <x v="3"/>
    <s v="Qin"/>
    <x v="4"/>
    <s v="Premium"/>
    <n v="67622.89"/>
    <n v="80.400000000000006"/>
    <n v="289"/>
    <n v="131"/>
    <s v="Hatchback"/>
    <n v="4"/>
    <s v="China"/>
    <s v="Premium"/>
    <n v="235660"/>
    <n v="3.57"/>
    <n v="5"/>
    <n v="15936010257.4"/>
  </r>
  <r>
    <x v="3"/>
    <s v="Leaf 50X"/>
    <x v="4"/>
    <s v="Base"/>
    <n v="56388.91"/>
    <n v="73.7"/>
    <n v="242"/>
    <n v="156"/>
    <s v="Sedan"/>
    <n v="5"/>
    <s v="China"/>
    <s v="Mid-range"/>
    <n v="205113"/>
    <n v="3.4"/>
    <n v="4"/>
    <n v="11566098496.83"/>
  </r>
  <r>
    <x v="2"/>
    <s v="Cybertruck"/>
    <x v="4"/>
    <s v="Base"/>
    <n v="37365.06"/>
    <n v="44.7"/>
    <n v="150"/>
    <n v="169"/>
    <s v="Truck"/>
    <n v="5"/>
    <s v="US"/>
    <s v="Mid-range"/>
    <n v="220616"/>
    <n v="3.81"/>
    <n v="5"/>
    <n v="8243330076.9599991"/>
  </r>
  <r>
    <x v="3"/>
    <s v="Leaf 50X"/>
    <x v="4"/>
    <s v="Base"/>
    <n v="76472.570000000007"/>
    <n v="67.2"/>
    <n v="227"/>
    <n v="139"/>
    <s v="Van"/>
    <n v="4"/>
    <s v="China"/>
    <s v="Premium"/>
    <n v="191416"/>
    <n v="3.33"/>
    <n v="4"/>
    <n v="14638073459.120001"/>
  </r>
  <r>
    <x v="3"/>
    <s v="Seagull"/>
    <x v="4"/>
    <s v="Performance"/>
    <n v="117281.9"/>
    <n v="115.7"/>
    <n v="431"/>
    <n v="195"/>
    <s v="Sedan"/>
    <n v="3"/>
    <s v="China"/>
    <s v="Luxury"/>
    <n v="111137"/>
    <n v="3.92"/>
    <n v="3"/>
    <n v="13034358520.299999"/>
  </r>
  <r>
    <x v="6"/>
    <s v="Kona Electric"/>
    <x v="4"/>
    <s v="Base"/>
    <n v="52223.31"/>
    <n v="42.1"/>
    <n v="150"/>
    <n v="161"/>
    <s v="Van"/>
    <n v="4"/>
    <s v="South Korea"/>
    <s v="Mid-range"/>
    <n v="89573"/>
    <n v="3.43"/>
    <n v="3"/>
    <n v="4677798546.6300001"/>
  </r>
  <r>
    <x v="9"/>
    <s v="i5"/>
    <x v="4"/>
    <s v="Performance"/>
    <n v="76696.39"/>
    <n v="87.4"/>
    <n v="313"/>
    <n v="192"/>
    <s v="SUV"/>
    <n v="5"/>
    <s v="Germany"/>
    <s v="Premium"/>
    <n v="21525"/>
    <n v="3.69"/>
    <n v="5"/>
    <n v="1650889794.75"/>
  </r>
  <r>
    <x v="13"/>
    <s v="EQS"/>
    <x v="4"/>
    <s v="Premium"/>
    <n v="99625.48"/>
    <n v="81.2"/>
    <n v="306"/>
    <n v="153"/>
    <s v="SUV"/>
    <n v="4"/>
    <s v="Germany"/>
    <s v="Premium"/>
    <n v="71016"/>
    <n v="3.79"/>
    <n v="7"/>
    <n v="7075003087.6799994"/>
  </r>
  <r>
    <x v="2"/>
    <s v="Model Y"/>
    <x v="4"/>
    <s v="Standard"/>
    <n v="110939.31"/>
    <n v="48.7"/>
    <n v="160"/>
    <n v="169"/>
    <s v="Coupe"/>
    <n v="4"/>
    <s v="US"/>
    <s v="Luxury"/>
    <n v="456268"/>
    <n v="3.43"/>
    <n v="6"/>
    <n v="50618057095.080002"/>
  </r>
  <r>
    <x v="9"/>
    <s v="i3"/>
    <x v="4"/>
    <s v="Premium"/>
    <n v="69442.009999999995"/>
    <n v="54.1"/>
    <n v="193"/>
    <n v="169"/>
    <s v="Van"/>
    <n v="4"/>
    <s v="Germany"/>
    <s v="Premium"/>
    <n v="51378"/>
    <n v="3.2"/>
    <n v="5"/>
    <n v="3567791589.7799997"/>
  </r>
  <r>
    <x v="5"/>
    <s v="Picanto EV"/>
    <x v="4"/>
    <s v="Premium"/>
    <n v="56096.47"/>
    <n v="47.3"/>
    <n v="176"/>
    <n v="159"/>
    <s v="Coupe"/>
    <n v="3"/>
    <s v="South Korea"/>
    <s v="Mid-range"/>
    <n v="113782"/>
    <n v="3.4"/>
    <n v="3"/>
    <n v="6382768549.54"/>
  </r>
  <r>
    <x v="14"/>
    <s v="EL8"/>
    <x v="4"/>
    <s v="Base"/>
    <n v="82536.87"/>
    <n v="69.7"/>
    <n v="264"/>
    <n v="127"/>
    <s v="Truck"/>
    <n v="5"/>
    <s v="China"/>
    <s v="Premium"/>
    <n v="17477"/>
    <n v="3.38"/>
    <n v="5"/>
    <n v="1442496876.99"/>
  </r>
  <r>
    <x v="6"/>
    <s v="Ioniq 6"/>
    <x v="4"/>
    <s v="Base"/>
    <n v="54234.95"/>
    <n v="58.4"/>
    <n v="217"/>
    <n v="132"/>
    <s v="Truck"/>
    <n v="5"/>
    <s v="South Korea"/>
    <s v="Mid-range"/>
    <n v="136935"/>
    <n v="3.41"/>
    <n v="4"/>
    <n v="7426662878.25"/>
  </r>
  <r>
    <x v="0"/>
    <s v="bZ Compact SUV"/>
    <x v="4"/>
    <s v="Base"/>
    <n v="62799.62"/>
    <n v="80.2"/>
    <n v="271"/>
    <n v="143"/>
    <s v="SUV"/>
    <n v="4"/>
    <s v="Japan"/>
    <s v="Mid-range"/>
    <n v="8458"/>
    <n v="3.67"/>
    <n v="4"/>
    <n v="531159185.96000004"/>
  </r>
  <r>
    <x v="2"/>
    <s v="Cybertruck"/>
    <x v="4"/>
    <s v="Standard"/>
    <n v="130803.06"/>
    <n v="83.1"/>
    <n v="289"/>
    <n v="150"/>
    <s v="Truck"/>
    <n v="4"/>
    <s v="US"/>
    <s v="Luxury"/>
    <n v="105012"/>
    <n v="4.03"/>
    <n v="6"/>
    <n v="13735890936.719999"/>
  </r>
  <r>
    <x v="2"/>
    <s v="Model Y"/>
    <x v="4"/>
    <s v="Long Range"/>
    <n v="85409.4"/>
    <n v="94.6"/>
    <n v="338"/>
    <n v="167"/>
    <s v="Sedan"/>
    <n v="4"/>
    <s v="US"/>
    <s v="Premium"/>
    <n v="497556"/>
    <n v="4.0599999999999996"/>
    <n v="5"/>
    <n v="42495959426.399994"/>
  </r>
  <r>
    <x v="2"/>
    <s v="Model Y"/>
    <x v="4"/>
    <s v="Base"/>
    <n v="43315.76"/>
    <n v="61.7"/>
    <n v="224"/>
    <n v="136"/>
    <s v="Sedan"/>
    <n v="5"/>
    <s v="US"/>
    <s v="Mid-range"/>
    <n v="424937"/>
    <n v="3.73"/>
    <n v="6"/>
    <n v="18406469107.120003"/>
  </r>
  <r>
    <x v="2"/>
    <s v="Model X"/>
    <x v="4"/>
    <s v="Standard"/>
    <n v="79315.78"/>
    <n v="60.6"/>
    <n v="195"/>
    <n v="164"/>
    <s v="Truck"/>
    <n v="5"/>
    <s v="US"/>
    <s v="Premium"/>
    <n v="122128"/>
    <n v="3.66"/>
    <n v="4"/>
    <n v="9686677579.8400002"/>
  </r>
  <r>
    <x v="4"/>
    <s v="e-tron"/>
    <x v="4"/>
    <s v="Long Range"/>
    <n v="130131.59"/>
    <n v="94"/>
    <n v="322"/>
    <n v="163"/>
    <s v="Sedan"/>
    <n v="4"/>
    <s v="Germany"/>
    <s v="Luxury"/>
    <n v="36875"/>
    <n v="3.63"/>
    <n v="8"/>
    <n v="4798602381.25"/>
  </r>
  <r>
    <x v="12"/>
    <s v="Bolt EV"/>
    <x v="4"/>
    <s v="Long Range"/>
    <n v="56344.05"/>
    <n v="94.4"/>
    <n v="351"/>
    <n v="176"/>
    <s v="Coupe"/>
    <n v="5"/>
    <s v="US"/>
    <s v="Mid-range"/>
    <n v="12802"/>
    <n v="3.81"/>
    <n v="4"/>
    <n v="721316528.10000002"/>
  </r>
  <r>
    <x v="8"/>
    <s v="F-150 Lightning"/>
    <x v="4"/>
    <s v="Standard"/>
    <n v="59797.58"/>
    <n v="46.4"/>
    <n v="171"/>
    <n v="154"/>
    <s v="Truck"/>
    <n v="4"/>
    <s v="US"/>
    <s v="Mid-range"/>
    <n v="57357"/>
    <n v="3.14"/>
    <n v="4"/>
    <n v="3429809796.0599999"/>
  </r>
  <r>
    <x v="8"/>
    <s v="E-Transit"/>
    <x v="4"/>
    <s v="Performance"/>
    <n v="98104.320000000007"/>
    <n v="80.3"/>
    <n v="266"/>
    <n v="181"/>
    <s v="Van"/>
    <n v="4"/>
    <s v="US"/>
    <s v="Premium"/>
    <n v="47356"/>
    <n v="3.62"/>
    <n v="4"/>
    <n v="4645828177.9200001"/>
  </r>
  <r>
    <x v="7"/>
    <s v="ID.3"/>
    <x v="4"/>
    <s v="Base"/>
    <n v="32753.54"/>
    <n v="42.3"/>
    <n v="178"/>
    <n v="139"/>
    <s v="Truck"/>
    <n v="5"/>
    <s v="Germany"/>
    <s v="Budget"/>
    <n v="224478"/>
    <n v="3.16"/>
    <n v="3"/>
    <n v="7352449152.1199999"/>
  </r>
  <r>
    <x v="11"/>
    <s v="R1S"/>
    <x v="4"/>
    <s v="Long Range"/>
    <n v="99040.38"/>
    <n v="77.599999999999994"/>
    <n v="294"/>
    <n v="169"/>
    <s v="Coupe"/>
    <n v="5"/>
    <s v="US"/>
    <s v="Premium"/>
    <n v="10950"/>
    <n v="3.77"/>
    <n v="6"/>
    <n v="1084492161"/>
  </r>
  <r>
    <x v="4"/>
    <s v="e-tron"/>
    <x v="4"/>
    <s v="Long Range"/>
    <n v="92779.16"/>
    <n v="80"/>
    <n v="260"/>
    <n v="178"/>
    <s v="Hatchback"/>
    <n v="4"/>
    <s v="Germany"/>
    <s v="Premium"/>
    <n v="22988"/>
    <n v="3.55"/>
    <n v="6"/>
    <n v="2132807330.0800002"/>
  </r>
  <r>
    <x v="7"/>
    <s v="ID.4"/>
    <x v="4"/>
    <s v="Premium"/>
    <n v="93014.64"/>
    <n v="70.2"/>
    <n v="255"/>
    <n v="169"/>
    <s v="Truck"/>
    <n v="5"/>
    <s v="Germany"/>
    <s v="Premium"/>
    <n v="264436"/>
    <n v="3.26"/>
    <n v="4"/>
    <n v="24596419343.040001"/>
  </r>
  <r>
    <x v="0"/>
    <s v="bZ Compact SUV"/>
    <x v="4"/>
    <s v="Standard"/>
    <n v="62299.25"/>
    <n v="60.9"/>
    <n v="213"/>
    <n v="169"/>
    <s v="SUV"/>
    <n v="3"/>
    <s v="Japan"/>
    <s v="Mid-range"/>
    <n v="25820"/>
    <n v="3.36"/>
    <n v="4"/>
    <n v="1608566635"/>
  </r>
  <r>
    <x v="4"/>
    <s v="Q4 e-tron"/>
    <x v="4"/>
    <s v="Base"/>
    <n v="108294.87"/>
    <n v="84.2"/>
    <n v="297"/>
    <n v="142"/>
    <s v="Truck"/>
    <n v="5"/>
    <s v="Germany"/>
    <s v="Luxury"/>
    <n v="75960"/>
    <n v="3.64"/>
    <n v="6"/>
    <n v="8226078325.1999998"/>
  </r>
  <r>
    <x v="12"/>
    <s v="Bolt EV"/>
    <x v="4"/>
    <s v="Standard"/>
    <n v="40534.339999999997"/>
    <n v="52"/>
    <n v="170"/>
    <n v="148"/>
    <s v="Coupe"/>
    <n v="5"/>
    <s v="US"/>
    <s v="Mid-range"/>
    <n v="24616"/>
    <n v="3.08"/>
    <n v="4"/>
    <n v="997793313.43999994"/>
  </r>
  <r>
    <x v="2"/>
    <s v="Model Y"/>
    <x v="4"/>
    <s v="Premium"/>
    <n v="47765.25"/>
    <n v="45.3"/>
    <n v="171"/>
    <n v="167"/>
    <s v="Sedan"/>
    <n v="5"/>
    <s v="US"/>
    <s v="Mid-range"/>
    <n v="423769"/>
    <n v="3.45"/>
    <n v="4"/>
    <n v="20241432227.25"/>
  </r>
  <r>
    <x v="8"/>
    <s v="Mustang Mach-E"/>
    <x v="4"/>
    <s v="Performance"/>
    <n v="92734.95"/>
    <n v="71.599999999999994"/>
    <n v="257"/>
    <n v="183"/>
    <s v="Van"/>
    <n v="4"/>
    <s v="US"/>
    <s v="Premium"/>
    <n v="52532"/>
    <n v="3.34"/>
    <n v="5"/>
    <n v="4871552393.3999996"/>
  </r>
  <r>
    <x v="12"/>
    <s v="Bolt EUV"/>
    <x v="4"/>
    <s v="Standard"/>
    <n v="53007.41"/>
    <n v="82.4"/>
    <n v="303"/>
    <n v="145"/>
    <s v="SUV"/>
    <n v="4"/>
    <s v="US"/>
    <s v="Mid-range"/>
    <n v="25295"/>
    <n v="3.72"/>
    <n v="5"/>
    <n v="1340822435.95"/>
  </r>
  <r>
    <x v="2"/>
    <s v="Model 3"/>
    <x v="4"/>
    <s v="Long Range"/>
    <n v="74766.45"/>
    <n v="76.5"/>
    <n v="284"/>
    <n v="169"/>
    <s v="Sedan"/>
    <n v="5"/>
    <s v="US"/>
    <s v="Premium"/>
    <n v="155185"/>
    <n v="4.1399999999999997"/>
    <n v="5"/>
    <n v="11602631543.25"/>
  </r>
  <r>
    <x v="0"/>
    <s v="bZ Compact SUV"/>
    <x v="4"/>
    <s v="Long Range"/>
    <n v="87515.62"/>
    <n v="75.8"/>
    <n v="273"/>
    <n v="170"/>
    <s v="SUV"/>
    <n v="4"/>
    <s v="Japan"/>
    <s v="Premium"/>
    <n v="24507"/>
    <n v="3.51"/>
    <n v="4"/>
    <n v="2144745299.3399999"/>
  </r>
  <r>
    <x v="7"/>
    <s v="ID.4"/>
    <x v="4"/>
    <s v="Premium"/>
    <n v="114364.87"/>
    <n v="45.2"/>
    <n v="151"/>
    <n v="150"/>
    <s v="Hatchback"/>
    <n v="5"/>
    <s v="Germany"/>
    <s v="Luxury"/>
    <n v="233971"/>
    <n v="3.16"/>
    <n v="5"/>
    <n v="26758062998.77"/>
  </r>
  <r>
    <x v="2"/>
    <s v="Model 3"/>
    <x v="4"/>
    <s v="Base"/>
    <n v="32105.759999999998"/>
    <n v="54.4"/>
    <n v="214"/>
    <n v="129"/>
    <s v="Coupe"/>
    <n v="4"/>
    <s v="US"/>
    <s v="Budget"/>
    <n v="245170"/>
    <n v="3.53"/>
    <n v="5"/>
    <n v="7871369179.1999998"/>
  </r>
  <r>
    <x v="0"/>
    <s v="bZ4X"/>
    <x v="4"/>
    <s v="Long Range"/>
    <n v="55686.21"/>
    <n v="91.7"/>
    <n v="324"/>
    <n v="179"/>
    <s v="Van"/>
    <n v="5"/>
    <s v="Japan"/>
    <s v="Mid-range"/>
    <n v="18558"/>
    <n v="3.6"/>
    <n v="4"/>
    <n v="1033424685.1799999"/>
  </r>
  <r>
    <x v="0"/>
    <s v="bZ4X"/>
    <x v="4"/>
    <s v="Base"/>
    <n v="36014.199999999997"/>
    <n v="52.5"/>
    <n v="186"/>
    <n v="177"/>
    <s v="Coupe"/>
    <n v="4"/>
    <s v="Japan"/>
    <s v="Mid-range"/>
    <n v="5267"/>
    <n v="3.41"/>
    <n v="3"/>
    <n v="189686791.39999998"/>
  </r>
  <r>
    <x v="1"/>
    <s v="Ronin"/>
    <x v="4"/>
    <s v="Base"/>
    <n v="65556.39"/>
    <n v="55.1"/>
    <n v="194"/>
    <n v="143"/>
    <s v="Van"/>
    <n v="5"/>
    <s v="US"/>
    <s v="Premium"/>
    <n v="2927"/>
    <n v="3.38"/>
    <n v="4"/>
    <n v="191883553.53"/>
  </r>
  <r>
    <x v="5"/>
    <s v="EV9"/>
    <x v="4"/>
    <s v="Standard"/>
    <n v="70066.61"/>
    <n v="55.2"/>
    <n v="186"/>
    <n v="169"/>
    <s v="SUV"/>
    <n v="4"/>
    <s v="South Korea"/>
    <s v="Premium"/>
    <n v="125092"/>
    <n v="3.1"/>
    <n v="3"/>
    <n v="8764772378.1200008"/>
  </r>
  <r>
    <x v="9"/>
    <s v="i7"/>
    <x v="4"/>
    <s v="Standard"/>
    <n v="64827.83"/>
    <n v="42.9"/>
    <n v="150"/>
    <n v="176"/>
    <s v="SUV"/>
    <n v="4"/>
    <s v="Germany"/>
    <s v="Mid-range"/>
    <n v="69279"/>
    <n v="3.23"/>
    <n v="7"/>
    <n v="4491207234.5699997"/>
  </r>
  <r>
    <x v="0"/>
    <s v="bZ4X"/>
    <x v="4"/>
    <s v="Standard"/>
    <n v="61582.84"/>
    <n v="62.3"/>
    <n v="215"/>
    <n v="130"/>
    <s v="Hatchback"/>
    <n v="5"/>
    <s v="Japan"/>
    <s v="Mid-range"/>
    <n v="26767"/>
    <n v="3.22"/>
    <n v="3"/>
    <n v="1648387878.28"/>
  </r>
  <r>
    <x v="6"/>
    <s v="Ioniq 6"/>
    <x v="4"/>
    <s v="Premium"/>
    <n v="45546.32"/>
    <n v="45.1"/>
    <n v="160"/>
    <n v="171"/>
    <s v="Sedan"/>
    <n v="4"/>
    <s v="South Korea"/>
    <s v="Mid-range"/>
    <n v="71807"/>
    <n v="3.28"/>
    <n v="4"/>
    <n v="3270544600.2399998"/>
  </r>
  <r>
    <x v="1"/>
    <s v="Ocean"/>
    <x v="4"/>
    <s v="Long Range"/>
    <n v="113331.61"/>
    <n v="84.6"/>
    <n v="274"/>
    <n v="170"/>
    <s v="Truck"/>
    <n v="5"/>
    <s v="US"/>
    <s v="Luxury"/>
    <n v="17978"/>
    <n v="3.23"/>
    <n v="3"/>
    <n v="2037475684.5799999"/>
  </r>
  <r>
    <x v="15"/>
    <s v="Taycan"/>
    <x v="4"/>
    <s v="Long Range"/>
    <n v="111922.96"/>
    <n v="102.7"/>
    <n v="358"/>
    <n v="188"/>
    <s v="Hatchback"/>
    <n v="5"/>
    <s v="Germany"/>
    <s v="Luxury"/>
    <n v="28429"/>
    <n v="3.99"/>
    <n v="5"/>
    <n v="3181857829.8400002"/>
  </r>
  <r>
    <x v="12"/>
    <s v="Silverado EV"/>
    <x v="4"/>
    <s v="Performance"/>
    <n v="74262.98"/>
    <n v="80.7"/>
    <n v="285"/>
    <n v="197"/>
    <s v="Sedan"/>
    <n v="5"/>
    <s v="US"/>
    <s v="Premium"/>
    <n v="24171"/>
    <n v="3.38"/>
    <n v="4"/>
    <n v="1795010489.5799999"/>
  </r>
  <r>
    <x v="6"/>
    <s v="Ioniq 5"/>
    <x v="4"/>
    <s v="Long Range"/>
    <n v="41621.620000000003"/>
    <n v="97.9"/>
    <n v="365"/>
    <n v="162"/>
    <s v="Hatchback"/>
    <n v="5"/>
    <s v="South Korea"/>
    <s v="Mid-range"/>
    <n v="70525"/>
    <n v="3.62"/>
    <n v="4"/>
    <n v="2935364750.5"/>
  </r>
  <r>
    <x v="13"/>
    <s v="EQS"/>
    <x v="4"/>
    <s v="Performance"/>
    <n v="114049.24"/>
    <n v="103.4"/>
    <n v="368"/>
    <n v="187"/>
    <s v="Van"/>
    <n v="5"/>
    <s v="Germany"/>
    <s v="Luxury"/>
    <n v="68987"/>
    <n v="3.92"/>
    <n v="6"/>
    <n v="7867914919.8800001"/>
  </r>
  <r>
    <x v="2"/>
    <s v="Model 3"/>
    <x v="4"/>
    <s v="Standard"/>
    <n v="36657.019999999997"/>
    <n v="61.2"/>
    <n v="188"/>
    <n v="144"/>
    <s v="Coupe"/>
    <n v="5"/>
    <s v="US"/>
    <s v="Mid-range"/>
    <n v="208877"/>
    <n v="3.91"/>
    <n v="5"/>
    <n v="7656808366.539999"/>
  </r>
  <r>
    <x v="5"/>
    <s v="Niro EV"/>
    <x v="4"/>
    <s v="Performance"/>
    <n v="51697.58"/>
    <n v="115.1"/>
    <n v="396"/>
    <n v="194"/>
    <s v="Truck"/>
    <n v="5"/>
    <s v="South Korea"/>
    <s v="Mid-range"/>
    <n v="56242"/>
    <n v="3.84"/>
    <n v="4"/>
    <n v="2907575294.3600001"/>
  </r>
  <r>
    <x v="7"/>
    <s v="ID.4"/>
    <x v="4"/>
    <s v="Standard"/>
    <n v="36019.25"/>
    <n v="63.3"/>
    <n v="224"/>
    <n v="140"/>
    <s v="Hatchback"/>
    <n v="4"/>
    <s v="Germany"/>
    <s v="Mid-range"/>
    <n v="209890"/>
    <n v="3.52"/>
    <n v="4"/>
    <n v="7560080382.5"/>
  </r>
  <r>
    <x v="1"/>
    <s v="Ocean"/>
    <x v="4"/>
    <s v="Premium"/>
    <n v="121374.95"/>
    <n v="70.8"/>
    <n v="262"/>
    <n v="153"/>
    <s v="Van"/>
    <n v="3"/>
    <s v="US"/>
    <s v="Luxury"/>
    <n v="26859"/>
    <n v="3.7"/>
    <n v="5"/>
    <n v="3260009782.0499997"/>
  </r>
  <r>
    <x v="3"/>
    <s v="Yuan Plus"/>
    <x v="4"/>
    <s v="Base"/>
    <n v="40390.03"/>
    <n v="62.1"/>
    <n v="232"/>
    <n v="138"/>
    <s v="Coupe"/>
    <n v="5"/>
    <s v="China"/>
    <s v="Mid-range"/>
    <n v="138054"/>
    <n v="3.39"/>
    <n v="4"/>
    <n v="5576005201.6199999"/>
  </r>
  <r>
    <x v="2"/>
    <s v="Cybertruck"/>
    <x v="4"/>
    <s v="Long Range"/>
    <n v="45682.18"/>
    <n v="109.7"/>
    <n v="377"/>
    <n v="165"/>
    <s v="Truck"/>
    <n v="4"/>
    <s v="US"/>
    <s v="Mid-range"/>
    <n v="170687"/>
    <n v="3.94"/>
    <n v="4"/>
    <n v="7797354257.6599998"/>
  </r>
  <r>
    <x v="16"/>
    <s v="SU7"/>
    <x v="4"/>
    <s v="Performance"/>
    <n v="102584.09"/>
    <n v="74.5"/>
    <n v="250"/>
    <n v="195"/>
    <s v="Hatchback"/>
    <n v="5"/>
    <s v="China"/>
    <s v="Luxury"/>
    <n v="19780"/>
    <n v="3.36"/>
    <n v="4"/>
    <n v="2029113300.2"/>
  </r>
  <r>
    <x v="5"/>
    <s v="Sportage EV"/>
    <x v="4"/>
    <s v="Long Range"/>
    <n v="99048.18"/>
    <n v="89"/>
    <n v="324"/>
    <n v="168"/>
    <s v="SUV"/>
    <n v="5"/>
    <s v="South Korea"/>
    <s v="Premium"/>
    <n v="55742"/>
    <n v="3.56"/>
    <n v="4"/>
    <n v="5521143649.5599995"/>
  </r>
  <r>
    <x v="13"/>
    <s v="EQC"/>
    <x v="4"/>
    <s v="Performance"/>
    <n v="167898.8"/>
    <n v="106"/>
    <n v="375"/>
    <n v="200"/>
    <s v="Coupe"/>
    <n v="4"/>
    <s v="Germany"/>
    <s v="Luxury"/>
    <n v="20936"/>
    <n v="4.04"/>
    <n v="6"/>
    <n v="3515129276.7999997"/>
  </r>
  <r>
    <x v="5"/>
    <s v="EV6"/>
    <x v="4"/>
    <s v="Base"/>
    <n v="30277.360000000001"/>
    <n v="62.3"/>
    <n v="226"/>
    <n v="172"/>
    <s v="Van"/>
    <n v="5"/>
    <s v="South Korea"/>
    <s v="Budget"/>
    <n v="130299"/>
    <n v="3.2"/>
    <n v="5"/>
    <n v="3945109730.6399999"/>
  </r>
  <r>
    <x v="3"/>
    <s v="Qin"/>
    <x v="4"/>
    <s v="Performance"/>
    <n v="103480.37"/>
    <n v="104.9"/>
    <n v="347"/>
    <n v="200"/>
    <s v="SUV"/>
    <n v="4"/>
    <s v="China"/>
    <s v="Luxury"/>
    <n v="211837"/>
    <n v="3.58"/>
    <n v="5"/>
    <n v="21920971139.689999"/>
  </r>
  <r>
    <x v="6"/>
    <s v="Ioniq 6"/>
    <x v="4"/>
    <s v="Long Range"/>
    <n v="84751.75"/>
    <n v="83.1"/>
    <n v="305"/>
    <n v="169"/>
    <s v="Van"/>
    <n v="5"/>
    <s v="South Korea"/>
    <s v="Premium"/>
    <n v="53893"/>
    <n v="3.55"/>
    <n v="3"/>
    <n v="4567526062.75"/>
  </r>
  <r>
    <x v="7"/>
    <s v="ID.4"/>
    <x v="4"/>
    <s v="Standard"/>
    <n v="78233.39"/>
    <n v="46.6"/>
    <n v="161"/>
    <n v="139"/>
    <s v="Coupe"/>
    <n v="4"/>
    <s v="Germany"/>
    <s v="Premium"/>
    <n v="259295"/>
    <n v="3.2"/>
    <n v="3"/>
    <n v="20285526860.049999"/>
  </r>
  <r>
    <x v="2"/>
    <s v="Model Y"/>
    <x v="4"/>
    <s v="Standard"/>
    <n v="110000.94"/>
    <n v="53.4"/>
    <n v="163"/>
    <n v="172"/>
    <s v="Sedan"/>
    <n v="4"/>
    <s v="US"/>
    <s v="Luxury"/>
    <n v="414109"/>
    <n v="3.55"/>
    <n v="4"/>
    <n v="45552379262.459999"/>
  </r>
  <r>
    <x v="7"/>
    <s v="ID.4"/>
    <x v="4"/>
    <s v="Long Range"/>
    <n v="67460.11"/>
    <n v="97.9"/>
    <n v="324"/>
    <n v="180"/>
    <s v="Truck"/>
    <n v="4"/>
    <s v="Germany"/>
    <s v="Premium"/>
    <n v="219503"/>
    <n v="3.66"/>
    <n v="3"/>
    <n v="14807696525.33"/>
  </r>
  <r>
    <x v="13"/>
    <s v="EQS"/>
    <x v="4"/>
    <s v="Performance"/>
    <n v="175695.73"/>
    <n v="119.3"/>
    <n v="421"/>
    <n v="200"/>
    <s v="Truck"/>
    <n v="4"/>
    <s v="Germany"/>
    <s v="Luxury"/>
    <n v="47072"/>
    <n v="4.1399999999999997"/>
    <n v="7"/>
    <n v="8270349402.5600004"/>
  </r>
  <r>
    <x v="2"/>
    <s v="Cybertruck"/>
    <x v="4"/>
    <s v="Performance"/>
    <n v="68394.929999999993"/>
    <n v="94.8"/>
    <n v="315"/>
    <n v="179"/>
    <s v="Truck"/>
    <n v="5"/>
    <s v="US"/>
    <s v="Premium"/>
    <n v="230110"/>
    <n v="4"/>
    <n v="5"/>
    <n v="15738357342.299999"/>
  </r>
  <r>
    <x v="10"/>
    <n v="3"/>
    <x v="4"/>
    <s v="Premium"/>
    <n v="98223.61"/>
    <n v="58.4"/>
    <n v="219"/>
    <n v="147"/>
    <s v="Coupe"/>
    <n v="4"/>
    <s v="Sweden"/>
    <s v="Premium"/>
    <n v="3904"/>
    <n v="3.65"/>
    <n v="4"/>
    <n v="383464973.44"/>
  </r>
  <r>
    <x v="6"/>
    <s v="Ioniq"/>
    <x v="4"/>
    <s v="Premium"/>
    <n v="39646.49"/>
    <n v="41"/>
    <n v="150"/>
    <n v="174"/>
    <s v="Hatchback"/>
    <n v="5"/>
    <s v="South Korea"/>
    <s v="Mid-range"/>
    <n v="129173"/>
    <n v="3"/>
    <n v="3"/>
    <n v="5121256052.7699995"/>
  </r>
  <r>
    <x v="2"/>
    <s v="Model 3"/>
    <x v="4"/>
    <s v="Premium"/>
    <n v="164903.76"/>
    <n v="51.1"/>
    <n v="184"/>
    <n v="159"/>
    <s v="Coupe"/>
    <n v="3"/>
    <s v="US"/>
    <s v="Luxury"/>
    <n v="238934"/>
    <n v="3.62"/>
    <n v="5"/>
    <n v="39401114991.840004"/>
  </r>
  <r>
    <x v="2"/>
    <s v="Model S"/>
    <x v="4"/>
    <s v="Standard"/>
    <n v="132957.6"/>
    <n v="57.4"/>
    <n v="197"/>
    <n v="168"/>
    <s v="Sedan"/>
    <n v="5"/>
    <s v="US"/>
    <s v="Luxury"/>
    <n v="220563"/>
    <n v="3.46"/>
    <n v="5"/>
    <n v="29325527128.800003"/>
  </r>
  <r>
    <x v="9"/>
    <s v="i7"/>
    <x v="4"/>
    <s v="Long Range"/>
    <n v="126323.43"/>
    <n v="92.6"/>
    <n v="337"/>
    <n v="190"/>
    <s v="Hatchback"/>
    <n v="5"/>
    <s v="Germany"/>
    <s v="Luxury"/>
    <n v="51591"/>
    <n v="3.87"/>
    <n v="6"/>
    <n v="6517152077.1300001"/>
  </r>
  <r>
    <x v="3"/>
    <s v="Dolphin"/>
    <x v="4"/>
    <s v="Long Range"/>
    <n v="38014.51"/>
    <n v="86.6"/>
    <n v="325"/>
    <n v="169"/>
    <s v="SUV"/>
    <n v="5"/>
    <s v="China"/>
    <s v="Mid-range"/>
    <n v="241420"/>
    <n v="3.72"/>
    <n v="3"/>
    <n v="9177463004.2000008"/>
  </r>
  <r>
    <x v="8"/>
    <s v="Mustang Mach-E"/>
    <x v="4"/>
    <s v="Premium"/>
    <n v="96727.35"/>
    <n v="71.400000000000006"/>
    <n v="233"/>
    <n v="140"/>
    <s v="Hatchback"/>
    <n v="3"/>
    <s v="US"/>
    <s v="Premium"/>
    <n v="75873"/>
    <n v="3.24"/>
    <n v="5"/>
    <n v="7338994226.5500002"/>
  </r>
  <r>
    <x v="9"/>
    <s v="i7"/>
    <x v="4"/>
    <s v="Base"/>
    <n v="84385.88"/>
    <n v="47.3"/>
    <n v="177"/>
    <n v="136"/>
    <s v="Sedan"/>
    <n v="5"/>
    <s v="Germany"/>
    <s v="Premium"/>
    <n v="74771"/>
    <n v="3.09"/>
    <n v="6"/>
    <n v="6309616633.4800005"/>
  </r>
  <r>
    <x v="3"/>
    <s v="Qin"/>
    <x v="4"/>
    <s v="Performance"/>
    <n v="54577.89"/>
    <n v="119.6"/>
    <n v="427"/>
    <n v="190"/>
    <s v="Hatchback"/>
    <n v="5"/>
    <s v="China"/>
    <s v="Mid-range"/>
    <n v="139526"/>
    <n v="3.84"/>
    <n v="5"/>
    <n v="7615034680.1400003"/>
  </r>
  <r>
    <x v="6"/>
    <s v="Kona Electric"/>
    <x v="4"/>
    <s v="Long Range"/>
    <n v="90974.8"/>
    <n v="80.400000000000006"/>
    <n v="296"/>
    <n v="179"/>
    <s v="Van"/>
    <n v="4"/>
    <s v="South Korea"/>
    <s v="Premium"/>
    <n v="59668"/>
    <n v="3.91"/>
    <n v="3"/>
    <n v="5428284366.4000006"/>
  </r>
  <r>
    <x v="6"/>
    <s v="i30"/>
    <x v="4"/>
    <s v="Premium"/>
    <n v="40685.58"/>
    <n v="66.5"/>
    <n v="247"/>
    <n v="159"/>
    <s v="Hatchback"/>
    <n v="5"/>
    <s v="South Korea"/>
    <s v="Mid-range"/>
    <n v="143645"/>
    <n v="3.36"/>
    <n v="4"/>
    <n v="5844280139.1000004"/>
  </r>
  <r>
    <x v="3"/>
    <s v="Yuan Plus"/>
    <x v="4"/>
    <s v="Base"/>
    <n v="73962.429999999993"/>
    <n v="41.7"/>
    <n v="163"/>
    <n v="163"/>
    <s v="Sedan"/>
    <n v="5"/>
    <s v="China"/>
    <s v="Premium"/>
    <n v="121424"/>
    <n v="3.25"/>
    <n v="3"/>
    <n v="8980814100.3199997"/>
  </r>
  <r>
    <x v="2"/>
    <s v="Model 3"/>
    <x v="4"/>
    <s v="Long Range"/>
    <n v="73678.259999999995"/>
    <n v="106.1"/>
    <n v="370"/>
    <n v="177"/>
    <s v="Coupe"/>
    <n v="5"/>
    <s v="US"/>
    <s v="Premium"/>
    <n v="201869"/>
    <n v="3.99"/>
    <n v="5"/>
    <n v="14873356667.939999"/>
  </r>
  <r>
    <x v="4"/>
    <s v="e-tron"/>
    <x v="4"/>
    <s v="Standard"/>
    <n v="62074.39"/>
    <n v="65.3"/>
    <n v="236"/>
    <n v="160"/>
    <s v="SUV"/>
    <n v="5"/>
    <s v="Germany"/>
    <s v="Mid-range"/>
    <n v="41240"/>
    <n v="3.53"/>
    <n v="8"/>
    <n v="2559947843.5999999"/>
  </r>
  <r>
    <x v="5"/>
    <s v="EV6"/>
    <x v="4"/>
    <s v="Performance"/>
    <n v="68316.17"/>
    <n v="76.400000000000006"/>
    <n v="262"/>
    <n v="189"/>
    <s v="Hatchback"/>
    <n v="4"/>
    <s v="South Korea"/>
    <s v="Premium"/>
    <n v="86275"/>
    <n v="3.61"/>
    <n v="3"/>
    <n v="5893977566.75"/>
  </r>
  <r>
    <x v="6"/>
    <s v="Ioniq 6"/>
    <x v="4"/>
    <s v="Standard"/>
    <n v="60164.53"/>
    <n v="53.1"/>
    <n v="185"/>
    <n v="146"/>
    <s v="SUV"/>
    <n v="5"/>
    <s v="South Korea"/>
    <s v="Mid-range"/>
    <n v="85467"/>
    <n v="3.29"/>
    <n v="5"/>
    <n v="5142081885.5100002"/>
  </r>
  <r>
    <x v="6"/>
    <s v="i30"/>
    <x v="4"/>
    <s v="Base"/>
    <n v="35093.17"/>
    <n v="77.099999999999994"/>
    <n v="295"/>
    <n v="134"/>
    <s v="Van"/>
    <n v="4"/>
    <s v="South Korea"/>
    <s v="Mid-range"/>
    <n v="117101"/>
    <n v="3.46"/>
    <n v="4"/>
    <n v="4109445300.1699996"/>
  </r>
  <r>
    <x v="2"/>
    <s v="Cybertruck"/>
    <x v="4"/>
    <s v="Performance"/>
    <n v="188964.7"/>
    <n v="106.8"/>
    <n v="367"/>
    <n v="193"/>
    <s v="Truck"/>
    <n v="4"/>
    <s v="US"/>
    <s v="Luxury"/>
    <n v="239165"/>
    <n v="4.2699999999999996"/>
    <n v="5"/>
    <n v="45193742475.5"/>
  </r>
  <r>
    <x v="5"/>
    <s v="Sportage EV"/>
    <x v="4"/>
    <s v="Standard"/>
    <n v="56593.19"/>
    <n v="56.2"/>
    <n v="197"/>
    <n v="170"/>
    <s v="SUV"/>
    <n v="4"/>
    <s v="South Korea"/>
    <s v="Mid-range"/>
    <n v="135755"/>
    <n v="3.26"/>
    <n v="4"/>
    <n v="7682808508.4500008"/>
  </r>
  <r>
    <x v="7"/>
    <s v="ID.3"/>
    <x v="4"/>
    <s v="Base"/>
    <n v="71569.98"/>
    <n v="57.7"/>
    <n v="186"/>
    <n v="158"/>
    <s v="SUV"/>
    <n v="5"/>
    <s v="Germany"/>
    <s v="Premium"/>
    <n v="287315"/>
    <n v="3.19"/>
    <n v="3"/>
    <n v="20563128803.699997"/>
  </r>
  <r>
    <x v="3"/>
    <s v="Seagull"/>
    <x v="4"/>
    <s v="Base"/>
    <n v="24520.21"/>
    <n v="71.2"/>
    <n v="253"/>
    <n v="159"/>
    <s v="Hatchback"/>
    <n v="5"/>
    <s v="China"/>
    <s v="Budget"/>
    <n v="191198"/>
    <n v="3.48"/>
    <n v="5"/>
    <n v="4688215111.5799999"/>
  </r>
  <r>
    <x v="6"/>
    <s v="Ioniq"/>
    <x v="4"/>
    <s v="Base"/>
    <n v="31858.49"/>
    <n v="76.599999999999994"/>
    <n v="274"/>
    <n v="171"/>
    <s v="Hatchback"/>
    <n v="3"/>
    <s v="South Korea"/>
    <s v="Budget"/>
    <n v="89552"/>
    <n v="3.4"/>
    <n v="5"/>
    <n v="2852991496.48"/>
  </r>
  <r>
    <x v="13"/>
    <s v="EQG"/>
    <x v="4"/>
    <s v="Base"/>
    <n v="72880.75"/>
    <n v="63.7"/>
    <n v="235"/>
    <n v="133"/>
    <s v="Truck"/>
    <n v="4"/>
    <s v="Germany"/>
    <s v="Premium"/>
    <n v="46123"/>
    <n v="3.85"/>
    <n v="5"/>
    <n v="3361478832.25"/>
  </r>
  <r>
    <x v="8"/>
    <s v="E-Transit"/>
    <x v="4"/>
    <s v="Premium"/>
    <n v="81884.759999999995"/>
    <n v="79.5"/>
    <n v="280"/>
    <n v="134"/>
    <s v="Hatchback"/>
    <n v="3"/>
    <s v="US"/>
    <s v="Premium"/>
    <n v="49332"/>
    <n v="3.58"/>
    <n v="4"/>
    <n v="4039538980.3199997"/>
  </r>
  <r>
    <x v="3"/>
    <s v="Dolphin"/>
    <x v="4"/>
    <s v="Base"/>
    <n v="27229.19"/>
    <n v="64.8"/>
    <n v="227"/>
    <n v="144"/>
    <s v="Hatchback"/>
    <n v="5"/>
    <s v="China"/>
    <s v="Budget"/>
    <n v="118103"/>
    <n v="3.49"/>
    <n v="4"/>
    <n v="3215849026.5699997"/>
  </r>
  <r>
    <x v="9"/>
    <s v="i4"/>
    <x v="4"/>
    <s v="Long Range"/>
    <n v="83737.7"/>
    <n v="90.9"/>
    <n v="331"/>
    <n v="166"/>
    <s v="Sedan"/>
    <n v="4"/>
    <s v="Germany"/>
    <s v="Premium"/>
    <n v="68789"/>
    <n v="3.44"/>
    <n v="6"/>
    <n v="5760232645.3000002"/>
  </r>
  <r>
    <x v="7"/>
    <s v="ID. Buzz"/>
    <x v="4"/>
    <s v="Base"/>
    <n v="65767.179999999993"/>
    <n v="48.6"/>
    <n v="159"/>
    <n v="137"/>
    <s v="Van"/>
    <n v="5"/>
    <s v="Germany"/>
    <s v="Premium"/>
    <n v="214102"/>
    <n v="3.4"/>
    <n v="5"/>
    <n v="14080884772.359999"/>
  </r>
  <r>
    <x v="6"/>
    <s v="Ioniq 5"/>
    <x v="4"/>
    <s v="Premium"/>
    <n v="41142.11"/>
    <n v="53.2"/>
    <n v="176"/>
    <n v="160"/>
    <s v="Hatchback"/>
    <n v="4"/>
    <s v="South Korea"/>
    <s v="Mid-range"/>
    <n v="133250"/>
    <n v="3.71"/>
    <n v="4"/>
    <n v="5482186157.5"/>
  </r>
  <r>
    <x v="3"/>
    <s v="Leaf 50X"/>
    <x v="4"/>
    <s v="Standard"/>
    <n v="68838.03"/>
    <n v="48.9"/>
    <n v="180"/>
    <n v="147"/>
    <s v="Coupe"/>
    <n v="4"/>
    <s v="China"/>
    <s v="Premium"/>
    <n v="173863"/>
    <n v="3.01"/>
    <n v="5"/>
    <n v="11968386409.889999"/>
  </r>
  <r>
    <x v="2"/>
    <s v="Model 3"/>
    <x v="4"/>
    <s v="Long Range"/>
    <n v="54793.42"/>
    <n v="108.6"/>
    <n v="395"/>
    <n v="191"/>
    <s v="Hatchback"/>
    <n v="4"/>
    <s v="US"/>
    <s v="Mid-range"/>
    <n v="136524"/>
    <n v="4.42"/>
    <n v="6"/>
    <n v="7480616872.0799999"/>
  </r>
  <r>
    <x v="5"/>
    <s v="EV6"/>
    <x v="4"/>
    <s v="Standard"/>
    <n v="70386.61"/>
    <n v="70.900000000000006"/>
    <n v="215"/>
    <n v="168"/>
    <s v="Sedan"/>
    <n v="4"/>
    <s v="South Korea"/>
    <s v="Premium"/>
    <n v="72998"/>
    <n v="3.35"/>
    <n v="4"/>
    <n v="5138081756.7799997"/>
  </r>
  <r>
    <x v="7"/>
    <s v="ID.4"/>
    <x v="4"/>
    <s v="Performance"/>
    <n v="78109.649999999994"/>
    <n v="110.5"/>
    <n v="383"/>
    <n v="200"/>
    <s v="Truck"/>
    <n v="5"/>
    <s v="Germany"/>
    <s v="Premium"/>
    <n v="260956"/>
    <n v="3.68"/>
    <n v="4"/>
    <n v="20383181825.399998"/>
  </r>
  <r>
    <x v="12"/>
    <s v="Bolt EV"/>
    <x v="4"/>
    <s v="Standard"/>
    <n v="59253.96"/>
    <n v="56.6"/>
    <n v="223"/>
    <n v="160"/>
    <s v="Truck"/>
    <n v="5"/>
    <s v="US"/>
    <s v="Mid-range"/>
    <n v="22516"/>
    <n v="3.7"/>
    <n v="4"/>
    <n v="1334162163.3599999"/>
  </r>
  <r>
    <x v="12"/>
    <s v="Silverado EV"/>
    <x v="4"/>
    <s v="Performance"/>
    <n v="71690.64"/>
    <n v="77.900000000000006"/>
    <n v="282"/>
    <n v="200"/>
    <s v="Sedan"/>
    <n v="4"/>
    <s v="US"/>
    <s v="Premium"/>
    <n v="26479"/>
    <n v="3.38"/>
    <n v="3"/>
    <n v="1898296456.5599999"/>
  </r>
  <r>
    <x v="13"/>
    <s v="GLE EV"/>
    <x v="4"/>
    <s v="Performance"/>
    <n v="178911.77"/>
    <n v="79.7"/>
    <n v="265"/>
    <n v="187"/>
    <s v="Truck"/>
    <n v="4"/>
    <s v="Germany"/>
    <s v="Luxury"/>
    <n v="68804"/>
    <n v="3.85"/>
    <n v="6"/>
    <n v="12309845423.08"/>
  </r>
  <r>
    <x v="2"/>
    <s v="Model X"/>
    <x v="4"/>
    <s v="Standard"/>
    <n v="125065.93"/>
    <n v="50.7"/>
    <n v="159"/>
    <n v="172"/>
    <s v="Hatchback"/>
    <n v="4"/>
    <s v="US"/>
    <s v="Luxury"/>
    <n v="243623"/>
    <n v="3.24"/>
    <n v="6"/>
    <n v="30468937064.389999"/>
  </r>
  <r>
    <x v="7"/>
    <s v="ID.3"/>
    <x v="4"/>
    <s v="Long Range"/>
    <n v="37557.870000000003"/>
    <n v="86.2"/>
    <n v="299"/>
    <n v="175"/>
    <s v="Coupe"/>
    <n v="5"/>
    <s v="Germany"/>
    <s v="Mid-range"/>
    <n v="247190"/>
    <n v="3.68"/>
    <n v="4"/>
    <n v="9283929885.3000011"/>
  </r>
  <r>
    <x v="8"/>
    <s v="E-Transit"/>
    <x v="4"/>
    <s v="Standard"/>
    <n v="48328.54"/>
    <n v="81.900000000000006"/>
    <n v="268"/>
    <n v="132"/>
    <s v="SUV"/>
    <n v="4"/>
    <s v="US"/>
    <s v="Mid-range"/>
    <n v="34857"/>
    <n v="3.47"/>
    <n v="3"/>
    <n v="1684587918.78"/>
  </r>
  <r>
    <x v="3"/>
    <s v="Atto 3"/>
    <x v="4"/>
    <s v="Long Range"/>
    <n v="53347.12"/>
    <n v="78.900000000000006"/>
    <n v="277"/>
    <n v="182"/>
    <s v="Sedan"/>
    <n v="5"/>
    <s v="China"/>
    <s v="Mid-range"/>
    <n v="234710"/>
    <n v="3.53"/>
    <n v="5"/>
    <n v="12521102535.200001"/>
  </r>
  <r>
    <x v="9"/>
    <s v="i5"/>
    <x v="4"/>
    <s v="Base"/>
    <n v="85524.800000000003"/>
    <n v="65.2"/>
    <n v="228"/>
    <n v="154"/>
    <s v="SUV"/>
    <n v="5"/>
    <s v="Germany"/>
    <s v="Premium"/>
    <n v="61102"/>
    <n v="3.24"/>
    <n v="7"/>
    <n v="5225736329.6000004"/>
  </r>
  <r>
    <x v="3"/>
    <s v="Seagull"/>
    <x v="4"/>
    <s v="Base"/>
    <n v="18386.22"/>
    <n v="53.5"/>
    <n v="197"/>
    <n v="169"/>
    <s v="Hatchback"/>
    <n v="4"/>
    <s v="China"/>
    <s v="Budget"/>
    <n v="194535"/>
    <n v="3.33"/>
    <n v="4"/>
    <n v="3576763307.7000003"/>
  </r>
  <r>
    <x v="2"/>
    <s v="Cybertruck"/>
    <x v="4"/>
    <s v="Long Range"/>
    <n v="81331.259999999995"/>
    <n v="87"/>
    <n v="324"/>
    <n v="160"/>
    <s v="Truck"/>
    <n v="5"/>
    <s v="US"/>
    <s v="Premium"/>
    <n v="192430"/>
    <n v="3.74"/>
    <n v="6"/>
    <n v="15650574361.799999"/>
  </r>
  <r>
    <x v="12"/>
    <s v="Blazer EV"/>
    <x v="4"/>
    <s v="Premium"/>
    <n v="70082.06"/>
    <n v="42.6"/>
    <n v="156"/>
    <n v="161"/>
    <s v="Hatchback"/>
    <n v="5"/>
    <s v="US"/>
    <s v="Premium"/>
    <n v="20253"/>
    <n v="3.14"/>
    <n v="3"/>
    <n v="1419371961.1800001"/>
  </r>
  <r>
    <x v="12"/>
    <s v="Silverado EV"/>
    <x v="4"/>
    <s v="Standard"/>
    <n v="61767.69"/>
    <n v="48"/>
    <n v="161"/>
    <n v="155"/>
    <s v="SUV"/>
    <n v="4"/>
    <s v="US"/>
    <s v="Mid-range"/>
    <n v="27695"/>
    <n v="3.08"/>
    <n v="4"/>
    <n v="1710656174.55"/>
  </r>
  <r>
    <x v="2"/>
    <s v="Model 3"/>
    <x v="4"/>
    <s v="Premium"/>
    <n v="173467.44"/>
    <n v="42.9"/>
    <n v="150"/>
    <n v="180"/>
    <s v="Hatchback"/>
    <n v="4"/>
    <s v="US"/>
    <s v="Luxury"/>
    <n v="241741"/>
    <n v="3.75"/>
    <n v="5"/>
    <n v="41934192413.040001"/>
  </r>
  <r>
    <x v="4"/>
    <s v="Q6 e-tron"/>
    <x v="4"/>
    <s v="Premium"/>
    <n v="105361.9"/>
    <n v="71.8"/>
    <n v="263"/>
    <n v="144"/>
    <s v="Coupe"/>
    <n v="5"/>
    <s v="Germany"/>
    <s v="Luxury"/>
    <n v="22361"/>
    <n v="3.64"/>
    <n v="7"/>
    <n v="2355997445.9000001"/>
  </r>
  <r>
    <x v="5"/>
    <s v="EV9"/>
    <x v="4"/>
    <s v="Base"/>
    <n v="36206.519999999997"/>
    <n v="53.7"/>
    <n v="182"/>
    <n v="143"/>
    <s v="SUV"/>
    <n v="4"/>
    <s v="South Korea"/>
    <s v="Mid-range"/>
    <n v="96649"/>
    <n v="3.22"/>
    <n v="5"/>
    <n v="3499323951.4799995"/>
  </r>
  <r>
    <x v="2"/>
    <s v="Model 3"/>
    <x v="4"/>
    <s v="Premium"/>
    <n v="92300.78"/>
    <n v="48.8"/>
    <n v="173"/>
    <n v="146"/>
    <s v="Hatchback"/>
    <n v="5"/>
    <s v="US"/>
    <s v="Premium"/>
    <n v="249410"/>
    <n v="3.51"/>
    <n v="6"/>
    <n v="23020737539.799999"/>
  </r>
  <r>
    <x v="12"/>
    <s v="Silverado EV"/>
    <x v="4"/>
    <s v="Base"/>
    <n v="33469.379999999997"/>
    <n v="55.2"/>
    <n v="198"/>
    <n v="130"/>
    <s v="SUV"/>
    <n v="4"/>
    <s v="US"/>
    <s v="Budget"/>
    <n v="2373"/>
    <n v="3.27"/>
    <n v="3"/>
    <n v="79422838.739999995"/>
  </r>
  <r>
    <x v="5"/>
    <s v="Sportage EV"/>
    <x v="4"/>
    <s v="Premium"/>
    <n v="72898.84"/>
    <n v="65.7"/>
    <n v="244"/>
    <n v="172"/>
    <s v="SUV"/>
    <n v="5"/>
    <s v="South Korea"/>
    <s v="Premium"/>
    <n v="78422"/>
    <n v="3.48"/>
    <n v="5"/>
    <n v="5716872830.4799995"/>
  </r>
  <r>
    <x v="7"/>
    <s v="ID. Aero"/>
    <x v="4"/>
    <s v="Performance"/>
    <n v="90339.09"/>
    <n v="78.099999999999994"/>
    <n v="263"/>
    <n v="181"/>
    <s v="SUV"/>
    <n v="4"/>
    <s v="Germany"/>
    <s v="Premium"/>
    <n v="202441"/>
    <n v="3.2"/>
    <n v="3"/>
    <n v="18288335718.689999"/>
  </r>
  <r>
    <x v="12"/>
    <s v="Bolt EUV"/>
    <x v="4"/>
    <s v="Standard"/>
    <n v="57794.12"/>
    <n v="67.8"/>
    <n v="255"/>
    <n v="135"/>
    <s v="Truck"/>
    <n v="5"/>
    <s v="US"/>
    <s v="Mid-range"/>
    <n v="28957"/>
    <n v="3.15"/>
    <n v="4"/>
    <n v="1673544332.8400002"/>
  </r>
  <r>
    <x v="14"/>
    <s v="EL6"/>
    <x v="4"/>
    <s v="Long Range"/>
    <n v="99775.41"/>
    <n v="109.9"/>
    <n v="380"/>
    <n v="171"/>
    <s v="SUV"/>
    <n v="4"/>
    <s v="China"/>
    <s v="Premium"/>
    <n v="27479"/>
    <n v="3.57"/>
    <n v="4"/>
    <n v="2741728491.3899999"/>
  </r>
  <r>
    <x v="5"/>
    <s v="Niro EV"/>
    <x v="4"/>
    <s v="Performance"/>
    <n v="81763.199999999997"/>
    <n v="89.6"/>
    <n v="319"/>
    <n v="188"/>
    <s v="Coupe"/>
    <n v="4"/>
    <s v="South Korea"/>
    <s v="Premium"/>
    <n v="93663"/>
    <n v="3.44"/>
    <n v="3"/>
    <n v="7658186601.5999994"/>
  </r>
  <r>
    <x v="3"/>
    <s v="Max"/>
    <x v="4"/>
    <s v="Standard"/>
    <n v="70846.850000000006"/>
    <n v="56.4"/>
    <n v="200"/>
    <n v="161"/>
    <s v="Van"/>
    <n v="4"/>
    <s v="China"/>
    <s v="Premium"/>
    <n v="234001"/>
    <n v="3.55"/>
    <n v="4"/>
    <n v="16578233746.850002"/>
  </r>
  <r>
    <x v="7"/>
    <s v="ID.3"/>
    <x v="4"/>
    <s v="Long Range"/>
    <n v="47038.76"/>
    <n v="86.5"/>
    <n v="330"/>
    <n v="194"/>
    <s v="Truck"/>
    <n v="5"/>
    <s v="Germany"/>
    <s v="Mid-range"/>
    <n v="270498"/>
    <n v="3.37"/>
    <n v="3"/>
    <n v="12723890502.480001"/>
  </r>
  <r>
    <x v="7"/>
    <s v="ID.4"/>
    <x v="4"/>
    <s v="Performance"/>
    <n v="111511.26"/>
    <n v="74.099999999999994"/>
    <n v="241"/>
    <n v="189"/>
    <s v="Truck"/>
    <n v="5"/>
    <s v="Germany"/>
    <s v="Luxury"/>
    <n v="230069"/>
    <n v="3.24"/>
    <n v="4"/>
    <n v="25655284076.939999"/>
  </r>
  <r>
    <x v="2"/>
    <s v="Model S"/>
    <x v="4"/>
    <s v="Performance"/>
    <n v="77897.86"/>
    <n v="71.2"/>
    <n v="254"/>
    <n v="186"/>
    <s v="Sedan"/>
    <n v="4"/>
    <s v="US"/>
    <s v="Premium"/>
    <n v="153891"/>
    <n v="3.65"/>
    <n v="4"/>
    <n v="11987779573.26"/>
  </r>
  <r>
    <x v="16"/>
    <s v="SU7"/>
    <x v="4"/>
    <s v="Performance"/>
    <n v="115672.77"/>
    <n v="85.2"/>
    <n v="304"/>
    <n v="194"/>
    <s v="SUV"/>
    <n v="3"/>
    <s v="China"/>
    <s v="Luxury"/>
    <n v="8357"/>
    <n v="3.71"/>
    <n v="5"/>
    <n v="966677338.88999999"/>
  </r>
  <r>
    <x v="6"/>
    <s v="Kona Electric"/>
    <x v="4"/>
    <s v="Performance"/>
    <n v="43667.25"/>
    <n v="83.3"/>
    <n v="299"/>
    <n v="198"/>
    <s v="Van"/>
    <n v="4"/>
    <s v="South Korea"/>
    <s v="Mid-range"/>
    <n v="71109"/>
    <n v="3.49"/>
    <n v="5"/>
    <n v="3105134480.25"/>
  </r>
  <r>
    <x v="12"/>
    <s v="Blazer EV"/>
    <x v="4"/>
    <s v="Base"/>
    <n v="58716.57"/>
    <n v="83.6"/>
    <n v="313"/>
    <n v="153"/>
    <s v="Sedan"/>
    <n v="5"/>
    <s v="US"/>
    <s v="Mid-range"/>
    <n v="22110"/>
    <n v="3.62"/>
    <n v="3"/>
    <n v="1298223362.7"/>
  </r>
  <r>
    <x v="3"/>
    <s v="Qin"/>
    <x v="4"/>
    <s v="Base"/>
    <n v="17777.32"/>
    <n v="78"/>
    <n v="280"/>
    <n v="142"/>
    <s v="Hatchback"/>
    <n v="4"/>
    <s v="China"/>
    <s v="Budget"/>
    <n v="212740"/>
    <n v="3.54"/>
    <n v="4"/>
    <n v="3781947056.7999997"/>
  </r>
  <r>
    <x v="2"/>
    <s v="Model X"/>
    <x v="4"/>
    <s v="Performance"/>
    <n v="90519.74"/>
    <n v="119.4"/>
    <n v="405"/>
    <n v="200"/>
    <s v="Coupe"/>
    <n v="4"/>
    <s v="US"/>
    <s v="Premium"/>
    <n v="189429"/>
    <n v="4.03"/>
    <n v="6"/>
    <n v="17147063828.460001"/>
  </r>
  <r>
    <x v="13"/>
    <s v="EQC"/>
    <x v="4"/>
    <s v="Performance"/>
    <n v="87690.32"/>
    <n v="88.6"/>
    <n v="321"/>
    <n v="200"/>
    <s v="Hatchback"/>
    <n v="4"/>
    <s v="Germany"/>
    <s v="Premium"/>
    <n v="36911"/>
    <n v="3.99"/>
    <n v="7"/>
    <n v="3236737401.5200005"/>
  </r>
  <r>
    <x v="3"/>
    <s v="Dolphin"/>
    <x v="4"/>
    <s v="Performance"/>
    <n v="108909.03"/>
    <n v="86"/>
    <n v="283"/>
    <n v="188"/>
    <s v="Truck"/>
    <n v="3"/>
    <s v="China"/>
    <s v="Luxury"/>
    <n v="136507"/>
    <n v="3.47"/>
    <n v="3"/>
    <n v="14866844958.209999"/>
  </r>
  <r>
    <x v="2"/>
    <s v="Model S"/>
    <x v="4"/>
    <s v="Long Range"/>
    <n v="75201.320000000007"/>
    <n v="102.8"/>
    <n v="370"/>
    <n v="185"/>
    <s v="Truck"/>
    <n v="5"/>
    <s v="US"/>
    <s v="Premium"/>
    <n v="105880"/>
    <n v="4.1100000000000003"/>
    <n v="4"/>
    <n v="7962315761.6000004"/>
  </r>
  <r>
    <x v="8"/>
    <s v="F-150 Lightning"/>
    <x v="4"/>
    <s v="Standard"/>
    <n v="60849.51"/>
    <n v="82.5"/>
    <n v="274"/>
    <n v="131"/>
    <s v="Truck"/>
    <n v="4"/>
    <s v="US"/>
    <s v="Mid-range"/>
    <n v="58206"/>
    <n v="3.54"/>
    <n v="4"/>
    <n v="3541806579.0599999"/>
  </r>
  <r>
    <x v="2"/>
    <s v="Cybertruck"/>
    <x v="4"/>
    <s v="Long Range"/>
    <n v="131729.26"/>
    <n v="84.6"/>
    <n v="307"/>
    <n v="187"/>
    <s v="Truck"/>
    <n v="4"/>
    <s v="US"/>
    <s v="Luxury"/>
    <n v="162108"/>
    <n v="3.56"/>
    <n v="5"/>
    <n v="21354366880.080002"/>
  </r>
  <r>
    <x v="2"/>
    <s v="Model 3"/>
    <x v="4"/>
    <s v="Standard"/>
    <n v="106609.89"/>
    <n v="75.599999999999994"/>
    <n v="299"/>
    <n v="151"/>
    <s v="Hatchback"/>
    <n v="5"/>
    <s v="US"/>
    <s v="Luxury"/>
    <n v="103912"/>
    <n v="3.73"/>
    <n v="5"/>
    <n v="11078046889.68"/>
  </r>
  <r>
    <x v="12"/>
    <s v="Equinox EV"/>
    <x v="4"/>
    <s v="Long Range"/>
    <n v="55502.07"/>
    <n v="92.6"/>
    <n v="331"/>
    <n v="189"/>
    <s v="SUV"/>
    <n v="5"/>
    <s v="US"/>
    <s v="Mid-range"/>
    <n v="18580"/>
    <n v="3.71"/>
    <n v="4"/>
    <n v="1031228460.6"/>
  </r>
  <r>
    <x v="8"/>
    <s v="Mustang Mach-E"/>
    <x v="4"/>
    <s v="Premium"/>
    <n v="62057.63"/>
    <n v="57.6"/>
    <n v="207"/>
    <n v="150"/>
    <s v="Van"/>
    <n v="4"/>
    <s v="US"/>
    <s v="Mid-range"/>
    <n v="65997"/>
    <n v="3.42"/>
    <n v="3"/>
    <n v="4095617407.1099997"/>
  </r>
  <r>
    <x v="3"/>
    <s v="Qin"/>
    <x v="4"/>
    <s v="Base"/>
    <n v="75732.88"/>
    <n v="69.3"/>
    <n v="249"/>
    <n v="161"/>
    <s v="Truck"/>
    <n v="5"/>
    <s v="China"/>
    <s v="Premium"/>
    <n v="228964"/>
    <n v="3.42"/>
    <n v="4"/>
    <n v="17340103136.32"/>
  </r>
  <r>
    <x v="7"/>
    <s v="ID. Buzz"/>
    <x v="4"/>
    <s v="Premium"/>
    <n v="74047.12"/>
    <n v="72.599999999999994"/>
    <n v="248"/>
    <n v="154"/>
    <s v="Coupe"/>
    <n v="5"/>
    <s v="Germany"/>
    <s v="Premium"/>
    <n v="290963"/>
    <n v="3.67"/>
    <n v="4"/>
    <n v="21544972176.559998"/>
  </r>
  <r>
    <x v="3"/>
    <s v="Atto 3"/>
    <x v="4"/>
    <s v="Standard"/>
    <n v="30843.09"/>
    <n v="49"/>
    <n v="171"/>
    <n v="151"/>
    <s v="Hatchback"/>
    <n v="4"/>
    <s v="China"/>
    <s v="Budget"/>
    <n v="206164"/>
    <n v="3"/>
    <n v="4"/>
    <n v="6358734806.7600002"/>
  </r>
  <r>
    <x v="7"/>
    <s v="ID. Buzz"/>
    <x v="4"/>
    <s v="Long Range"/>
    <n v="70634.98"/>
    <n v="89.6"/>
    <n v="312"/>
    <n v="173"/>
    <s v="Hatchback"/>
    <n v="4"/>
    <s v="Germany"/>
    <s v="Premium"/>
    <n v="289608"/>
    <n v="3.58"/>
    <n v="3"/>
    <n v="20456455287.84"/>
  </r>
  <r>
    <x v="0"/>
    <s v="bZ4X"/>
    <x v="4"/>
    <s v="Performance"/>
    <n v="94209.78"/>
    <n v="108.8"/>
    <n v="381"/>
    <n v="200"/>
    <s v="Coupe"/>
    <n v="5"/>
    <s v="Japan"/>
    <s v="Premium"/>
    <n v="1723"/>
    <n v="3.95"/>
    <n v="3"/>
    <n v="162323450.94"/>
  </r>
  <r>
    <x v="4"/>
    <s v="e-tron GT"/>
    <x v="4"/>
    <s v="Base"/>
    <n v="106732.12"/>
    <n v="80"/>
    <n v="268"/>
    <n v="142"/>
    <s v="Truck"/>
    <n v="5"/>
    <s v="Germany"/>
    <s v="Luxury"/>
    <n v="48443"/>
    <n v="3.48"/>
    <n v="7"/>
    <n v="5170424089.1599998"/>
  </r>
  <r>
    <x v="7"/>
    <s v="ID.3"/>
    <x v="4"/>
    <s v="Base"/>
    <n v="38794.79"/>
    <n v="77.8"/>
    <n v="290"/>
    <n v="150"/>
    <s v="Coupe"/>
    <n v="5"/>
    <s v="Germany"/>
    <s v="Mid-range"/>
    <n v="216258"/>
    <n v="3.83"/>
    <n v="3"/>
    <n v="8389683695.8200006"/>
  </r>
  <r>
    <x v="2"/>
    <s v="Model Y"/>
    <x v="4"/>
    <s v="Standard"/>
    <n v="111996.5"/>
    <n v="50.5"/>
    <n v="190"/>
    <n v="165"/>
    <s v="Van"/>
    <n v="4"/>
    <s v="US"/>
    <s v="Luxury"/>
    <n v="445661"/>
    <n v="3.56"/>
    <n v="5"/>
    <n v="49912472186.5"/>
  </r>
  <r>
    <x v="3"/>
    <s v="Qin"/>
    <x v="4"/>
    <s v="Standard"/>
    <n v="46656.51"/>
    <n v="45.6"/>
    <n v="150"/>
    <n v="167"/>
    <s v="SUV"/>
    <n v="5"/>
    <s v="China"/>
    <s v="Mid-range"/>
    <n v="249607"/>
    <n v="3.33"/>
    <n v="4"/>
    <n v="11645791491.57"/>
  </r>
  <r>
    <x v="3"/>
    <s v="Atto 3"/>
    <x v="4"/>
    <s v="Base"/>
    <n v="50360.89"/>
    <n v="69.3"/>
    <n v="238"/>
    <n v="139"/>
    <s v="Sedan"/>
    <n v="5"/>
    <s v="China"/>
    <s v="Mid-range"/>
    <n v="209468"/>
    <n v="3.18"/>
    <n v="4"/>
    <n v="10548994906.52"/>
  </r>
  <r>
    <x v="2"/>
    <s v="Model 3"/>
    <x v="4"/>
    <s v="Premium"/>
    <n v="152844.99"/>
    <n v="77.099999999999994"/>
    <n v="281"/>
    <n v="172"/>
    <s v="Truck"/>
    <n v="4"/>
    <s v="US"/>
    <s v="Luxury"/>
    <n v="153103"/>
    <n v="4.05"/>
    <n v="5"/>
    <n v="23401026503.969997"/>
  </r>
  <r>
    <x v="5"/>
    <s v="Picanto EV"/>
    <x v="4"/>
    <s v="Long Range"/>
    <n v="57850.5"/>
    <n v="101.6"/>
    <n v="350"/>
    <n v="162"/>
    <s v="Coupe"/>
    <n v="5"/>
    <s v="South Korea"/>
    <s v="Mid-range"/>
    <n v="125554"/>
    <n v="3.47"/>
    <n v="4"/>
    <n v="7263361677"/>
  </r>
  <r>
    <x v="3"/>
    <s v="Max"/>
    <x v="4"/>
    <s v="Base"/>
    <n v="70890.539999999994"/>
    <n v="64.5"/>
    <n v="242"/>
    <n v="138"/>
    <s v="Truck"/>
    <n v="5"/>
    <s v="China"/>
    <s v="Premium"/>
    <n v="119629"/>
    <n v="3.38"/>
    <n v="4"/>
    <n v="8480564409.6599989"/>
  </r>
  <r>
    <x v="5"/>
    <s v="Picanto EV"/>
    <x v="4"/>
    <s v="Performance"/>
    <n v="105759.07"/>
    <n v="79.7"/>
    <n v="278"/>
    <n v="200"/>
    <s v="Hatchback"/>
    <n v="3"/>
    <s v="South Korea"/>
    <s v="Luxury"/>
    <n v="107830"/>
    <n v="3.56"/>
    <n v="5"/>
    <n v="11404000518.1"/>
  </r>
  <r>
    <x v="2"/>
    <s v="Cybertruck"/>
    <x v="4"/>
    <s v="Standard"/>
    <n v="107897.62"/>
    <n v="47.5"/>
    <n v="178"/>
    <n v="160"/>
    <s v="Truck"/>
    <n v="5"/>
    <s v="US"/>
    <s v="Luxury"/>
    <n v="188033"/>
    <n v="3.43"/>
    <n v="4"/>
    <n v="20288313181.459999"/>
  </r>
  <r>
    <x v="4"/>
    <s v="e-tron GT"/>
    <x v="4"/>
    <s v="Base"/>
    <n v="65798.710000000006"/>
    <n v="76.8"/>
    <n v="250"/>
    <n v="160"/>
    <s v="Truck"/>
    <n v="4"/>
    <s v="Germany"/>
    <s v="Premium"/>
    <n v="52856"/>
    <n v="3.77"/>
    <n v="8"/>
    <n v="3477856615.7600002"/>
  </r>
  <r>
    <x v="5"/>
    <s v="Picanto EV"/>
    <x v="4"/>
    <s v="Base"/>
    <n v="57643.94"/>
    <n v="54.7"/>
    <n v="170"/>
    <n v="150"/>
    <s v="Sedan"/>
    <n v="5"/>
    <s v="South Korea"/>
    <s v="Mid-range"/>
    <n v="149672"/>
    <n v="3.38"/>
    <n v="3"/>
    <n v="8627683787.6800003"/>
  </r>
  <r>
    <x v="2"/>
    <s v="Cybertruck"/>
    <x v="4"/>
    <s v="Base"/>
    <n v="49296.66"/>
    <n v="41.7"/>
    <n v="153"/>
    <n v="134"/>
    <s v="Truck"/>
    <n v="5"/>
    <s v="US"/>
    <s v="Mid-range"/>
    <n v="241001"/>
    <n v="3.74"/>
    <n v="6"/>
    <n v="11880544356.660002"/>
  </r>
  <r>
    <x v="11"/>
    <s v="R1S"/>
    <x v="4"/>
    <s v="Performance"/>
    <n v="118076.47"/>
    <n v="74"/>
    <n v="249"/>
    <n v="194"/>
    <s v="Hatchback"/>
    <n v="5"/>
    <s v="US"/>
    <s v="Luxury"/>
    <n v="656"/>
    <n v="3.53"/>
    <n v="5"/>
    <n v="77458164.320000008"/>
  </r>
  <r>
    <x v="2"/>
    <s v="Model Y"/>
    <x v="4"/>
    <s v="Performance"/>
    <n v="141348.91"/>
    <n v="115.7"/>
    <n v="409"/>
    <n v="200"/>
    <s v="Coupe"/>
    <n v="4"/>
    <s v="US"/>
    <s v="Luxury"/>
    <n v="490678"/>
    <n v="4.51"/>
    <n v="4"/>
    <n v="69356800460.979996"/>
  </r>
  <r>
    <x v="7"/>
    <s v="ID. Aero"/>
    <x v="4"/>
    <s v="Base"/>
    <n v="29413.61"/>
    <n v="69.3"/>
    <n v="264"/>
    <n v="131"/>
    <s v="SUV"/>
    <n v="5"/>
    <s v="Germany"/>
    <s v="Budget"/>
    <n v="268683"/>
    <n v="3.64"/>
    <n v="4"/>
    <n v="7902936975.6300001"/>
  </r>
  <r>
    <x v="7"/>
    <s v="ID.5"/>
    <x v="4"/>
    <s v="Performance"/>
    <n v="106703.67"/>
    <n v="90.5"/>
    <n v="330"/>
    <n v="192"/>
    <s v="Van"/>
    <n v="5"/>
    <s v="Germany"/>
    <s v="Luxury"/>
    <n v="282713"/>
    <n v="3.53"/>
    <n v="3"/>
    <n v="30166514656.709999"/>
  </r>
  <r>
    <x v="3"/>
    <s v="Yuan Plus"/>
    <x v="4"/>
    <s v="Base"/>
    <n v="31743.27"/>
    <n v="82.5"/>
    <n v="285"/>
    <n v="166"/>
    <s v="SUV"/>
    <n v="4"/>
    <s v="China"/>
    <s v="Budget"/>
    <n v="226541"/>
    <n v="3.63"/>
    <n v="3"/>
    <n v="7191152129.0699997"/>
  </r>
  <r>
    <x v="3"/>
    <s v="Atto 3"/>
    <x v="4"/>
    <s v="Performance"/>
    <n v="53801.14"/>
    <n v="101.6"/>
    <n v="365"/>
    <n v="200"/>
    <s v="Van"/>
    <n v="5"/>
    <s v="China"/>
    <s v="Mid-range"/>
    <n v="168996"/>
    <n v="3.7"/>
    <n v="4"/>
    <n v="9092177455.4400005"/>
  </r>
  <r>
    <x v="2"/>
    <s v="Model S"/>
    <x v="4"/>
    <s v="Standard"/>
    <n v="122807.61"/>
    <n v="51"/>
    <n v="203"/>
    <n v="177"/>
    <s v="Van"/>
    <n v="4"/>
    <s v="US"/>
    <s v="Luxury"/>
    <n v="162784"/>
    <n v="3.67"/>
    <n v="6"/>
    <n v="19991113986.240002"/>
  </r>
  <r>
    <x v="6"/>
    <s v="Kona Electric"/>
    <x v="4"/>
    <s v="Standard"/>
    <n v="53616.49"/>
    <n v="57.8"/>
    <n v="161"/>
    <n v="147"/>
    <s v="Coupe"/>
    <n v="5"/>
    <s v="South Korea"/>
    <s v="Mid-range"/>
    <n v="78661"/>
    <n v="3.39"/>
    <n v="3"/>
    <n v="4217526719.8899999"/>
  </r>
  <r>
    <x v="12"/>
    <s v="Bolt EV"/>
    <x v="4"/>
    <s v="Performance"/>
    <n v="43772.41"/>
    <n v="113.5"/>
    <n v="369"/>
    <n v="192"/>
    <s v="SUV"/>
    <n v="4"/>
    <s v="US"/>
    <s v="Mid-range"/>
    <n v="13494"/>
    <n v="3.81"/>
    <n v="4"/>
    <n v="590664900.54000008"/>
  </r>
  <r>
    <x v="2"/>
    <s v="Model Y"/>
    <x v="4"/>
    <s v="Standard"/>
    <n v="118291.58"/>
    <n v="82.5"/>
    <n v="290"/>
    <n v="157"/>
    <s v="Truck"/>
    <n v="5"/>
    <s v="US"/>
    <s v="Luxury"/>
    <n v="419454"/>
    <n v="3.57"/>
    <n v="4"/>
    <n v="49617876397.32"/>
  </r>
  <r>
    <x v="13"/>
    <s v="EQC"/>
    <x v="4"/>
    <s v="Premium"/>
    <n v="167460.91"/>
    <n v="69.900000000000006"/>
    <n v="243"/>
    <n v="175"/>
    <s v="Hatchback"/>
    <n v="4"/>
    <s v="Germany"/>
    <s v="Luxury"/>
    <n v="50533"/>
    <n v="3.71"/>
    <n v="5"/>
    <n v="8462302165.0299997"/>
  </r>
  <r>
    <x v="9"/>
    <s v="i7"/>
    <x v="4"/>
    <s v="Base"/>
    <n v="58695"/>
    <n v="50"/>
    <n v="177"/>
    <n v="155"/>
    <s v="Coupe"/>
    <n v="4"/>
    <s v="Germany"/>
    <s v="Mid-range"/>
    <n v="59887"/>
    <n v="3.39"/>
    <n v="6"/>
    <n v="3515067465"/>
  </r>
  <r>
    <x v="13"/>
    <s v="EQS"/>
    <x v="4"/>
    <s v="Performance"/>
    <n v="183949.91"/>
    <n v="87"/>
    <n v="328"/>
    <n v="200"/>
    <s v="Coupe"/>
    <n v="5"/>
    <s v="Germany"/>
    <s v="Luxury"/>
    <n v="78765"/>
    <n v="4.0599999999999996"/>
    <n v="6"/>
    <n v="14488814661.15"/>
  </r>
  <r>
    <x v="6"/>
    <s v="Ioniq 5"/>
    <x v="4"/>
    <s v="Standard"/>
    <n v="37623.67"/>
    <n v="63.5"/>
    <n v="214"/>
    <n v="165"/>
    <s v="Van"/>
    <n v="4"/>
    <s v="South Korea"/>
    <s v="Mid-range"/>
    <n v="76324"/>
    <n v="3.31"/>
    <n v="4"/>
    <n v="2871588989.0799999"/>
  </r>
  <r>
    <x v="14"/>
    <s v="EL8"/>
    <x v="4"/>
    <s v="Premium"/>
    <n v="68322.210000000006"/>
    <n v="64.5"/>
    <n v="203"/>
    <n v="143"/>
    <s v="Coupe"/>
    <n v="5"/>
    <s v="China"/>
    <s v="Premium"/>
    <n v="2458"/>
    <n v="3.46"/>
    <n v="4"/>
    <n v="167935992.18000001"/>
  </r>
  <r>
    <x v="2"/>
    <s v="Model Y"/>
    <x v="4"/>
    <s v="Premium"/>
    <n v="91805.32"/>
    <n v="52.7"/>
    <n v="197"/>
    <n v="156"/>
    <s v="Hatchback"/>
    <n v="4"/>
    <s v="US"/>
    <s v="Premium"/>
    <n v="462587"/>
    <n v="3.48"/>
    <n v="5"/>
    <n v="42467947562.840004"/>
  </r>
  <r>
    <x v="12"/>
    <s v="Bolt EV"/>
    <x v="4"/>
    <s v="Base"/>
    <n v="34244.160000000003"/>
    <n v="59.5"/>
    <n v="214"/>
    <n v="163"/>
    <s v="SUV"/>
    <n v="5"/>
    <s v="US"/>
    <s v="Budget"/>
    <n v="29653"/>
    <n v="3.5"/>
    <n v="4"/>
    <n v="1015442076.4800001"/>
  </r>
  <r>
    <x v="5"/>
    <s v="EV9"/>
    <x v="4"/>
    <s v="Standard"/>
    <n v="67166.429999999993"/>
    <n v="71.5"/>
    <n v="240"/>
    <n v="135"/>
    <s v="SUV"/>
    <n v="4"/>
    <s v="South Korea"/>
    <s v="Premium"/>
    <n v="69022"/>
    <n v="3.56"/>
    <n v="5"/>
    <n v="4635961331.4599991"/>
  </r>
  <r>
    <x v="11"/>
    <s v="R1S"/>
    <x v="4"/>
    <s v="Base"/>
    <n v="73774.27"/>
    <n v="67.400000000000006"/>
    <n v="263"/>
    <n v="148"/>
    <s v="Truck"/>
    <n v="5"/>
    <s v="US"/>
    <s v="Premium"/>
    <n v="22100"/>
    <n v="3.49"/>
    <n v="4"/>
    <n v="1630411367"/>
  </r>
  <r>
    <x v="2"/>
    <s v="Model Y"/>
    <x v="4"/>
    <s v="Long Range"/>
    <n v="98420.53"/>
    <n v="75.3"/>
    <n v="267"/>
    <n v="165"/>
    <s v="Hatchback"/>
    <n v="5"/>
    <s v="US"/>
    <s v="Premium"/>
    <n v="459091"/>
    <n v="3.73"/>
    <n v="6"/>
    <n v="45183979538.229996"/>
  </r>
  <r>
    <x v="12"/>
    <s v="Silverado EV"/>
    <x v="4"/>
    <s v="Standard"/>
    <n v="42545.39"/>
    <n v="40"/>
    <n v="150"/>
    <n v="171"/>
    <s v="Sedan"/>
    <n v="3"/>
    <s v="US"/>
    <s v="Mid-range"/>
    <n v="11545"/>
    <n v="3.42"/>
    <n v="4"/>
    <n v="491186527.55000001"/>
  </r>
  <r>
    <x v="11"/>
    <s v="R1S"/>
    <x v="4"/>
    <s v="Standard"/>
    <n v="86119.94"/>
    <n v="52.4"/>
    <n v="172"/>
    <n v="170"/>
    <s v="Van"/>
    <n v="4"/>
    <s v="US"/>
    <s v="Premium"/>
    <n v="1755"/>
    <n v="3.19"/>
    <n v="4"/>
    <n v="151140494.70000002"/>
  </r>
  <r>
    <x v="1"/>
    <s v="Ronin"/>
    <x v="4"/>
    <s v="Performance"/>
    <n v="77587.25"/>
    <n v="78.3"/>
    <n v="296"/>
    <n v="198"/>
    <s v="Sedan"/>
    <n v="4"/>
    <s v="US"/>
    <s v="Premium"/>
    <n v="24352"/>
    <n v="3.46"/>
    <n v="5"/>
    <n v="1889404712"/>
  </r>
  <r>
    <x v="2"/>
    <s v="Cybertruck"/>
    <x v="4"/>
    <s v="Premium"/>
    <n v="49738.35"/>
    <n v="47"/>
    <n v="150"/>
    <n v="165"/>
    <s v="Truck"/>
    <n v="5"/>
    <s v="US"/>
    <s v="Mid-range"/>
    <n v="179970"/>
    <n v="3.63"/>
    <n v="5"/>
    <n v="8951410849.5"/>
  </r>
  <r>
    <x v="2"/>
    <s v="Model 3"/>
    <x v="4"/>
    <s v="Long Range"/>
    <n v="148635.93"/>
    <n v="103.2"/>
    <n v="360"/>
    <n v="165"/>
    <s v="Van"/>
    <n v="3"/>
    <s v="US"/>
    <s v="Luxury"/>
    <n v="108335"/>
    <n v="3.96"/>
    <n v="4"/>
    <n v="16102473476.549999"/>
  </r>
  <r>
    <x v="3"/>
    <s v="Max"/>
    <x v="4"/>
    <s v="Premium"/>
    <n v="113232.12"/>
    <n v="50"/>
    <n v="173"/>
    <n v="154"/>
    <s v="Coupe"/>
    <n v="4"/>
    <s v="China"/>
    <s v="Luxury"/>
    <n v="184045"/>
    <n v="3.17"/>
    <n v="5"/>
    <n v="20839805525.399998"/>
  </r>
  <r>
    <x v="5"/>
    <s v="Niro EV"/>
    <x v="4"/>
    <s v="Long Range"/>
    <n v="40789.370000000003"/>
    <n v="85.6"/>
    <n v="279"/>
    <n v="165"/>
    <s v="Coupe"/>
    <n v="5"/>
    <s v="South Korea"/>
    <s v="Mid-range"/>
    <n v="63756"/>
    <n v="3.57"/>
    <n v="4"/>
    <n v="2600567073.7200003"/>
  </r>
  <r>
    <x v="16"/>
    <s v="SU7"/>
    <x v="4"/>
    <s v="Long Range"/>
    <n v="95394.53"/>
    <n v="76.400000000000006"/>
    <n v="243"/>
    <n v="168"/>
    <s v="SUV"/>
    <n v="5"/>
    <s v="China"/>
    <s v="Premium"/>
    <n v="8671"/>
    <n v="3.55"/>
    <n v="3"/>
    <n v="827165969.63"/>
  </r>
  <r>
    <x v="3"/>
    <s v="Seagull"/>
    <x v="4"/>
    <s v="Base"/>
    <n v="16613.009999999998"/>
    <n v="55.9"/>
    <n v="237"/>
    <n v="169"/>
    <s v="Sedan"/>
    <n v="3"/>
    <s v="China"/>
    <s v="Budget"/>
    <n v="205452"/>
    <n v="3.37"/>
    <n v="5"/>
    <n v="3413176130.5199995"/>
  </r>
  <r>
    <x v="4"/>
    <s v="e-tron GT"/>
    <x v="4"/>
    <s v="Base"/>
    <n v="86243.23"/>
    <n v="60.4"/>
    <n v="208"/>
    <n v="169"/>
    <s v="Sedan"/>
    <n v="4"/>
    <s v="Germany"/>
    <s v="Premium"/>
    <n v="24433"/>
    <n v="3.51"/>
    <n v="6"/>
    <n v="2107180838.5899999"/>
  </r>
  <r>
    <x v="7"/>
    <s v="ID.4"/>
    <x v="4"/>
    <s v="Long Range"/>
    <n v="67671.59"/>
    <n v="106.9"/>
    <n v="369"/>
    <n v="166"/>
    <s v="SUV"/>
    <n v="4"/>
    <s v="Germany"/>
    <s v="Premium"/>
    <n v="268234"/>
    <n v="3.88"/>
    <n v="4"/>
    <n v="18151821272.059998"/>
  </r>
  <r>
    <x v="3"/>
    <s v="Atto 3"/>
    <x v="4"/>
    <s v="Long Range"/>
    <n v="71451.87"/>
    <n v="76.8"/>
    <n v="260"/>
    <n v="166"/>
    <s v="Van"/>
    <n v="5"/>
    <s v="China"/>
    <s v="Premium"/>
    <n v="111875"/>
    <n v="3.51"/>
    <n v="4"/>
    <n v="7993677956.249999"/>
  </r>
  <r>
    <x v="2"/>
    <s v="Model Y"/>
    <x v="4"/>
    <s v="Long Range"/>
    <n v="114549.61"/>
    <n v="101"/>
    <n v="338"/>
    <n v="178"/>
    <s v="Coupe"/>
    <n v="5"/>
    <s v="US"/>
    <s v="Luxury"/>
    <n v="473485"/>
    <n v="4.07"/>
    <n v="4"/>
    <n v="54237522090.849998"/>
  </r>
  <r>
    <x v="15"/>
    <s v="Taycan"/>
    <x v="4"/>
    <s v="Premium"/>
    <n v="143428.04999999999"/>
    <n v="66.099999999999994"/>
    <n v="213"/>
    <n v="148"/>
    <s v="Coupe"/>
    <n v="4"/>
    <s v="Germany"/>
    <s v="Luxury"/>
    <n v="6555"/>
    <n v="3.83"/>
    <n v="7"/>
    <n v="940170867.74999988"/>
  </r>
  <r>
    <x v="0"/>
    <s v="bZ Compact SUV"/>
    <x v="4"/>
    <s v="Long Range"/>
    <n v="85221.63"/>
    <n v="86.5"/>
    <n v="314"/>
    <n v="181"/>
    <s v="SUV"/>
    <n v="4"/>
    <s v="Japan"/>
    <s v="Premium"/>
    <n v="12454"/>
    <n v="3.6"/>
    <n v="4"/>
    <n v="1061350180.0200001"/>
  </r>
  <r>
    <x v="2"/>
    <s v="Model X"/>
    <x v="4"/>
    <s v="Premium"/>
    <n v="57311.05"/>
    <n v="46.2"/>
    <n v="178"/>
    <n v="148"/>
    <s v="Hatchback"/>
    <n v="5"/>
    <s v="US"/>
    <s v="Mid-range"/>
    <n v="103833"/>
    <n v="3.5"/>
    <n v="5"/>
    <n v="5950778254.6500006"/>
  </r>
  <r>
    <x v="9"/>
    <s v="i3"/>
    <x v="4"/>
    <s v="Premium"/>
    <n v="79371.520000000004"/>
    <n v="75.599999999999994"/>
    <n v="287"/>
    <n v="165"/>
    <s v="Hatchback"/>
    <n v="5"/>
    <s v="Germany"/>
    <s v="Premium"/>
    <n v="73538"/>
    <n v="3.37"/>
    <n v="6"/>
    <n v="5836822837.7600002"/>
  </r>
  <r>
    <x v="5"/>
    <s v="Picanto EV"/>
    <x v="4"/>
    <s v="Performance"/>
    <n v="42779.06"/>
    <n v="92.5"/>
    <n v="294"/>
    <n v="195"/>
    <s v="SUV"/>
    <n v="4"/>
    <s v="South Korea"/>
    <s v="Mid-range"/>
    <n v="60355"/>
    <n v="3.59"/>
    <n v="5"/>
    <n v="2581930166.2999997"/>
  </r>
  <r>
    <x v="3"/>
    <s v="Atto 3"/>
    <x v="4"/>
    <s v="Premium"/>
    <n v="65610.45"/>
    <n v="55.7"/>
    <n v="208"/>
    <n v="130"/>
    <s v="Sedan"/>
    <n v="4"/>
    <s v="China"/>
    <s v="Premium"/>
    <n v="108967"/>
    <n v="3.37"/>
    <n v="5"/>
    <n v="7149373905.1499996"/>
  </r>
  <r>
    <x v="2"/>
    <s v="Cybertruck"/>
    <x v="4"/>
    <s v="Long Range"/>
    <n v="71380.399999999994"/>
    <n v="86.4"/>
    <n v="314"/>
    <n v="179"/>
    <s v="Truck"/>
    <n v="5"/>
    <s v="US"/>
    <s v="Premium"/>
    <n v="213989"/>
    <n v="3.69"/>
    <n v="4"/>
    <n v="15274620415.599998"/>
  </r>
  <r>
    <x v="8"/>
    <s v="F-150 Lightning"/>
    <x v="4"/>
    <s v="Premium"/>
    <n v="79235.67"/>
    <n v="56.8"/>
    <n v="213"/>
    <n v="142"/>
    <s v="Truck"/>
    <n v="4"/>
    <s v="US"/>
    <s v="Premium"/>
    <n v="59746"/>
    <n v="3.32"/>
    <n v="4"/>
    <n v="4734014339.8199997"/>
  </r>
  <r>
    <x v="3"/>
    <s v="Max"/>
    <x v="4"/>
    <s v="Premium"/>
    <n v="88218.65"/>
    <n v="54.7"/>
    <n v="210"/>
    <n v="158"/>
    <s v="Coupe"/>
    <n v="4"/>
    <s v="China"/>
    <s v="Premium"/>
    <n v="227690"/>
    <n v="3.41"/>
    <n v="4"/>
    <n v="20086504418.5"/>
  </r>
  <r>
    <x v="4"/>
    <s v="e-tron GT"/>
    <x v="4"/>
    <s v="Performance"/>
    <n v="121871.7"/>
    <n v="86.2"/>
    <n v="305"/>
    <n v="200"/>
    <s v="Van"/>
    <n v="5"/>
    <s v="Germany"/>
    <s v="Luxury"/>
    <n v="31338"/>
    <n v="3.61"/>
    <n v="7"/>
    <n v="3819215334.5999999"/>
  </r>
  <r>
    <x v="5"/>
    <s v="Sportage EV"/>
    <x v="4"/>
    <s v="Standard"/>
    <n v="31797.34"/>
    <n v="45.6"/>
    <n v="150"/>
    <n v="145"/>
    <s v="SUV"/>
    <n v="4"/>
    <s v="South Korea"/>
    <s v="Budget"/>
    <n v="131619"/>
    <n v="3.27"/>
    <n v="3"/>
    <n v="4185134093.46"/>
  </r>
  <r>
    <x v="4"/>
    <s v="e-tron"/>
    <x v="4"/>
    <s v="Long Range"/>
    <n v="123736.19"/>
    <n v="81.7"/>
    <n v="310"/>
    <n v="174"/>
    <s v="Coupe"/>
    <n v="5"/>
    <s v="Germany"/>
    <s v="Luxury"/>
    <n v="45413"/>
    <n v="3.78"/>
    <n v="6"/>
    <n v="5619231596.4700003"/>
  </r>
  <r>
    <x v="8"/>
    <s v="Explorer EV"/>
    <x v="4"/>
    <s v="Premium"/>
    <n v="80541.59"/>
    <n v="73.3"/>
    <n v="280"/>
    <n v="141"/>
    <s v="Coupe"/>
    <n v="5"/>
    <s v="US"/>
    <s v="Premium"/>
    <n v="37698"/>
    <n v="3.44"/>
    <n v="3"/>
    <n v="3036256859.8199997"/>
  </r>
  <r>
    <x v="7"/>
    <s v="ID. Buzz"/>
    <x v="4"/>
    <s v="Standard"/>
    <n v="46173.34"/>
    <n v="51.5"/>
    <n v="190"/>
    <n v="148"/>
    <s v="Sedan"/>
    <n v="5"/>
    <s v="Germany"/>
    <s v="Mid-range"/>
    <n v="274696"/>
    <n v="3.4"/>
    <n v="3"/>
    <n v="12683631804.639999"/>
  </r>
  <r>
    <x v="2"/>
    <s v="Model Y"/>
    <x v="4"/>
    <s v="Premium"/>
    <n v="137035.03"/>
    <n v="58.5"/>
    <n v="224"/>
    <n v="151"/>
    <s v="Hatchback"/>
    <n v="4"/>
    <s v="US"/>
    <s v="Luxury"/>
    <n v="429314"/>
    <n v="3.65"/>
    <n v="4"/>
    <n v="58831056869.419998"/>
  </r>
  <r>
    <x v="9"/>
    <s v="i4"/>
    <x v="4"/>
    <s v="Standard"/>
    <n v="96459.23"/>
    <n v="81"/>
    <n v="288"/>
    <n v="121"/>
    <s v="Truck"/>
    <n v="4"/>
    <s v="Germany"/>
    <s v="Premium"/>
    <n v="64056"/>
    <n v="3.51"/>
    <n v="5"/>
    <n v="6178792436.8800001"/>
  </r>
  <r>
    <x v="6"/>
    <s v="Kona Electric"/>
    <x v="4"/>
    <s v="Premium"/>
    <n v="97251.62"/>
    <n v="60.7"/>
    <n v="196"/>
    <n v="148"/>
    <s v="SUV"/>
    <n v="5"/>
    <s v="South Korea"/>
    <s v="Premium"/>
    <n v="59030"/>
    <n v="3.11"/>
    <n v="4"/>
    <n v="5740763128.5999994"/>
  </r>
  <r>
    <x v="6"/>
    <s v="i30"/>
    <x v="4"/>
    <s v="Long Range"/>
    <n v="63320.42"/>
    <n v="102.7"/>
    <n v="353"/>
    <n v="160"/>
    <s v="Sedan"/>
    <n v="5"/>
    <s v="South Korea"/>
    <s v="Mid-range"/>
    <n v="132537"/>
    <n v="3.75"/>
    <n v="3"/>
    <n v="8392298505.54"/>
  </r>
  <r>
    <x v="13"/>
    <s v="GLE EV"/>
    <x v="4"/>
    <s v="Base"/>
    <n v="62600.82"/>
    <n v="55.9"/>
    <n v="179"/>
    <n v="145"/>
    <s v="Van"/>
    <n v="3"/>
    <s v="Germany"/>
    <s v="Mid-range"/>
    <n v="69358"/>
    <n v="3.66"/>
    <n v="7"/>
    <n v="4341867673.5600004"/>
  </r>
  <r>
    <x v="2"/>
    <s v="Model S"/>
    <x v="4"/>
    <s v="Long Range"/>
    <n v="156702.49"/>
    <n v="102.8"/>
    <n v="353"/>
    <n v="157"/>
    <s v="Sedan"/>
    <n v="5"/>
    <s v="US"/>
    <s v="Luxury"/>
    <n v="132013"/>
    <n v="3.89"/>
    <n v="5"/>
    <n v="20686765812.369999"/>
  </r>
  <r>
    <x v="2"/>
    <s v="Cybertruck"/>
    <x v="4"/>
    <s v="Standard"/>
    <n v="101208.82"/>
    <n v="52.4"/>
    <n v="172"/>
    <n v="147"/>
    <s v="Truck"/>
    <n v="5"/>
    <s v="US"/>
    <s v="Luxury"/>
    <n v="248389"/>
    <n v="3.58"/>
    <n v="5"/>
    <n v="25139157590.980003"/>
  </r>
  <r>
    <x v="3"/>
    <s v="Dolphin"/>
    <x v="4"/>
    <s v="Standard"/>
    <n v="57387.97"/>
    <n v="47.9"/>
    <n v="180"/>
    <n v="164"/>
    <s v="Sedan"/>
    <n v="5"/>
    <s v="China"/>
    <s v="Mid-range"/>
    <n v="181198"/>
    <n v="3.34"/>
    <n v="4"/>
    <n v="10398585388.059999"/>
  </r>
  <r>
    <x v="5"/>
    <s v="EV6"/>
    <x v="4"/>
    <s v="Base"/>
    <n v="72870.48"/>
    <n v="81.7"/>
    <n v="288"/>
    <n v="174"/>
    <s v="Truck"/>
    <n v="5"/>
    <s v="South Korea"/>
    <s v="Premium"/>
    <n v="68801"/>
    <n v="3.48"/>
    <n v="3"/>
    <n v="5013561894.4799995"/>
  </r>
  <r>
    <x v="12"/>
    <s v="Bolt EUV"/>
    <x v="4"/>
    <s v="Long Range"/>
    <n v="61730.85"/>
    <n v="78.599999999999994"/>
    <n v="279"/>
    <n v="183"/>
    <s v="Coupe"/>
    <n v="5"/>
    <s v="US"/>
    <s v="Mid-range"/>
    <n v="10777"/>
    <n v="3.75"/>
    <n v="4"/>
    <n v="665273370.44999993"/>
  </r>
  <r>
    <x v="2"/>
    <s v="Model 3"/>
    <x v="4"/>
    <s v="Base"/>
    <n v="88042.89"/>
    <n v="46.2"/>
    <n v="164"/>
    <n v="138"/>
    <s v="Sedan"/>
    <n v="3"/>
    <s v="US"/>
    <s v="Premium"/>
    <n v="108761"/>
    <n v="3.42"/>
    <n v="5"/>
    <n v="9575632759.289999"/>
  </r>
  <r>
    <x v="1"/>
    <s v="Ronin"/>
    <x v="4"/>
    <s v="Performance"/>
    <n v="159067.16"/>
    <n v="109.7"/>
    <n v="402"/>
    <n v="178"/>
    <s v="Van"/>
    <n v="5"/>
    <s v="US"/>
    <s v="Luxury"/>
    <n v="23252"/>
    <n v="3.93"/>
    <n v="3"/>
    <n v="3698629604.3200002"/>
  </r>
  <r>
    <x v="1"/>
    <s v="Ocean"/>
    <x v="4"/>
    <s v="Long Range"/>
    <n v="93018.72"/>
    <n v="83.7"/>
    <n v="313"/>
    <n v="182"/>
    <s v="Sedan"/>
    <n v="5"/>
    <s v="US"/>
    <s v="Premium"/>
    <n v="1655"/>
    <n v="3.46"/>
    <n v="5"/>
    <n v="153945981.59999999"/>
  </r>
  <r>
    <x v="7"/>
    <s v="ID.4"/>
    <x v="4"/>
    <s v="Premium"/>
    <n v="112817.29"/>
    <n v="66.099999999999994"/>
    <n v="213"/>
    <n v="142"/>
    <s v="Sedan"/>
    <n v="5"/>
    <s v="Germany"/>
    <s v="Luxury"/>
    <n v="244997"/>
    <n v="3.38"/>
    <n v="3"/>
    <n v="27639897598.129997"/>
  </r>
  <r>
    <x v="16"/>
    <s v="SU7"/>
    <x v="4"/>
    <s v="Base"/>
    <n v="67624.72"/>
    <n v="50.5"/>
    <n v="190"/>
    <n v="168"/>
    <s v="Truck"/>
    <n v="5"/>
    <s v="China"/>
    <s v="Premium"/>
    <n v="26829"/>
    <n v="3.48"/>
    <n v="4"/>
    <n v="1814303612.8800001"/>
  </r>
  <r>
    <x v="7"/>
    <s v="ID.4"/>
    <x v="4"/>
    <s v="Standard"/>
    <n v="45198.239999999998"/>
    <n v="56.5"/>
    <n v="198"/>
    <n v="139"/>
    <s v="Truck"/>
    <n v="5"/>
    <s v="Germany"/>
    <s v="Mid-range"/>
    <n v="251931"/>
    <n v="3.32"/>
    <n v="3"/>
    <n v="11386837801.439999"/>
  </r>
  <r>
    <x v="12"/>
    <s v="Bolt EUV"/>
    <x v="4"/>
    <s v="Standard"/>
    <n v="57065.27"/>
    <n v="44.6"/>
    <n v="150"/>
    <n v="167"/>
    <s v="SUV"/>
    <n v="5"/>
    <s v="US"/>
    <s v="Mid-range"/>
    <n v="24368"/>
    <n v="3.41"/>
    <n v="4"/>
    <n v="1390566499.3599999"/>
  </r>
  <r>
    <x v="2"/>
    <s v="Model 3"/>
    <x v="4"/>
    <s v="Performance"/>
    <n v="171221.67"/>
    <n v="95.1"/>
    <n v="329"/>
    <n v="196"/>
    <s v="Van"/>
    <n v="5"/>
    <s v="US"/>
    <s v="Luxury"/>
    <n v="247330"/>
    <n v="3.88"/>
    <n v="4"/>
    <n v="42348255641.100006"/>
  </r>
  <r>
    <x v="9"/>
    <s v="i5"/>
    <x v="4"/>
    <s v="Performance"/>
    <n v="143876.35"/>
    <n v="81.7"/>
    <n v="261"/>
    <n v="197"/>
    <s v="Truck"/>
    <n v="3"/>
    <s v="Germany"/>
    <s v="Luxury"/>
    <n v="37253"/>
    <n v="3.67"/>
    <n v="6"/>
    <n v="5359825666.5500002"/>
  </r>
  <r>
    <x v="9"/>
    <s v="iX"/>
    <x v="4"/>
    <s v="Base"/>
    <n v="62907.37"/>
    <n v="84"/>
    <n v="296"/>
    <n v="134"/>
    <s v="SUV"/>
    <n v="5"/>
    <s v="Germany"/>
    <s v="Mid-range"/>
    <n v="49240"/>
    <n v="3.56"/>
    <n v="7"/>
    <n v="3097558898.8000002"/>
  </r>
  <r>
    <x v="0"/>
    <s v="bZ Compact SUV"/>
    <x v="4"/>
    <s v="Standard"/>
    <n v="53125"/>
    <n v="63.6"/>
    <n v="233"/>
    <n v="151"/>
    <s v="SUV"/>
    <n v="4"/>
    <s v="Japan"/>
    <s v="Mid-range"/>
    <n v="19789"/>
    <n v="3.34"/>
    <n v="4"/>
    <n v="1051290625"/>
  </r>
  <r>
    <x v="10"/>
    <n v="3"/>
    <x v="4"/>
    <s v="Standard"/>
    <n v="76930.78"/>
    <n v="77.7"/>
    <n v="257"/>
    <n v="159"/>
    <s v="Truck"/>
    <n v="4"/>
    <s v="Sweden"/>
    <s v="Premium"/>
    <n v="17188"/>
    <n v="3.48"/>
    <n v="4"/>
    <n v="1322286246.6399999"/>
  </r>
  <r>
    <x v="7"/>
    <s v="ID. Aero"/>
    <x v="4"/>
    <s v="Performance"/>
    <n v="115397.77"/>
    <n v="79.599999999999994"/>
    <n v="282"/>
    <n v="200"/>
    <s v="Sedan"/>
    <n v="4"/>
    <s v="Germany"/>
    <s v="Luxury"/>
    <n v="296594"/>
    <n v="3.51"/>
    <n v="4"/>
    <n v="34226286195.380001"/>
  </r>
  <r>
    <x v="11"/>
    <s v="R2"/>
    <x v="4"/>
    <s v="Standard"/>
    <n v="78385.679999999993"/>
    <n v="79.7"/>
    <n v="248"/>
    <n v="154"/>
    <s v="Hatchback"/>
    <n v="5"/>
    <s v="US"/>
    <s v="Premium"/>
    <n v="12601"/>
    <n v="3.59"/>
    <n v="5"/>
    <n v="987737953.67999995"/>
  </r>
  <r>
    <x v="8"/>
    <s v="E-Transit"/>
    <x v="4"/>
    <s v="Long Range"/>
    <n v="84501.24"/>
    <n v="98.1"/>
    <n v="342"/>
    <n v="179"/>
    <s v="Coupe"/>
    <n v="5"/>
    <s v="US"/>
    <s v="Premium"/>
    <n v="72596"/>
    <n v="3.61"/>
    <n v="5"/>
    <n v="6134452019.04"/>
  </r>
  <r>
    <x v="9"/>
    <s v="i3"/>
    <x v="4"/>
    <s v="Standard"/>
    <n v="108424.86"/>
    <n v="43.9"/>
    <n v="164"/>
    <n v="143"/>
    <s v="SUV"/>
    <n v="5"/>
    <s v="Germany"/>
    <s v="Luxury"/>
    <n v="72604"/>
    <n v="3.14"/>
    <n v="6"/>
    <n v="7872078535.4399996"/>
  </r>
  <r>
    <x v="7"/>
    <s v="ID.5"/>
    <x v="4"/>
    <s v="Premium"/>
    <n v="43023.64"/>
    <n v="77.900000000000006"/>
    <n v="261"/>
    <n v="163"/>
    <s v="Truck"/>
    <n v="5"/>
    <s v="Germany"/>
    <s v="Mid-range"/>
    <n v="246474"/>
    <n v="3.55"/>
    <n v="5"/>
    <n v="10604208645.360001"/>
  </r>
  <r>
    <x v="2"/>
    <s v="Model X"/>
    <x v="4"/>
    <s v="Premium"/>
    <n v="157561.98000000001"/>
    <n v="49.5"/>
    <n v="189"/>
    <n v="134"/>
    <s v="SUV"/>
    <n v="4"/>
    <s v="US"/>
    <s v="Luxury"/>
    <n v="163095"/>
    <n v="3.57"/>
    <n v="4"/>
    <n v="25697571128.100002"/>
  </r>
  <r>
    <x v="6"/>
    <s v="Ioniq 5"/>
    <x v="4"/>
    <s v="Performance"/>
    <n v="61789.95"/>
    <n v="103.8"/>
    <n v="357"/>
    <n v="194"/>
    <s v="Sedan"/>
    <n v="5"/>
    <s v="South Korea"/>
    <s v="Mid-range"/>
    <n v="110783"/>
    <n v="3.54"/>
    <n v="4"/>
    <n v="6845276030.8499994"/>
  </r>
  <r>
    <x v="2"/>
    <s v="Model 3"/>
    <x v="4"/>
    <s v="Performance"/>
    <n v="109834.54"/>
    <n v="79.900000000000006"/>
    <n v="262"/>
    <n v="195"/>
    <s v="Hatchback"/>
    <n v="3"/>
    <s v="US"/>
    <s v="Luxury"/>
    <n v="219324"/>
    <n v="3.91"/>
    <n v="5"/>
    <n v="24089350650.959999"/>
  </r>
  <r>
    <x v="2"/>
    <s v="Model Y"/>
    <x v="4"/>
    <s v="Long Range"/>
    <n v="158710.22"/>
    <n v="93.6"/>
    <n v="300"/>
    <n v="182"/>
    <s v="Van"/>
    <n v="5"/>
    <s v="US"/>
    <s v="Luxury"/>
    <n v="416641"/>
    <n v="3.68"/>
    <n v="5"/>
    <n v="66125184771.020004"/>
  </r>
  <r>
    <x v="6"/>
    <s v="Ioniq 6"/>
    <x v="4"/>
    <s v="Premium"/>
    <n v="58686.32"/>
    <n v="81.599999999999994"/>
    <n v="285"/>
    <n v="161"/>
    <s v="Truck"/>
    <n v="5"/>
    <s v="South Korea"/>
    <s v="Mid-range"/>
    <n v="66241"/>
    <n v="3.36"/>
    <n v="4"/>
    <n v="3887440523.1199999"/>
  </r>
  <r>
    <x v="5"/>
    <s v="EV9"/>
    <x v="4"/>
    <s v="Performance"/>
    <n v="50056.29"/>
    <n v="111.5"/>
    <n v="391"/>
    <n v="195"/>
    <s v="SUV"/>
    <n v="3"/>
    <s v="South Korea"/>
    <s v="Mid-range"/>
    <n v="140441"/>
    <n v="3.97"/>
    <n v="5"/>
    <n v="7029955423.8900003"/>
  </r>
  <r>
    <x v="12"/>
    <s v="Equinox EV"/>
    <x v="4"/>
    <s v="Long Range"/>
    <n v="58896.05"/>
    <n v="104.7"/>
    <n v="389"/>
    <n v="184"/>
    <s v="SUV"/>
    <n v="4"/>
    <s v="US"/>
    <s v="Mid-range"/>
    <n v="16859"/>
    <n v="3.94"/>
    <n v="5"/>
    <n v="992928506.95000005"/>
  </r>
  <r>
    <x v="13"/>
    <s v="EQG"/>
    <x v="4"/>
    <s v="Long Range"/>
    <n v="113572.04"/>
    <n v="85.7"/>
    <n v="286"/>
    <n v="177"/>
    <s v="Van"/>
    <n v="4"/>
    <s v="Germany"/>
    <s v="Luxury"/>
    <n v="73690"/>
    <n v="3.79"/>
    <n v="7"/>
    <n v="8369123627.5999994"/>
  </r>
  <r>
    <x v="2"/>
    <s v="Model Y"/>
    <x v="4"/>
    <s v="Premium"/>
    <n v="168092.71"/>
    <n v="81.2"/>
    <n v="269"/>
    <n v="124"/>
    <s v="Coupe"/>
    <n v="3"/>
    <s v="US"/>
    <s v="Luxury"/>
    <n v="434155"/>
    <n v="3.8"/>
    <n v="6"/>
    <n v="72978290510.050003"/>
  </r>
  <r>
    <x v="2"/>
    <s v="Model Y"/>
    <x v="4"/>
    <s v="Premium"/>
    <n v="166324.35999999999"/>
    <n v="61.4"/>
    <n v="212"/>
    <n v="136"/>
    <s v="Truck"/>
    <n v="5"/>
    <s v="US"/>
    <s v="Luxury"/>
    <n v="466326"/>
    <n v="4.26"/>
    <n v="5"/>
    <n v="77561373501.360001"/>
  </r>
  <r>
    <x v="5"/>
    <s v="Picanto EV"/>
    <x v="4"/>
    <s v="Base"/>
    <n v="71842.960000000006"/>
    <n v="77"/>
    <n v="291"/>
    <n v="170"/>
    <s v="Van"/>
    <n v="4"/>
    <s v="South Korea"/>
    <s v="Premium"/>
    <n v="123890"/>
    <n v="3.66"/>
    <n v="3"/>
    <n v="8900624314.4000015"/>
  </r>
  <r>
    <x v="9"/>
    <s v="i5"/>
    <x v="4"/>
    <s v="Long Range"/>
    <n v="117382.51"/>
    <n v="96.5"/>
    <n v="334"/>
    <n v="180"/>
    <s v="Coupe"/>
    <n v="4"/>
    <s v="Germany"/>
    <s v="Luxury"/>
    <n v="33138"/>
    <n v="3.49"/>
    <n v="7"/>
    <n v="3889821616.3799996"/>
  </r>
  <r>
    <x v="8"/>
    <s v="Mustang Mach-E"/>
    <x v="4"/>
    <s v="Base"/>
    <n v="46219.97"/>
    <n v="70.900000000000006"/>
    <n v="239"/>
    <n v="123"/>
    <s v="Van"/>
    <n v="4"/>
    <s v="US"/>
    <s v="Mid-range"/>
    <n v="60684"/>
    <n v="3.43"/>
    <n v="4"/>
    <n v="2804812659.48"/>
  </r>
  <r>
    <x v="2"/>
    <s v="Model S"/>
    <x v="4"/>
    <s v="Base"/>
    <n v="29639.14"/>
    <n v="52.4"/>
    <n v="164"/>
    <n v="171"/>
    <s v="SUV"/>
    <n v="4"/>
    <s v="US"/>
    <s v="Budget"/>
    <n v="195341"/>
    <n v="3.41"/>
    <n v="4"/>
    <n v="5789739246.7399998"/>
  </r>
  <r>
    <x v="12"/>
    <s v="Bolt EV"/>
    <x v="4"/>
    <s v="Long Range"/>
    <n v="41353.279999999999"/>
    <n v="81.8"/>
    <n v="274"/>
    <n v="178"/>
    <s v="Truck"/>
    <n v="4"/>
    <s v="US"/>
    <s v="Mid-range"/>
    <n v="28209"/>
    <n v="3.6"/>
    <n v="4"/>
    <n v="1166534675.52"/>
  </r>
  <r>
    <x v="5"/>
    <s v="Niro EV"/>
    <x v="4"/>
    <s v="Standard"/>
    <n v="42318.559999999998"/>
    <n v="40.5"/>
    <n v="150"/>
    <n v="164"/>
    <s v="Van"/>
    <n v="5"/>
    <s v="South Korea"/>
    <s v="Mid-range"/>
    <n v="90341"/>
    <n v="3.35"/>
    <n v="4"/>
    <n v="3823101028.9599996"/>
  </r>
  <r>
    <x v="2"/>
    <s v="Model Y"/>
    <x v="4"/>
    <s v="Performance"/>
    <n v="162214.07999999999"/>
    <n v="80.599999999999994"/>
    <n v="269"/>
    <n v="200"/>
    <s v="Hatchback"/>
    <n v="5"/>
    <s v="US"/>
    <s v="Luxury"/>
    <n v="443580"/>
    <n v="3.84"/>
    <n v="6"/>
    <n v="71954921606.399994"/>
  </r>
  <r>
    <x v="7"/>
    <s v="ID. Buzz"/>
    <x v="4"/>
    <s v="Performance"/>
    <n v="60928.37"/>
    <n v="119.9"/>
    <n v="406"/>
    <n v="200"/>
    <s v="Truck"/>
    <n v="5"/>
    <s v="Germany"/>
    <s v="Mid-range"/>
    <n v="257710"/>
    <n v="3.56"/>
    <n v="3"/>
    <n v="15701850232.700001"/>
  </r>
  <r>
    <x v="2"/>
    <s v="Model X"/>
    <x v="4"/>
    <s v="Base"/>
    <n v="99143.24"/>
    <n v="56.5"/>
    <n v="200"/>
    <n v="142"/>
    <s v="Coupe"/>
    <n v="3"/>
    <s v="US"/>
    <s v="Premium"/>
    <n v="177987"/>
    <n v="3.6"/>
    <n v="6"/>
    <n v="17646207857.880001"/>
  </r>
  <r>
    <x v="12"/>
    <s v="Bolt EUV"/>
    <x v="4"/>
    <s v="Long Range"/>
    <n v="54182.3"/>
    <n v="85.5"/>
    <n v="299"/>
    <n v="165"/>
    <s v="Truck"/>
    <n v="4"/>
    <s v="US"/>
    <s v="Mid-range"/>
    <n v="4380"/>
    <n v="3.46"/>
    <n v="4"/>
    <n v="237318474"/>
  </r>
  <r>
    <x v="19"/>
    <s v="Air"/>
    <x v="4"/>
    <s v="Premium"/>
    <n v="269775.2"/>
    <n v="76.3"/>
    <n v="276"/>
    <n v="163"/>
    <s v="Hatchback"/>
    <n v="4"/>
    <s v="US"/>
    <s v="Luxury"/>
    <n v="4056"/>
    <n v="3.28"/>
    <n v="4"/>
    <n v="1094208211.2"/>
  </r>
  <r>
    <x v="2"/>
    <s v="Model 3"/>
    <x v="4"/>
    <s v="Premium"/>
    <n v="111275.22"/>
    <n v="82.9"/>
    <n v="291"/>
    <n v="171"/>
    <s v="SUV"/>
    <n v="5"/>
    <s v="US"/>
    <s v="Luxury"/>
    <n v="172863"/>
    <n v="3.88"/>
    <n v="5"/>
    <n v="19235368354.860001"/>
  </r>
  <r>
    <x v="5"/>
    <s v="Picanto EV"/>
    <x v="4"/>
    <s v="Standard"/>
    <n v="32564.1"/>
    <n v="46.2"/>
    <n v="180"/>
    <n v="156"/>
    <s v="Hatchback"/>
    <n v="4"/>
    <s v="South Korea"/>
    <s v="Budget"/>
    <n v="123543"/>
    <n v="3.02"/>
    <n v="3"/>
    <n v="4023066606.2999997"/>
  </r>
  <r>
    <x v="4"/>
    <s v="Q6 e-tron"/>
    <x v="4"/>
    <s v="Base"/>
    <n v="51267.23"/>
    <n v="71.400000000000006"/>
    <n v="241"/>
    <n v="155"/>
    <s v="Sedan"/>
    <n v="4"/>
    <s v="Germany"/>
    <s v="Mid-range"/>
    <n v="64472"/>
    <n v="3.5"/>
    <n v="6"/>
    <n v="3305300852.5600004"/>
  </r>
  <r>
    <x v="3"/>
    <s v="Leaf 50X"/>
    <x v="4"/>
    <s v="Long Range"/>
    <n v="75118.039999999994"/>
    <n v="88.3"/>
    <n v="325"/>
    <n v="189"/>
    <s v="Sedan"/>
    <n v="4"/>
    <s v="China"/>
    <s v="Premium"/>
    <n v="220772"/>
    <n v="3.68"/>
    <n v="3"/>
    <n v="16583959926.879999"/>
  </r>
  <r>
    <x v="9"/>
    <s v="iX"/>
    <x v="4"/>
    <s v="Performance"/>
    <n v="134617.67000000001"/>
    <n v="90.5"/>
    <n v="308"/>
    <n v="190"/>
    <s v="Coupe"/>
    <n v="5"/>
    <s v="Germany"/>
    <s v="Luxury"/>
    <n v="68965"/>
    <n v="3.76"/>
    <n v="7"/>
    <n v="9283907611.5500011"/>
  </r>
  <r>
    <x v="12"/>
    <s v="Bolt EV"/>
    <x v="4"/>
    <s v="Long Range"/>
    <n v="55216.4"/>
    <n v="81.900000000000006"/>
    <n v="299"/>
    <n v="153"/>
    <s v="Coupe"/>
    <n v="5"/>
    <s v="US"/>
    <s v="Mid-range"/>
    <n v="805"/>
    <n v="3.76"/>
    <n v="3"/>
    <n v="44449202"/>
  </r>
  <r>
    <x v="4"/>
    <s v="e-tron"/>
    <x v="4"/>
    <s v="Standard"/>
    <n v="111572.71"/>
    <n v="71.599999999999994"/>
    <n v="265"/>
    <n v="144"/>
    <s v="Hatchback"/>
    <n v="5"/>
    <s v="Germany"/>
    <s v="Luxury"/>
    <n v="58813"/>
    <n v="3.28"/>
    <n v="8"/>
    <n v="6561925793.2300005"/>
  </r>
  <r>
    <x v="2"/>
    <s v="Model X"/>
    <x v="4"/>
    <s v="Performance"/>
    <n v="79743.44"/>
    <n v="90.1"/>
    <n v="322"/>
    <n v="182"/>
    <s v="SUV"/>
    <n v="5"/>
    <s v="US"/>
    <s v="Premium"/>
    <n v="136484"/>
    <n v="3.83"/>
    <n v="6"/>
    <n v="10883703664.960001"/>
  </r>
  <r>
    <x v="7"/>
    <s v="ID. Aero"/>
    <x v="4"/>
    <s v="Base"/>
    <n v="52450.92"/>
    <n v="70.3"/>
    <n v="257"/>
    <n v="135"/>
    <s v="SUV"/>
    <n v="5"/>
    <s v="Germany"/>
    <s v="Mid-range"/>
    <n v="231690"/>
    <n v="3.59"/>
    <n v="4"/>
    <n v="12152353654.799999"/>
  </r>
  <r>
    <x v="6"/>
    <s v="i30"/>
    <x v="4"/>
    <s v="Base"/>
    <n v="53836.77"/>
    <n v="69.5"/>
    <n v="265"/>
    <n v="135"/>
    <s v="Sedan"/>
    <n v="5"/>
    <s v="South Korea"/>
    <s v="Mid-range"/>
    <n v="55119"/>
    <n v="3.5"/>
    <n v="5"/>
    <n v="2967428925.6299996"/>
  </r>
  <r>
    <x v="5"/>
    <s v="Picanto EV"/>
    <x v="4"/>
    <s v="Base"/>
    <n v="34300.06"/>
    <n v="68.3"/>
    <n v="242"/>
    <n v="165"/>
    <s v="Van"/>
    <n v="4"/>
    <s v="South Korea"/>
    <s v="Budget"/>
    <n v="143619"/>
    <n v="3.26"/>
    <n v="4"/>
    <n v="4926140317.1399994"/>
  </r>
  <r>
    <x v="2"/>
    <s v="Model 3"/>
    <x v="4"/>
    <s v="Performance"/>
    <n v="99778.09"/>
    <n v="102.4"/>
    <n v="352"/>
    <n v="200"/>
    <s v="Truck"/>
    <n v="4"/>
    <s v="US"/>
    <s v="Premium"/>
    <n v="186712"/>
    <n v="4.18"/>
    <n v="5"/>
    <n v="18629766740.079998"/>
  </r>
  <r>
    <x v="2"/>
    <s v="Cybertruck"/>
    <x v="4"/>
    <s v="Performance"/>
    <n v="106068.73"/>
    <n v="114.9"/>
    <n v="357"/>
    <n v="200"/>
    <s v="Truck"/>
    <n v="3"/>
    <s v="US"/>
    <s v="Luxury"/>
    <n v="156874"/>
    <n v="4.08"/>
    <n v="5"/>
    <n v="16639425950.019999"/>
  </r>
  <r>
    <x v="3"/>
    <s v="Atto 3"/>
    <x v="4"/>
    <s v="Long Range"/>
    <n v="41904.83"/>
    <n v="88.3"/>
    <n v="325"/>
    <n v="168"/>
    <s v="Truck"/>
    <n v="3"/>
    <s v="China"/>
    <s v="Mid-range"/>
    <n v="239018"/>
    <n v="3.7"/>
    <n v="3"/>
    <n v="10016008656.940001"/>
  </r>
  <r>
    <x v="7"/>
    <s v="ID. Aero"/>
    <x v="4"/>
    <s v="Premium"/>
    <n v="40586.730000000003"/>
    <n v="45"/>
    <n v="173"/>
    <n v="159"/>
    <s v="Coupe"/>
    <n v="4"/>
    <s v="Germany"/>
    <s v="Mid-range"/>
    <n v="268842"/>
    <n v="3.31"/>
    <n v="4"/>
    <n v="10911417666.660002"/>
  </r>
  <r>
    <x v="8"/>
    <s v="Explorer EV"/>
    <x v="4"/>
    <s v="Base"/>
    <n v="54161.53"/>
    <n v="80.099999999999994"/>
    <n v="289"/>
    <n v="137"/>
    <s v="Hatchback"/>
    <n v="4"/>
    <s v="US"/>
    <s v="Mid-range"/>
    <n v="26655"/>
    <n v="3.51"/>
    <n v="4"/>
    <n v="1443675582.1499999"/>
  </r>
  <r>
    <x v="7"/>
    <s v="ID. Aero"/>
    <x v="4"/>
    <s v="Performance"/>
    <n v="92355.03"/>
    <n v="70.8"/>
    <n v="243"/>
    <n v="193"/>
    <s v="Truck"/>
    <n v="4"/>
    <s v="Germany"/>
    <s v="Premium"/>
    <n v="216375"/>
    <n v="3.43"/>
    <n v="5"/>
    <n v="19983319616.25"/>
  </r>
  <r>
    <x v="6"/>
    <s v="Ioniq 6"/>
    <x v="4"/>
    <s v="Performance"/>
    <n v="97949.17"/>
    <n v="88.6"/>
    <n v="324"/>
    <n v="200"/>
    <s v="Hatchback"/>
    <n v="5"/>
    <s v="South Korea"/>
    <s v="Premium"/>
    <n v="105426"/>
    <n v="3.83"/>
    <n v="4"/>
    <n v="10326389196.42"/>
  </r>
  <r>
    <x v="2"/>
    <s v="Cybertruck"/>
    <x v="4"/>
    <s v="Premium"/>
    <n v="112719.54"/>
    <n v="67.5"/>
    <n v="240"/>
    <n v="170"/>
    <s v="Truck"/>
    <n v="5"/>
    <s v="US"/>
    <s v="Luxury"/>
    <n v="138409"/>
    <n v="3.94"/>
    <n v="5"/>
    <n v="15601398811.859999"/>
  </r>
  <r>
    <x v="2"/>
    <s v="Cybertruck"/>
    <x v="4"/>
    <s v="Base"/>
    <n v="112537.97"/>
    <n v="73.400000000000006"/>
    <n v="256"/>
    <n v="125"/>
    <s v="Truck"/>
    <n v="4"/>
    <s v="US"/>
    <s v="Luxury"/>
    <n v="200169"/>
    <n v="3.59"/>
    <n v="5"/>
    <n v="22526612916.93"/>
  </r>
  <r>
    <x v="0"/>
    <s v="bZ4X"/>
    <x v="4"/>
    <s v="Standard"/>
    <n v="65164.24"/>
    <n v="66"/>
    <n v="218"/>
    <n v="152"/>
    <s v="SUV"/>
    <n v="5"/>
    <s v="Japan"/>
    <s v="Premium"/>
    <n v="21633"/>
    <n v="3.39"/>
    <n v="5"/>
    <n v="1409698003.9199998"/>
  </r>
  <r>
    <x v="9"/>
    <s v="i4"/>
    <x v="4"/>
    <s v="Base"/>
    <n v="47596.94"/>
    <n v="81.099999999999994"/>
    <n v="287"/>
    <n v="135"/>
    <s v="Sedan"/>
    <n v="5"/>
    <s v="Germany"/>
    <s v="Mid-range"/>
    <n v="22877"/>
    <n v="3.56"/>
    <n v="7"/>
    <n v="1088875196.3800001"/>
  </r>
  <r>
    <x v="2"/>
    <s v="Model Y"/>
    <x v="4"/>
    <s v="Long Range"/>
    <n v="50416.800000000003"/>
    <n v="92.4"/>
    <n v="336"/>
    <n v="170"/>
    <s v="Sedan"/>
    <n v="4"/>
    <s v="US"/>
    <s v="Mid-range"/>
    <n v="444988"/>
    <n v="3.8"/>
    <n v="5"/>
    <n v="22434870998.400002"/>
  </r>
  <r>
    <x v="12"/>
    <s v="Bolt EUV"/>
    <x v="4"/>
    <s v="Performance"/>
    <n v="98117.57"/>
    <n v="90.3"/>
    <n v="335"/>
    <n v="195"/>
    <s v="Sedan"/>
    <n v="5"/>
    <s v="US"/>
    <s v="Premium"/>
    <n v="23127"/>
    <n v="3.63"/>
    <n v="4"/>
    <n v="2269165041.3900003"/>
  </r>
  <r>
    <x v="9"/>
    <s v="i5"/>
    <x v="4"/>
    <s v="Standard"/>
    <n v="91502.74"/>
    <n v="75.2"/>
    <n v="250"/>
    <n v="161"/>
    <s v="Coupe"/>
    <n v="5"/>
    <s v="Germany"/>
    <s v="Premium"/>
    <n v="64217"/>
    <n v="3.55"/>
    <n v="6"/>
    <n v="5876031454.5799999"/>
  </r>
  <r>
    <x v="5"/>
    <s v="Picanto EV"/>
    <x v="4"/>
    <s v="Premium"/>
    <n v="91917.06"/>
    <n v="68.900000000000006"/>
    <n v="237"/>
    <n v="166"/>
    <s v="Van"/>
    <n v="4"/>
    <s v="South Korea"/>
    <s v="Premium"/>
    <n v="124978"/>
    <n v="3.57"/>
    <n v="5"/>
    <n v="11487610324.68"/>
  </r>
  <r>
    <x v="9"/>
    <s v="i5"/>
    <x v="4"/>
    <s v="Performance"/>
    <n v="131247.26"/>
    <n v="113.3"/>
    <n v="405"/>
    <n v="200"/>
    <s v="Truck"/>
    <n v="4"/>
    <s v="Germany"/>
    <s v="Luxury"/>
    <n v="65041"/>
    <n v="3.91"/>
    <n v="8"/>
    <n v="8536453037.6600008"/>
  </r>
  <r>
    <x v="2"/>
    <s v="Model X"/>
    <x v="4"/>
    <s v="Premium"/>
    <n v="46217.919999999998"/>
    <n v="55.9"/>
    <n v="205"/>
    <n v="151"/>
    <s v="Truck"/>
    <n v="4"/>
    <s v="US"/>
    <s v="Mid-range"/>
    <n v="108494"/>
    <n v="3.65"/>
    <n v="5"/>
    <n v="5014367012.4799995"/>
  </r>
  <r>
    <x v="13"/>
    <s v="EQE"/>
    <x v="4"/>
    <s v="Premium"/>
    <n v="146623.72"/>
    <n v="69.099999999999994"/>
    <n v="262"/>
    <n v="176"/>
    <s v="Coupe"/>
    <n v="4"/>
    <s v="Germany"/>
    <s v="Luxury"/>
    <n v="43244"/>
    <n v="3.61"/>
    <n v="7"/>
    <n v="6340596147.6800003"/>
  </r>
  <r>
    <x v="5"/>
    <s v="Picanto EV"/>
    <x v="4"/>
    <s v="Base"/>
    <n v="26810.33"/>
    <n v="75.599999999999994"/>
    <n v="247"/>
    <n v="166"/>
    <s v="SUV"/>
    <n v="5"/>
    <s v="South Korea"/>
    <s v="Budget"/>
    <n v="138862"/>
    <n v="3.48"/>
    <n v="5"/>
    <n v="3722936044.46"/>
  </r>
  <r>
    <x v="12"/>
    <s v="Blazer EV"/>
    <x v="4"/>
    <s v="Premium"/>
    <n v="45723.03"/>
    <n v="55"/>
    <n v="207"/>
    <n v="148"/>
    <s v="SUV"/>
    <n v="5"/>
    <s v="US"/>
    <s v="Mid-range"/>
    <n v="19610"/>
    <n v="3.43"/>
    <n v="4"/>
    <n v="896628618.29999995"/>
  </r>
  <r>
    <x v="8"/>
    <s v="F-150 Lightning"/>
    <x v="4"/>
    <s v="Standard"/>
    <n v="38587"/>
    <n v="78"/>
    <n v="278"/>
    <n v="145"/>
    <s v="Truck"/>
    <n v="5"/>
    <s v="US"/>
    <s v="Mid-range"/>
    <n v="66132"/>
    <n v="3.55"/>
    <n v="5"/>
    <n v="2551835484"/>
  </r>
  <r>
    <x v="8"/>
    <s v="Explorer EV"/>
    <x v="4"/>
    <s v="Performance"/>
    <n v="61417.24"/>
    <n v="107.1"/>
    <n v="370"/>
    <n v="189"/>
    <s v="Coupe"/>
    <n v="5"/>
    <s v="US"/>
    <s v="Mid-range"/>
    <n v="29374"/>
    <n v="3.68"/>
    <n v="3"/>
    <n v="1804070007.76"/>
  </r>
  <r>
    <x v="7"/>
    <s v="ID.4"/>
    <x v="4"/>
    <s v="Performance"/>
    <n v="80127.240000000005"/>
    <n v="106.2"/>
    <n v="352"/>
    <n v="193"/>
    <s v="SUV"/>
    <n v="5"/>
    <s v="Germany"/>
    <s v="Premium"/>
    <n v="267416"/>
    <n v="3.45"/>
    <n v="4"/>
    <n v="21427306011.84"/>
  </r>
  <r>
    <x v="12"/>
    <s v="Bolt EV"/>
    <x v="4"/>
    <s v="Performance"/>
    <n v="54375.97"/>
    <n v="88.9"/>
    <n v="299"/>
    <n v="200"/>
    <s v="Sedan"/>
    <n v="5"/>
    <s v="US"/>
    <s v="Mid-range"/>
    <n v="24792"/>
    <n v="3.55"/>
    <n v="3"/>
    <n v="1348089048.24"/>
  </r>
  <r>
    <x v="3"/>
    <s v="Seagull"/>
    <x v="4"/>
    <s v="Long Range"/>
    <n v="51370.62"/>
    <n v="105.7"/>
    <n v="403"/>
    <n v="177"/>
    <s v="Coupe"/>
    <n v="5"/>
    <s v="China"/>
    <s v="Mid-range"/>
    <n v="177642"/>
    <n v="3.76"/>
    <n v="4"/>
    <n v="9125579678.0400009"/>
  </r>
  <r>
    <x v="9"/>
    <s v="iX"/>
    <x v="4"/>
    <s v="Long Range"/>
    <n v="73854.83"/>
    <n v="96.9"/>
    <n v="322"/>
    <n v="181"/>
    <s v="Hatchback"/>
    <n v="5"/>
    <s v="Germany"/>
    <s v="Premium"/>
    <n v="33084"/>
    <n v="3.64"/>
    <n v="8"/>
    <n v="2443413195.7200003"/>
  </r>
  <r>
    <x v="6"/>
    <s v="Kona Electric"/>
    <x v="4"/>
    <s v="Performance"/>
    <n v="50241.81"/>
    <n v="101.5"/>
    <n v="340"/>
    <n v="193"/>
    <s v="SUV"/>
    <n v="5"/>
    <s v="South Korea"/>
    <s v="Mid-range"/>
    <n v="106270"/>
    <n v="3.67"/>
    <n v="3"/>
    <n v="5339197148.6999998"/>
  </r>
  <r>
    <x v="6"/>
    <s v="Ioniq 6"/>
    <x v="4"/>
    <s v="Performance"/>
    <n v="106647.79"/>
    <n v="98.5"/>
    <n v="363"/>
    <n v="200"/>
    <s v="Coupe"/>
    <n v="5"/>
    <s v="South Korea"/>
    <s v="Luxury"/>
    <n v="149654"/>
    <n v="3.94"/>
    <n v="5"/>
    <n v="15960268364.66"/>
  </r>
  <r>
    <x v="7"/>
    <s v="ID.4"/>
    <x v="4"/>
    <s v="Long Range"/>
    <n v="69709.16"/>
    <n v="99.7"/>
    <n v="349"/>
    <n v="184"/>
    <s v="Truck"/>
    <n v="5"/>
    <s v="Germany"/>
    <s v="Premium"/>
    <n v="273314"/>
    <n v="3.79"/>
    <n v="4"/>
    <n v="19052489356.240002"/>
  </r>
  <r>
    <x v="11"/>
    <s v="R2"/>
    <x v="4"/>
    <s v="Long Range"/>
    <n v="96777.2"/>
    <n v="98.9"/>
    <n v="341"/>
    <n v="179"/>
    <s v="Hatchback"/>
    <n v="5"/>
    <s v="US"/>
    <s v="Premium"/>
    <n v="20918"/>
    <n v="3.83"/>
    <n v="6"/>
    <n v="2024385469.5999999"/>
  </r>
  <r>
    <x v="2"/>
    <s v="Model 3"/>
    <x v="4"/>
    <s v="Performance"/>
    <n v="142117.21"/>
    <n v="102.9"/>
    <n v="353"/>
    <n v="184"/>
    <s v="SUV"/>
    <n v="5"/>
    <s v="US"/>
    <s v="Luxury"/>
    <n v="232616"/>
    <n v="3.85"/>
    <n v="4"/>
    <n v="33058736921.359997"/>
  </r>
  <r>
    <x v="14"/>
    <s v="EL8"/>
    <x v="4"/>
    <s v="Long Range"/>
    <n v="119324.89"/>
    <n v="90.9"/>
    <n v="308"/>
    <n v="168"/>
    <s v="Truck"/>
    <n v="5"/>
    <s v="China"/>
    <s v="Luxury"/>
    <n v="11219"/>
    <n v="3.72"/>
    <n v="5"/>
    <n v="1338705940.9100001"/>
  </r>
  <r>
    <x v="3"/>
    <s v="Leaf 50X"/>
    <x v="4"/>
    <s v="Base"/>
    <n v="45940.66"/>
    <n v="72.5"/>
    <n v="255"/>
    <n v="176"/>
    <s v="Truck"/>
    <n v="5"/>
    <s v="China"/>
    <s v="Mid-range"/>
    <n v="114800"/>
    <n v="3.48"/>
    <n v="3"/>
    <n v="5273987768"/>
  </r>
  <r>
    <x v="2"/>
    <s v="Model S"/>
    <x v="4"/>
    <s v="Performance"/>
    <n v="62920.59"/>
    <n v="91"/>
    <n v="352"/>
    <n v="184"/>
    <s v="Van"/>
    <n v="4"/>
    <s v="US"/>
    <s v="Mid-range"/>
    <n v="248485"/>
    <n v="4.42"/>
    <n v="4"/>
    <n v="15634822806.15"/>
  </r>
  <r>
    <x v="4"/>
    <s v="Q4 e-tron"/>
    <x v="4"/>
    <s v="Premium"/>
    <n v="130055.6"/>
    <n v="60.1"/>
    <n v="232"/>
    <n v="169"/>
    <s v="Sedan"/>
    <n v="4"/>
    <s v="Germany"/>
    <s v="Luxury"/>
    <n v="44054"/>
    <n v="3.23"/>
    <n v="7"/>
    <n v="5729469402.4000006"/>
  </r>
  <r>
    <x v="4"/>
    <s v="Q6 e-tron"/>
    <x v="4"/>
    <s v="Standard"/>
    <n v="55700.85"/>
    <n v="69.099999999999994"/>
    <n v="229"/>
    <n v="173"/>
    <s v="SUV"/>
    <n v="4"/>
    <s v="Germany"/>
    <s v="Mid-range"/>
    <n v="52734"/>
    <n v="3.21"/>
    <n v="8"/>
    <n v="2937328623.9000001"/>
  </r>
  <r>
    <x v="3"/>
    <s v="Dolphin"/>
    <x v="4"/>
    <s v="Long Range"/>
    <n v="75079.649999999994"/>
    <n v="88.3"/>
    <n v="299"/>
    <n v="157"/>
    <s v="Sedan"/>
    <n v="3"/>
    <s v="China"/>
    <s v="Premium"/>
    <n v="149633"/>
    <n v="3.65"/>
    <n v="5"/>
    <n v="11234393268.449999"/>
  </r>
  <r>
    <x v="13"/>
    <s v="EQS"/>
    <x v="4"/>
    <s v="Base"/>
    <n v="126359.58"/>
    <n v="40.6"/>
    <n v="150"/>
    <n v="135"/>
    <s v="Coupe"/>
    <n v="5"/>
    <s v="Germany"/>
    <s v="Luxury"/>
    <n v="31657"/>
    <n v="3.57"/>
    <n v="6"/>
    <n v="4000165224.0599999"/>
  </r>
  <r>
    <x v="9"/>
    <s v="i4"/>
    <x v="4"/>
    <s v="Performance"/>
    <n v="82827.92"/>
    <n v="98.2"/>
    <n v="348"/>
    <n v="195"/>
    <s v="Hatchback"/>
    <n v="4"/>
    <s v="Germany"/>
    <s v="Premium"/>
    <n v="59167"/>
    <n v="3.9"/>
    <n v="6"/>
    <n v="4900679542.6400003"/>
  </r>
  <r>
    <x v="7"/>
    <s v="ID.3"/>
    <x v="4"/>
    <s v="Standard"/>
    <n v="38832.160000000003"/>
    <n v="66.3"/>
    <n v="221"/>
    <n v="145"/>
    <s v="SUV"/>
    <n v="5"/>
    <s v="Germany"/>
    <s v="Mid-range"/>
    <n v="256517"/>
    <n v="3.43"/>
    <n v="3"/>
    <n v="9961109186.7200012"/>
  </r>
  <r>
    <x v="2"/>
    <s v="Cybertruck"/>
    <x v="4"/>
    <s v="Standard"/>
    <n v="125176.94"/>
    <n v="68.400000000000006"/>
    <n v="258"/>
    <n v="154"/>
    <s v="Truck"/>
    <n v="5"/>
    <s v="US"/>
    <s v="Luxury"/>
    <n v="162760"/>
    <n v="3.82"/>
    <n v="5"/>
    <n v="20373798754.400002"/>
  </r>
  <r>
    <x v="12"/>
    <s v="Blazer EV"/>
    <x v="4"/>
    <s v="Long Range"/>
    <n v="46760.47"/>
    <n v="102.4"/>
    <n v="343"/>
    <n v="195"/>
    <s v="Coupe"/>
    <n v="4"/>
    <s v="US"/>
    <s v="Mid-range"/>
    <n v="22048"/>
    <n v="3.73"/>
    <n v="4"/>
    <n v="1030974842.5600001"/>
  </r>
  <r>
    <x v="13"/>
    <s v="GLE EV"/>
    <x v="4"/>
    <s v="Premium"/>
    <n v="134953.72"/>
    <n v="64.8"/>
    <n v="248"/>
    <n v="167"/>
    <s v="Van"/>
    <n v="5"/>
    <s v="Germany"/>
    <s v="Luxury"/>
    <n v="76804"/>
    <n v="3.93"/>
    <n v="6"/>
    <n v="10364985510.879999"/>
  </r>
  <r>
    <x v="5"/>
    <s v="Niro EV"/>
    <x v="4"/>
    <s v="Long Range"/>
    <n v="56059.51"/>
    <n v="98"/>
    <n v="327"/>
    <n v="163"/>
    <s v="Coupe"/>
    <n v="5"/>
    <s v="South Korea"/>
    <s v="Mid-range"/>
    <n v="117679"/>
    <n v="3.63"/>
    <n v="5"/>
    <n v="6597027077.29"/>
  </r>
  <r>
    <x v="6"/>
    <s v="Ioniq 5"/>
    <x v="4"/>
    <s v="Standard"/>
    <n v="60016.36"/>
    <n v="71"/>
    <n v="273"/>
    <n v="164"/>
    <s v="Coupe"/>
    <n v="5"/>
    <s v="South Korea"/>
    <s v="Mid-range"/>
    <n v="80671"/>
    <n v="3.31"/>
    <n v="3"/>
    <n v="4841579777.5600004"/>
  </r>
  <r>
    <x v="15"/>
    <s v="Macan Electric"/>
    <x v="4"/>
    <s v="Premium"/>
    <n v="184202.43"/>
    <n v="79.3"/>
    <n v="290"/>
    <n v="154"/>
    <s v="Coupe"/>
    <n v="5"/>
    <s v="Germany"/>
    <s v="Luxury"/>
    <n v="14726"/>
    <n v="3.66"/>
    <n v="6"/>
    <n v="2712564984.1799998"/>
  </r>
  <r>
    <x v="7"/>
    <s v="ID.5"/>
    <x v="4"/>
    <s v="Long Range"/>
    <n v="52456.57"/>
    <n v="106.8"/>
    <n v="377"/>
    <n v="177"/>
    <s v="SUV"/>
    <n v="4"/>
    <s v="Germany"/>
    <s v="Mid-range"/>
    <n v="214608"/>
    <n v="3.82"/>
    <n v="4"/>
    <n v="11257599574.559999"/>
  </r>
  <r>
    <x v="5"/>
    <s v="Niro EV"/>
    <x v="4"/>
    <s v="Long Range"/>
    <n v="82833.740000000005"/>
    <n v="107.6"/>
    <n v="375"/>
    <n v="173"/>
    <s v="Truck"/>
    <n v="4"/>
    <s v="South Korea"/>
    <s v="Premium"/>
    <n v="98307"/>
    <n v="3.67"/>
    <n v="5"/>
    <n v="8143136478.1800003"/>
  </r>
  <r>
    <x v="3"/>
    <s v="Dolphin"/>
    <x v="4"/>
    <s v="Premium"/>
    <n v="104505.82"/>
    <n v="41.7"/>
    <n v="159"/>
    <n v="153"/>
    <s v="Hatchback"/>
    <n v="5"/>
    <s v="China"/>
    <s v="Luxury"/>
    <n v="111020"/>
    <n v="3.1"/>
    <n v="4"/>
    <n v="11602236136.400002"/>
  </r>
  <r>
    <x v="3"/>
    <s v="Dolphin"/>
    <x v="4"/>
    <s v="Long Range"/>
    <n v="51538.03"/>
    <n v="99.3"/>
    <n v="365"/>
    <n v="175"/>
    <s v="SUV"/>
    <n v="5"/>
    <s v="China"/>
    <s v="Mid-range"/>
    <n v="188274"/>
    <n v="3.73"/>
    <n v="4"/>
    <n v="9703271060.2199993"/>
  </r>
  <r>
    <x v="3"/>
    <s v="Atto 3"/>
    <x v="4"/>
    <s v="Base"/>
    <n v="19083.54"/>
    <n v="44.4"/>
    <n v="151"/>
    <n v="141"/>
    <s v="Truck"/>
    <n v="4"/>
    <s v="China"/>
    <s v="Budget"/>
    <n v="216310"/>
    <n v="3.28"/>
    <n v="3"/>
    <n v="4127960537.4000001"/>
  </r>
  <r>
    <x v="2"/>
    <s v="Model Y"/>
    <x v="4"/>
    <s v="Performance"/>
    <n v="37255.18"/>
    <n v="113.7"/>
    <n v="383"/>
    <n v="200"/>
    <s v="SUV"/>
    <n v="5"/>
    <s v="US"/>
    <s v="Mid-range"/>
    <n v="451073"/>
    <n v="4.2300000000000004"/>
    <n v="5"/>
    <n v="16804805808.139999"/>
  </r>
  <r>
    <x v="3"/>
    <s v="Seagull"/>
    <x v="4"/>
    <s v="Premium"/>
    <n v="51226.67"/>
    <n v="79.599999999999994"/>
    <n v="271"/>
    <n v="167"/>
    <s v="Sedan"/>
    <n v="5"/>
    <s v="China"/>
    <s v="Mid-range"/>
    <n v="143773"/>
    <n v="3.5"/>
    <n v="4"/>
    <n v="7365012025.9099998"/>
  </r>
  <r>
    <x v="9"/>
    <s v="i5"/>
    <x v="4"/>
    <s v="Standard"/>
    <n v="70389.460000000006"/>
    <n v="59.8"/>
    <n v="217"/>
    <n v="142"/>
    <s v="Coupe"/>
    <n v="5"/>
    <s v="Germany"/>
    <s v="Premium"/>
    <n v="76685"/>
    <n v="3.38"/>
    <n v="5"/>
    <n v="5397815740.1000004"/>
  </r>
  <r>
    <x v="5"/>
    <s v="EV6"/>
    <x v="4"/>
    <s v="Standard"/>
    <n v="31230.720000000001"/>
    <n v="71.7"/>
    <n v="250"/>
    <n v="164"/>
    <s v="Sedan"/>
    <n v="5"/>
    <s v="South Korea"/>
    <s v="Budget"/>
    <n v="74025"/>
    <n v="3.37"/>
    <n v="4"/>
    <n v="2311854048"/>
  </r>
  <r>
    <x v="2"/>
    <s v="Cybertruck"/>
    <x v="4"/>
    <s v="Premium"/>
    <n v="148667.6"/>
    <n v="71.3"/>
    <n v="250"/>
    <n v="135"/>
    <s v="Truck"/>
    <n v="5"/>
    <s v="US"/>
    <s v="Luxury"/>
    <n v="117109"/>
    <n v="3.79"/>
    <n v="4"/>
    <n v="17410313968.400002"/>
  </r>
  <r>
    <x v="8"/>
    <s v="Mustang Mach-E"/>
    <x v="4"/>
    <s v="Base"/>
    <n v="38196.949999999997"/>
    <n v="78.2"/>
    <n v="261"/>
    <n v="160"/>
    <s v="Hatchback"/>
    <n v="5"/>
    <s v="US"/>
    <s v="Mid-range"/>
    <n v="25281"/>
    <n v="3.55"/>
    <n v="4"/>
    <n v="965657092.94999993"/>
  </r>
  <r>
    <x v="3"/>
    <s v="Leaf 50X"/>
    <x v="4"/>
    <s v="Long Range"/>
    <n v="77872.95"/>
    <n v="95.8"/>
    <n v="343"/>
    <n v="164"/>
    <s v="SUV"/>
    <n v="4"/>
    <s v="China"/>
    <s v="Premium"/>
    <n v="152424"/>
    <n v="3.65"/>
    <n v="3"/>
    <n v="11869706530.799999"/>
  </r>
  <r>
    <x v="13"/>
    <s v="EQS"/>
    <x v="4"/>
    <s v="Premium"/>
    <n v="200859.77"/>
    <n v="65.8"/>
    <n v="222"/>
    <n v="178"/>
    <s v="Hatchback"/>
    <n v="5"/>
    <s v="Germany"/>
    <s v="Luxury"/>
    <n v="50870"/>
    <n v="3.8"/>
    <n v="7"/>
    <n v="10217736499.9"/>
  </r>
  <r>
    <x v="13"/>
    <s v="EQS"/>
    <x v="4"/>
    <s v="Base"/>
    <n v="111876"/>
    <n v="48.8"/>
    <n v="150"/>
    <n v="153"/>
    <s v="Sedan"/>
    <n v="4"/>
    <s v="Germany"/>
    <s v="Luxury"/>
    <n v="36359"/>
    <n v="3.55"/>
    <n v="8"/>
    <n v="4067699484"/>
  </r>
  <r>
    <x v="8"/>
    <s v="F-150 Lightning"/>
    <x v="4"/>
    <s v="Performance"/>
    <n v="106766.97"/>
    <n v="109.9"/>
    <n v="376"/>
    <n v="200"/>
    <s v="Truck"/>
    <n v="4"/>
    <s v="US"/>
    <s v="Luxury"/>
    <n v="44309"/>
    <n v="3.77"/>
    <n v="3"/>
    <n v="4730737673.7300005"/>
  </r>
  <r>
    <x v="2"/>
    <s v="Model X"/>
    <x v="4"/>
    <s v="Base"/>
    <n v="78351.88"/>
    <n v="83.5"/>
    <n v="303"/>
    <n v="152"/>
    <s v="Truck"/>
    <n v="5"/>
    <s v="US"/>
    <s v="Premium"/>
    <n v="135414"/>
    <n v="3.99"/>
    <n v="4"/>
    <n v="10609941478.32"/>
  </r>
  <r>
    <x v="7"/>
    <s v="ID.4"/>
    <x v="4"/>
    <s v="Standard"/>
    <n v="45113.98"/>
    <n v="80.8"/>
    <n v="294"/>
    <n v="140"/>
    <s v="Sedan"/>
    <n v="4"/>
    <s v="Germany"/>
    <s v="Mid-range"/>
    <n v="248569"/>
    <n v="3.75"/>
    <n v="4"/>
    <n v="11213936894.620001"/>
  </r>
  <r>
    <x v="2"/>
    <s v="Model Y"/>
    <x v="4"/>
    <s v="Base"/>
    <n v="117810.94"/>
    <n v="78.099999999999994"/>
    <n v="253"/>
    <n v="162"/>
    <s v="Coupe"/>
    <n v="4"/>
    <s v="US"/>
    <s v="Luxury"/>
    <n v="402141"/>
    <n v="4.01"/>
    <n v="5"/>
    <n v="47376609222.540001"/>
  </r>
  <r>
    <x v="7"/>
    <s v="ID.4"/>
    <x v="4"/>
    <s v="Long Range"/>
    <n v="69646.080000000002"/>
    <n v="82.9"/>
    <n v="303"/>
    <n v="175"/>
    <s v="Coupe"/>
    <n v="4"/>
    <s v="Germany"/>
    <s v="Premium"/>
    <n v="292447"/>
    <n v="3.87"/>
    <n v="3"/>
    <n v="20367787157.760002"/>
  </r>
  <r>
    <x v="6"/>
    <s v="Ioniq"/>
    <x v="4"/>
    <s v="Performance"/>
    <n v="44796.76"/>
    <n v="104.6"/>
    <n v="359"/>
    <n v="200"/>
    <s v="Sedan"/>
    <n v="5"/>
    <s v="South Korea"/>
    <s v="Mid-range"/>
    <n v="113793"/>
    <n v="4.03"/>
    <n v="4"/>
    <n v="5097557710.6800003"/>
  </r>
  <r>
    <x v="17"/>
    <s v="XC90 Recharge"/>
    <x v="4"/>
    <s v="Standard"/>
    <n v="75390.600000000006"/>
    <n v="43.1"/>
    <n v="156"/>
    <n v="135"/>
    <s v="Van"/>
    <n v="5"/>
    <s v="Sweden"/>
    <s v="Premium"/>
    <n v="16760"/>
    <n v="3.31"/>
    <n v="5"/>
    <n v="1263546456"/>
  </r>
  <r>
    <x v="13"/>
    <s v="EQG"/>
    <x v="4"/>
    <s v="Long Range"/>
    <n v="95795.03"/>
    <n v="93.8"/>
    <n v="354"/>
    <n v="177"/>
    <s v="Truck"/>
    <n v="3"/>
    <s v="Germany"/>
    <s v="Premium"/>
    <n v="37523"/>
    <n v="4.16"/>
    <n v="6"/>
    <n v="3594516910.6900001"/>
  </r>
  <r>
    <x v="3"/>
    <s v="Yuan Plus"/>
    <x v="4"/>
    <s v="Long Range"/>
    <n v="65610.36"/>
    <n v="86.2"/>
    <n v="270"/>
    <n v="176"/>
    <s v="Hatchback"/>
    <n v="5"/>
    <s v="China"/>
    <s v="Premium"/>
    <n v="239905"/>
    <n v="3.59"/>
    <n v="4"/>
    <n v="15740253415.799999"/>
  </r>
  <r>
    <x v="11"/>
    <s v="R1S"/>
    <x v="4"/>
    <s v="Standard"/>
    <n v="85223.91"/>
    <n v="55.2"/>
    <n v="206"/>
    <n v="146"/>
    <s v="Coupe"/>
    <n v="5"/>
    <s v="US"/>
    <s v="Premium"/>
    <n v="18207"/>
    <n v="3.15"/>
    <n v="4"/>
    <n v="1551671729.3700001"/>
  </r>
  <r>
    <x v="8"/>
    <s v="Explorer EV"/>
    <x v="4"/>
    <s v="Long Range"/>
    <n v="93391.97"/>
    <n v="96.9"/>
    <n v="328"/>
    <n v="188"/>
    <s v="Van"/>
    <n v="4"/>
    <s v="US"/>
    <s v="Premium"/>
    <n v="53055"/>
    <n v="3.46"/>
    <n v="4"/>
    <n v="4954910968.3500004"/>
  </r>
  <r>
    <x v="4"/>
    <s v="Q6 e-tron"/>
    <x v="4"/>
    <s v="Base"/>
    <n v="68629.02"/>
    <n v="66.7"/>
    <n v="254"/>
    <n v="173"/>
    <s v="Sedan"/>
    <n v="5"/>
    <s v="Germany"/>
    <s v="Premium"/>
    <n v="32172"/>
    <n v="3.58"/>
    <n v="6"/>
    <n v="2207932831.4400001"/>
  </r>
  <r>
    <x v="8"/>
    <s v="E-Transit"/>
    <x v="4"/>
    <s v="Performance"/>
    <n v="115288.59"/>
    <n v="81.599999999999994"/>
    <n v="287"/>
    <n v="191"/>
    <s v="Hatchback"/>
    <n v="5"/>
    <s v="US"/>
    <s v="Luxury"/>
    <n v="28651"/>
    <n v="3.57"/>
    <n v="3"/>
    <n v="3303133392.0899997"/>
  </r>
  <r>
    <x v="3"/>
    <s v="Yuan Plus"/>
    <x v="4"/>
    <s v="Standard"/>
    <n v="42922.38"/>
    <n v="65.7"/>
    <n v="235"/>
    <n v="155"/>
    <s v="Van"/>
    <n v="5"/>
    <s v="China"/>
    <s v="Mid-range"/>
    <n v="109861"/>
    <n v="3.54"/>
    <n v="5"/>
    <n v="4715495589.1799994"/>
  </r>
  <r>
    <x v="19"/>
    <s v="Air"/>
    <x v="4"/>
    <s v="Performance"/>
    <n v="156097.01999999999"/>
    <n v="97.8"/>
    <n v="351"/>
    <n v="196"/>
    <s v="SUV"/>
    <n v="4"/>
    <s v="US"/>
    <s v="Luxury"/>
    <n v="13230"/>
    <n v="3.53"/>
    <n v="5"/>
    <n v="2065163574.5999999"/>
  </r>
  <r>
    <x v="9"/>
    <s v="i3"/>
    <x v="4"/>
    <s v="Performance"/>
    <n v="130176.15"/>
    <n v="89.9"/>
    <n v="326"/>
    <n v="200"/>
    <s v="Van"/>
    <n v="4"/>
    <s v="Germany"/>
    <s v="Luxury"/>
    <n v="59392"/>
    <n v="3.8"/>
    <n v="5"/>
    <n v="7731421900.7999992"/>
  </r>
  <r>
    <x v="6"/>
    <s v="Ioniq 6"/>
    <x v="4"/>
    <s v="Performance"/>
    <n v="77513.919999999998"/>
    <n v="107.4"/>
    <n v="368"/>
    <n v="187"/>
    <s v="Hatchback"/>
    <n v="4"/>
    <s v="South Korea"/>
    <s v="Premium"/>
    <n v="71992"/>
    <n v="4.07"/>
    <n v="4"/>
    <n v="5580382128.6400003"/>
  </r>
  <r>
    <x v="2"/>
    <s v="Cybertruck"/>
    <x v="4"/>
    <s v="Premium"/>
    <n v="110128.5"/>
    <n v="50.3"/>
    <n v="163"/>
    <n v="163"/>
    <s v="Truck"/>
    <n v="5"/>
    <s v="US"/>
    <s v="Luxury"/>
    <n v="212436"/>
    <n v="3.54"/>
    <n v="6"/>
    <n v="23395258026"/>
  </r>
  <r>
    <x v="2"/>
    <s v="Model X"/>
    <x v="4"/>
    <s v="Premium"/>
    <n v="80831.47"/>
    <n v="71.2"/>
    <n v="278"/>
    <n v="169"/>
    <s v="Hatchback"/>
    <n v="4"/>
    <s v="US"/>
    <s v="Premium"/>
    <n v="202000"/>
    <n v="3.76"/>
    <n v="5"/>
    <n v="16327956940"/>
  </r>
  <r>
    <x v="1"/>
    <s v="Ronin"/>
    <x v="4"/>
    <s v="Base"/>
    <n v="85586.47"/>
    <n v="57.3"/>
    <n v="200"/>
    <n v="160"/>
    <s v="SUV"/>
    <n v="4"/>
    <s v="US"/>
    <s v="Premium"/>
    <n v="25585"/>
    <n v="3.16"/>
    <n v="4"/>
    <n v="2189729834.9499998"/>
  </r>
  <r>
    <x v="7"/>
    <s v="ID.3"/>
    <x v="4"/>
    <s v="Performance"/>
    <n v="53590.91"/>
    <n v="74.7"/>
    <n v="258"/>
    <n v="200"/>
    <s v="Coupe"/>
    <n v="3"/>
    <s v="Germany"/>
    <s v="Mid-range"/>
    <n v="209815"/>
    <n v="3.08"/>
    <n v="5"/>
    <n v="11244176781.650002"/>
  </r>
  <r>
    <x v="6"/>
    <s v="i30"/>
    <x v="4"/>
    <s v="Standard"/>
    <n v="31256.77"/>
    <n v="68.099999999999994"/>
    <n v="218"/>
    <n v="136"/>
    <s v="Truck"/>
    <n v="4"/>
    <s v="South Korea"/>
    <s v="Budget"/>
    <n v="83425"/>
    <n v="3.35"/>
    <n v="4"/>
    <n v="2607596037.25"/>
  </r>
  <r>
    <x v="3"/>
    <s v="Leaf 50X"/>
    <x v="4"/>
    <s v="Performance"/>
    <n v="56202.17"/>
    <n v="81.3"/>
    <n v="298"/>
    <n v="188"/>
    <s v="Coupe"/>
    <n v="5"/>
    <s v="China"/>
    <s v="Mid-range"/>
    <n v="225829"/>
    <n v="3.87"/>
    <n v="4"/>
    <n v="12692079848.93"/>
  </r>
  <r>
    <x v="8"/>
    <s v="F-150 Lightning"/>
    <x v="4"/>
    <s v="Performance"/>
    <n v="113010.15"/>
    <n v="74.7"/>
    <n v="251"/>
    <n v="189"/>
    <s v="Truck"/>
    <n v="5"/>
    <s v="US"/>
    <s v="Luxury"/>
    <n v="26657"/>
    <n v="3.63"/>
    <n v="4"/>
    <n v="3012511568.5499997"/>
  </r>
  <r>
    <x v="16"/>
    <s v="SU7"/>
    <x v="4"/>
    <s v="Premium"/>
    <n v="89310.64"/>
    <n v="64.2"/>
    <n v="208"/>
    <n v="173"/>
    <s v="SUV"/>
    <n v="4"/>
    <s v="China"/>
    <s v="Premium"/>
    <n v="29176"/>
    <n v="3.31"/>
    <n v="3"/>
    <n v="2605727232.6399999"/>
  </r>
  <r>
    <x v="8"/>
    <s v="Mustang Mach-E"/>
    <x v="4"/>
    <s v="Standard"/>
    <n v="67107.539999999994"/>
    <n v="81.2"/>
    <n v="286"/>
    <n v="137"/>
    <s v="Hatchback"/>
    <n v="5"/>
    <s v="US"/>
    <s v="Premium"/>
    <n v="58727"/>
    <n v="3.6"/>
    <n v="3"/>
    <n v="3941024501.5799994"/>
  </r>
  <r>
    <x v="5"/>
    <s v="Niro EV"/>
    <x v="4"/>
    <s v="Base"/>
    <n v="56356.86"/>
    <n v="45"/>
    <n v="154"/>
    <n v="163"/>
    <s v="Hatchback"/>
    <n v="5"/>
    <s v="South Korea"/>
    <s v="Mid-range"/>
    <n v="107160"/>
    <n v="3.3"/>
    <n v="3"/>
    <n v="6039201117.6000004"/>
  </r>
  <r>
    <x v="3"/>
    <s v="Leaf 50X"/>
    <x v="4"/>
    <s v="Standard"/>
    <n v="21286.38"/>
    <n v="69.599999999999994"/>
    <n v="233"/>
    <n v="168"/>
    <s v="Sedan"/>
    <n v="5"/>
    <s v="China"/>
    <s v="Budget"/>
    <n v="116507"/>
    <n v="3.18"/>
    <n v="4"/>
    <n v="2480012274.6600003"/>
  </r>
  <r>
    <x v="6"/>
    <s v="Ioniq"/>
    <x v="4"/>
    <s v="Performance"/>
    <n v="103986.41"/>
    <n v="110.9"/>
    <n v="397"/>
    <n v="185"/>
    <s v="Sedan"/>
    <n v="5"/>
    <s v="South Korea"/>
    <s v="Luxury"/>
    <n v="106892"/>
    <n v="4.01"/>
    <n v="5"/>
    <n v="11115315337.720001"/>
  </r>
  <r>
    <x v="7"/>
    <s v="ID.5"/>
    <x v="4"/>
    <s v="Performance"/>
    <n v="68348.69"/>
    <n v="94"/>
    <n v="323"/>
    <n v="200"/>
    <s v="Hatchback"/>
    <n v="4"/>
    <s v="Germany"/>
    <s v="Premium"/>
    <n v="238867"/>
    <n v="3.7"/>
    <n v="5"/>
    <n v="16326246534.230001"/>
  </r>
  <r>
    <x v="7"/>
    <s v="ID.4"/>
    <x v="4"/>
    <s v="Standard"/>
    <n v="79224.44"/>
    <n v="48.4"/>
    <n v="164"/>
    <n v="136"/>
    <s v="SUV"/>
    <n v="5"/>
    <s v="Germany"/>
    <s v="Premium"/>
    <n v="219453"/>
    <n v="3.46"/>
    <n v="4"/>
    <n v="17386041031.32"/>
  </r>
  <r>
    <x v="12"/>
    <s v="Blazer EV"/>
    <x v="4"/>
    <s v="Long Range"/>
    <n v="85774.399999999994"/>
    <n v="106"/>
    <n v="388"/>
    <n v="181"/>
    <s v="Van"/>
    <n v="4"/>
    <s v="US"/>
    <s v="Premium"/>
    <n v="22091"/>
    <n v="3.72"/>
    <n v="4"/>
    <n v="1894842270.3999999"/>
  </r>
  <r>
    <x v="3"/>
    <s v="Atto 3"/>
    <x v="4"/>
    <s v="Standard"/>
    <n v="21707.919999999998"/>
    <n v="56.8"/>
    <n v="176"/>
    <n v="135"/>
    <s v="Hatchback"/>
    <n v="4"/>
    <s v="China"/>
    <s v="Budget"/>
    <n v="240735"/>
    <n v="3.31"/>
    <n v="4"/>
    <n v="5225856121.1999998"/>
  </r>
  <r>
    <x v="12"/>
    <s v="Bolt EV"/>
    <x v="4"/>
    <s v="Premium"/>
    <n v="52232.74"/>
    <n v="42"/>
    <n v="150"/>
    <n v="171"/>
    <s v="Van"/>
    <n v="4"/>
    <s v="US"/>
    <s v="Mid-range"/>
    <n v="17461"/>
    <n v="3.32"/>
    <n v="3"/>
    <n v="912035873.13999999"/>
  </r>
  <r>
    <x v="7"/>
    <s v="ID. Aero"/>
    <x v="4"/>
    <s v="Standard"/>
    <n v="64646.52"/>
    <n v="70.7"/>
    <n v="219"/>
    <n v="140"/>
    <s v="Hatchback"/>
    <n v="4"/>
    <s v="Germany"/>
    <s v="Mid-range"/>
    <n v="229331"/>
    <n v="3.6"/>
    <n v="4"/>
    <n v="14825451078.119999"/>
  </r>
  <r>
    <x v="8"/>
    <s v="E-Transit"/>
    <x v="4"/>
    <s v="Performance"/>
    <n v="99172.17"/>
    <n v="96.1"/>
    <n v="340"/>
    <n v="200"/>
    <s v="SUV"/>
    <n v="5"/>
    <s v="US"/>
    <s v="Premium"/>
    <n v="55818"/>
    <n v="3.69"/>
    <n v="4"/>
    <n v="5535592185.0599995"/>
  </r>
  <r>
    <x v="9"/>
    <s v="i5"/>
    <x v="4"/>
    <s v="Premium"/>
    <n v="92379.17"/>
    <n v="50.8"/>
    <n v="150"/>
    <n v="136"/>
    <s v="Truck"/>
    <n v="5"/>
    <s v="Germany"/>
    <s v="Premium"/>
    <n v="64158"/>
    <n v="3.31"/>
    <n v="7"/>
    <n v="5926862788.8599997"/>
  </r>
  <r>
    <x v="9"/>
    <s v="i5"/>
    <x v="4"/>
    <s v="Standard"/>
    <n v="78676.53"/>
    <n v="80.3"/>
    <n v="292"/>
    <n v="155"/>
    <s v="Hatchback"/>
    <n v="5"/>
    <s v="Germany"/>
    <s v="Premium"/>
    <n v="28903"/>
    <n v="3.53"/>
    <n v="6"/>
    <n v="2273987746.5900002"/>
  </r>
  <r>
    <x v="6"/>
    <s v="Ioniq 6"/>
    <x v="4"/>
    <s v="Performance"/>
    <n v="44088.19"/>
    <n v="81.5"/>
    <n v="270"/>
    <n v="188"/>
    <s v="Hatchback"/>
    <n v="3"/>
    <s v="South Korea"/>
    <s v="Mid-range"/>
    <n v="119102"/>
    <n v="3.6"/>
    <n v="4"/>
    <n v="5250991605.3800001"/>
  </r>
  <r>
    <x v="6"/>
    <s v="Ioniq 6"/>
    <x v="4"/>
    <s v="Standard"/>
    <n v="63404.54"/>
    <n v="72.2"/>
    <n v="253"/>
    <n v="168"/>
    <s v="Sedan"/>
    <n v="5"/>
    <s v="South Korea"/>
    <s v="Mid-range"/>
    <n v="79234"/>
    <n v="3.49"/>
    <n v="3"/>
    <n v="5023795322.3599997"/>
  </r>
  <r>
    <x v="2"/>
    <s v="Model S"/>
    <x v="4"/>
    <s v="Long Range"/>
    <n v="91117.32"/>
    <n v="101"/>
    <n v="364"/>
    <n v="172"/>
    <s v="Hatchback"/>
    <n v="4"/>
    <s v="US"/>
    <s v="Premium"/>
    <n v="174122"/>
    <n v="4"/>
    <n v="5"/>
    <n v="15865529993.040001"/>
  </r>
  <r>
    <x v="12"/>
    <s v="Bolt EUV"/>
    <x v="4"/>
    <s v="Premium"/>
    <n v="75461.19"/>
    <n v="77.900000000000006"/>
    <n v="275"/>
    <n v="168"/>
    <s v="SUV"/>
    <n v="4"/>
    <s v="US"/>
    <s v="Premium"/>
    <n v="10961"/>
    <n v="3.51"/>
    <n v="5"/>
    <n v="827130103.59000003"/>
  </r>
  <r>
    <x v="0"/>
    <s v="bZ4X"/>
    <x v="4"/>
    <s v="Base"/>
    <n v="60316.9"/>
    <n v="48"/>
    <n v="165"/>
    <n v="138"/>
    <s v="Coupe"/>
    <n v="4"/>
    <s v="Japan"/>
    <s v="Mid-range"/>
    <n v="23683"/>
    <n v="3.15"/>
    <n v="5"/>
    <n v="1428485142.7"/>
  </r>
  <r>
    <x v="12"/>
    <s v="Bolt EV"/>
    <x v="4"/>
    <s v="Standard"/>
    <n v="46964.58"/>
    <n v="62.4"/>
    <n v="204"/>
    <n v="140"/>
    <s v="Sedan"/>
    <n v="5"/>
    <s v="US"/>
    <s v="Mid-range"/>
    <n v="15168"/>
    <n v="3.46"/>
    <n v="4"/>
    <n v="712358749.44000006"/>
  </r>
  <r>
    <x v="3"/>
    <s v="Dolphin"/>
    <x v="4"/>
    <s v="Standard"/>
    <n v="51238.400000000001"/>
    <n v="51.6"/>
    <n v="185"/>
    <n v="153"/>
    <s v="Hatchback"/>
    <n v="5"/>
    <s v="China"/>
    <s v="Mid-range"/>
    <n v="242985"/>
    <n v="3.46"/>
    <n v="3"/>
    <n v="12450162624"/>
  </r>
  <r>
    <x v="2"/>
    <s v="Cybertruck"/>
    <x v="4"/>
    <s v="Standard"/>
    <n v="43048"/>
    <n v="78.2"/>
    <n v="305"/>
    <n v="167"/>
    <s v="Truck"/>
    <n v="5"/>
    <s v="US"/>
    <s v="Mid-range"/>
    <n v="249983"/>
    <n v="3.24"/>
    <n v="5"/>
    <n v="10761268184"/>
  </r>
  <r>
    <x v="9"/>
    <s v="i4"/>
    <x v="4"/>
    <s v="Long Range"/>
    <n v="69815.81"/>
    <n v="81.099999999999994"/>
    <n v="291"/>
    <n v="172"/>
    <s v="SUV"/>
    <n v="4"/>
    <s v="Germany"/>
    <s v="Premium"/>
    <n v="42961"/>
    <n v="3.63"/>
    <n v="5"/>
    <n v="2999357013.4099998"/>
  </r>
  <r>
    <x v="9"/>
    <s v="i5"/>
    <x v="4"/>
    <s v="Base"/>
    <n v="73900.67"/>
    <n v="72.400000000000006"/>
    <n v="258"/>
    <n v="134"/>
    <s v="Coupe"/>
    <n v="5"/>
    <s v="Germany"/>
    <s v="Premium"/>
    <n v="78616"/>
    <n v="3.2"/>
    <n v="6"/>
    <n v="5809775072.7200003"/>
  </r>
  <r>
    <x v="8"/>
    <s v="F-150 Lightning"/>
    <x v="4"/>
    <s v="Base"/>
    <n v="33054.57"/>
    <n v="55.6"/>
    <n v="203"/>
    <n v="145"/>
    <s v="Truck"/>
    <n v="5"/>
    <s v="US"/>
    <s v="Budget"/>
    <n v="77480"/>
    <n v="3.1"/>
    <n v="3"/>
    <n v="2561068083.5999999"/>
  </r>
  <r>
    <x v="3"/>
    <s v="Dolphin"/>
    <x v="4"/>
    <s v="Long Range"/>
    <n v="38277.53"/>
    <n v="87.8"/>
    <n v="282"/>
    <n v="181"/>
    <s v="Coupe"/>
    <n v="5"/>
    <s v="China"/>
    <s v="Mid-range"/>
    <n v="237305"/>
    <n v="3.52"/>
    <n v="4"/>
    <n v="9083449256.6499996"/>
  </r>
  <r>
    <x v="9"/>
    <s v="i3"/>
    <x v="4"/>
    <s v="Performance"/>
    <n v="73301.490000000005"/>
    <n v="109.7"/>
    <n v="367"/>
    <n v="200"/>
    <s v="Coupe"/>
    <n v="5"/>
    <s v="Germany"/>
    <s v="Premium"/>
    <n v="50214"/>
    <n v="3.67"/>
    <n v="6"/>
    <n v="3680761018.8600001"/>
  </r>
  <r>
    <x v="3"/>
    <s v="Dolphin"/>
    <x v="4"/>
    <s v="Premium"/>
    <n v="100526.02"/>
    <n v="84.9"/>
    <n v="300"/>
    <n v="147"/>
    <s v="Hatchback"/>
    <n v="4"/>
    <s v="China"/>
    <s v="Luxury"/>
    <n v="178707"/>
    <n v="3.53"/>
    <n v="4"/>
    <n v="17964703456.139999"/>
  </r>
  <r>
    <x v="3"/>
    <s v="Leaf 50X"/>
    <x v="4"/>
    <s v="Long Range"/>
    <n v="42041.16"/>
    <n v="108.4"/>
    <n v="373"/>
    <n v="176"/>
    <s v="Truck"/>
    <n v="3"/>
    <s v="China"/>
    <s v="Mid-range"/>
    <n v="120124"/>
    <n v="3.79"/>
    <n v="4"/>
    <n v="5050152303.8400002"/>
  </r>
  <r>
    <x v="8"/>
    <s v="E-Transit"/>
    <x v="4"/>
    <s v="Premium"/>
    <n v="97929.01"/>
    <n v="50.3"/>
    <n v="198"/>
    <n v="139"/>
    <s v="SUV"/>
    <n v="5"/>
    <s v="US"/>
    <s v="Premium"/>
    <n v="20102"/>
    <n v="3.3"/>
    <n v="5"/>
    <n v="1968568959.02"/>
  </r>
  <r>
    <x v="11"/>
    <s v="R3"/>
    <x v="4"/>
    <s v="Performance"/>
    <n v="105996.52"/>
    <n v="77.2"/>
    <n v="274"/>
    <n v="196"/>
    <s v="Hatchback"/>
    <n v="5"/>
    <s v="US"/>
    <s v="Luxury"/>
    <n v="1509"/>
    <n v="3.58"/>
    <n v="5"/>
    <n v="159948748.68000001"/>
  </r>
  <r>
    <x v="2"/>
    <s v="Model S"/>
    <x v="4"/>
    <s v="Performance"/>
    <n v="64261.34"/>
    <n v="116.7"/>
    <n v="433"/>
    <n v="200"/>
    <s v="Hatchback"/>
    <n v="3"/>
    <s v="US"/>
    <s v="Mid-range"/>
    <n v="145470"/>
    <n v="4.0999999999999996"/>
    <n v="5"/>
    <n v="9348097129.7999992"/>
  </r>
  <r>
    <x v="10"/>
    <n v="3"/>
    <x v="4"/>
    <s v="Standard"/>
    <n v="116528.23"/>
    <n v="75.599999999999994"/>
    <n v="282"/>
    <n v="144"/>
    <s v="Truck"/>
    <n v="4"/>
    <s v="Sweden"/>
    <s v="Luxury"/>
    <n v="14704"/>
    <n v="3.58"/>
    <n v="4"/>
    <n v="1713431093.9199998"/>
  </r>
  <r>
    <x v="14"/>
    <s v="EL6"/>
    <x v="4"/>
    <s v="Performance"/>
    <n v="144156.68"/>
    <n v="92.7"/>
    <n v="331"/>
    <n v="200"/>
    <s v="Hatchback"/>
    <n v="5"/>
    <s v="China"/>
    <s v="Luxury"/>
    <n v="28598"/>
    <n v="3.78"/>
    <n v="3"/>
    <n v="4122592734.6399999"/>
  </r>
  <r>
    <x v="2"/>
    <s v="Model X"/>
    <x v="4"/>
    <s v="Base"/>
    <n v="97305.17"/>
    <n v="40.9"/>
    <n v="150"/>
    <n v="158"/>
    <s v="Van"/>
    <n v="3"/>
    <s v="US"/>
    <s v="Premium"/>
    <n v="135420"/>
    <n v="3.42"/>
    <n v="5"/>
    <n v="13177066121.4"/>
  </r>
  <r>
    <x v="2"/>
    <s v="Model Y"/>
    <x v="4"/>
    <s v="Premium"/>
    <n v="142240.31"/>
    <n v="46.3"/>
    <n v="166"/>
    <n v="152"/>
    <s v="Truck"/>
    <n v="5"/>
    <s v="US"/>
    <s v="Luxury"/>
    <n v="461025"/>
    <n v="3.45"/>
    <n v="6"/>
    <n v="65576338917.75"/>
  </r>
  <r>
    <x v="8"/>
    <s v="F-150 Lightning"/>
    <x v="4"/>
    <s v="Long Range"/>
    <n v="88743.58"/>
    <n v="80.099999999999994"/>
    <n v="265"/>
    <n v="187"/>
    <s v="Truck"/>
    <n v="5"/>
    <s v="US"/>
    <s v="Premium"/>
    <n v="63330"/>
    <n v="3.64"/>
    <n v="4"/>
    <n v="5620130921.4000006"/>
  </r>
  <r>
    <x v="12"/>
    <s v="Blazer EV"/>
    <x v="4"/>
    <s v="Performance"/>
    <n v="41328.5"/>
    <n v="93.2"/>
    <n v="342"/>
    <n v="186"/>
    <s v="Hatchback"/>
    <n v="5"/>
    <s v="US"/>
    <s v="Mid-range"/>
    <n v="18258"/>
    <n v="3.87"/>
    <n v="4"/>
    <n v="754575753"/>
  </r>
  <r>
    <x v="6"/>
    <s v="Kona Electric"/>
    <x v="4"/>
    <s v="Premium"/>
    <n v="69523.19"/>
    <n v="77.900000000000006"/>
    <n v="274"/>
    <n v="145"/>
    <s v="Hatchback"/>
    <n v="4"/>
    <s v="South Korea"/>
    <s v="Premium"/>
    <n v="133082"/>
    <n v="3.52"/>
    <n v="4"/>
    <n v="9252285171.5799999"/>
  </r>
  <r>
    <x v="3"/>
    <s v="Atto 3"/>
    <x v="4"/>
    <s v="Long Range"/>
    <n v="25253.73"/>
    <n v="99.1"/>
    <n v="355"/>
    <n v="167"/>
    <s v="Van"/>
    <n v="4"/>
    <s v="China"/>
    <s v="Budget"/>
    <n v="158999"/>
    <n v="3.61"/>
    <n v="4"/>
    <n v="4015317816.27"/>
  </r>
  <r>
    <x v="4"/>
    <s v="Q4 e-tron"/>
    <x v="4"/>
    <s v="Base"/>
    <n v="103666.6"/>
    <n v="66.400000000000006"/>
    <n v="243"/>
    <n v="141"/>
    <s v="Truck"/>
    <n v="4"/>
    <s v="Germany"/>
    <s v="Luxury"/>
    <n v="59232"/>
    <n v="3.4"/>
    <n v="6"/>
    <n v="6140380051.2000008"/>
  </r>
  <r>
    <x v="9"/>
    <s v="i4"/>
    <x v="4"/>
    <s v="Standard"/>
    <n v="86675.29"/>
    <n v="62.4"/>
    <n v="204"/>
    <n v="172"/>
    <s v="Truck"/>
    <n v="4"/>
    <s v="Germany"/>
    <s v="Premium"/>
    <n v="72572"/>
    <n v="3.35"/>
    <n v="8"/>
    <n v="6290199145.8799992"/>
  </r>
  <r>
    <x v="2"/>
    <s v="Model 3"/>
    <x v="4"/>
    <s v="Performance"/>
    <n v="92846.92"/>
    <n v="75.3"/>
    <n v="265"/>
    <n v="180"/>
    <s v="Sedan"/>
    <n v="3"/>
    <s v="US"/>
    <s v="Premium"/>
    <n v="187727"/>
    <n v="3.9"/>
    <n v="4"/>
    <n v="17429873750.84"/>
  </r>
  <r>
    <x v="12"/>
    <s v="Equinox EV"/>
    <x v="4"/>
    <s v="Base"/>
    <n v="32869.42"/>
    <n v="73.8"/>
    <n v="276"/>
    <n v="157"/>
    <s v="SUV"/>
    <n v="3"/>
    <s v="US"/>
    <s v="Budget"/>
    <n v="10258"/>
    <n v="3.6"/>
    <n v="4"/>
    <n v="337174510.35999995"/>
  </r>
  <r>
    <x v="8"/>
    <s v="Explorer EV"/>
    <x v="4"/>
    <s v="Premium"/>
    <n v="86809.78"/>
    <n v="64"/>
    <n v="201"/>
    <n v="126"/>
    <s v="Truck"/>
    <n v="4"/>
    <s v="US"/>
    <s v="Premium"/>
    <n v="40976"/>
    <n v="3"/>
    <n v="3"/>
    <n v="3557117545.2799997"/>
  </r>
  <r>
    <x v="5"/>
    <s v="EV9"/>
    <x v="4"/>
    <s v="Performance"/>
    <n v="107669.85"/>
    <n v="101.4"/>
    <n v="345"/>
    <n v="200"/>
    <s v="SUV"/>
    <n v="5"/>
    <s v="South Korea"/>
    <s v="Luxury"/>
    <n v="128063"/>
    <n v="4.17"/>
    <n v="4"/>
    <n v="13788524000.550001"/>
  </r>
  <r>
    <x v="12"/>
    <s v="Bolt EV"/>
    <x v="4"/>
    <s v="Standard"/>
    <n v="37659.35"/>
    <n v="52.6"/>
    <n v="166"/>
    <n v="154"/>
    <s v="Sedan"/>
    <n v="5"/>
    <s v="US"/>
    <s v="Mid-range"/>
    <n v="14766"/>
    <n v="3.22"/>
    <n v="4"/>
    <n v="556077962.10000002"/>
  </r>
  <r>
    <x v="7"/>
    <s v="ID.3"/>
    <x v="4"/>
    <s v="Long Range"/>
    <n v="62606.34"/>
    <n v="101.2"/>
    <n v="370"/>
    <n v="186"/>
    <s v="Coupe"/>
    <n v="4"/>
    <s v="Germany"/>
    <s v="Mid-range"/>
    <n v="233529"/>
    <n v="3.84"/>
    <n v="3"/>
    <n v="14620395973.859999"/>
  </r>
  <r>
    <x v="12"/>
    <s v="Silverado EV"/>
    <x v="4"/>
    <s v="Premium"/>
    <n v="80871.59"/>
    <n v="62.6"/>
    <n v="196"/>
    <n v="170"/>
    <s v="Hatchback"/>
    <n v="3"/>
    <s v="US"/>
    <s v="Premium"/>
    <n v="24840"/>
    <n v="3.52"/>
    <n v="3"/>
    <n v="2008850295.5999999"/>
  </r>
  <r>
    <x v="5"/>
    <s v="EV9"/>
    <x v="4"/>
    <s v="Premium"/>
    <n v="73063.27"/>
    <n v="55.1"/>
    <n v="176"/>
    <n v="137"/>
    <s v="SUV"/>
    <n v="5"/>
    <s v="South Korea"/>
    <s v="Premium"/>
    <n v="143775"/>
    <n v="3.53"/>
    <n v="4"/>
    <n v="10504671644.25"/>
  </r>
  <r>
    <x v="9"/>
    <s v="i3"/>
    <x v="4"/>
    <s v="Performance"/>
    <n v="123235.74"/>
    <n v="117.3"/>
    <n v="428"/>
    <n v="186"/>
    <s v="Truck"/>
    <n v="5"/>
    <s v="Germany"/>
    <s v="Luxury"/>
    <n v="49531"/>
    <n v="3.97"/>
    <n v="6"/>
    <n v="6103989437.9400005"/>
  </r>
  <r>
    <x v="2"/>
    <s v="Cybertruck"/>
    <x v="4"/>
    <s v="Premium"/>
    <n v="117988.5"/>
    <n v="65.2"/>
    <n v="250"/>
    <n v="160"/>
    <s v="Truck"/>
    <n v="4"/>
    <s v="US"/>
    <s v="Luxury"/>
    <n v="117423"/>
    <n v="3.81"/>
    <n v="5"/>
    <n v="13854563635.5"/>
  </r>
  <r>
    <x v="5"/>
    <s v="Niro EV"/>
    <x v="4"/>
    <s v="Standard"/>
    <n v="39013.49"/>
    <n v="67.3"/>
    <n v="235"/>
    <n v="171"/>
    <s v="Van"/>
    <n v="4"/>
    <s v="South Korea"/>
    <s v="Mid-range"/>
    <n v="124150"/>
    <n v="3.57"/>
    <n v="4"/>
    <n v="4843524783.5"/>
  </r>
  <r>
    <x v="5"/>
    <s v="Picanto EV"/>
    <x v="4"/>
    <s v="Long Range"/>
    <n v="50328.06"/>
    <n v="106.7"/>
    <n v="389"/>
    <n v="165"/>
    <s v="Hatchback"/>
    <n v="4"/>
    <s v="South Korea"/>
    <s v="Mid-range"/>
    <n v="79174"/>
    <n v="3.94"/>
    <n v="3"/>
    <n v="3984673822.4399996"/>
  </r>
  <r>
    <x v="2"/>
    <s v="Model X"/>
    <x v="4"/>
    <s v="Performance"/>
    <n v="138879.13"/>
    <n v="102.3"/>
    <n v="358"/>
    <n v="197"/>
    <s v="Sedan"/>
    <n v="4"/>
    <s v="US"/>
    <s v="Luxury"/>
    <n v="187901"/>
    <n v="4.2300000000000004"/>
    <n v="5"/>
    <n v="26095527406.130001"/>
  </r>
  <r>
    <x v="8"/>
    <s v="E-Transit"/>
    <x v="4"/>
    <s v="Standard"/>
    <n v="81564.12"/>
    <n v="82.3"/>
    <n v="294"/>
    <n v="151"/>
    <s v="Van"/>
    <n v="5"/>
    <s v="US"/>
    <s v="Premium"/>
    <n v="70445"/>
    <n v="3.48"/>
    <n v="3"/>
    <n v="5745784433.3999996"/>
  </r>
  <r>
    <x v="3"/>
    <s v="Seagull"/>
    <x v="4"/>
    <s v="Standard"/>
    <n v="53792.67"/>
    <n v="73.2"/>
    <n v="287"/>
    <n v="136"/>
    <s v="SUV"/>
    <n v="4"/>
    <s v="China"/>
    <s v="Mid-range"/>
    <n v="246202"/>
    <n v="3.6"/>
    <n v="5"/>
    <n v="13243862939.34"/>
  </r>
  <r>
    <x v="3"/>
    <s v="Seagull"/>
    <x v="4"/>
    <s v="Standard"/>
    <n v="83643.929999999993"/>
    <n v="76.5"/>
    <n v="285"/>
    <n v="154"/>
    <s v="Van"/>
    <n v="5"/>
    <s v="China"/>
    <s v="Premium"/>
    <n v="218991"/>
    <n v="3.84"/>
    <n v="4"/>
    <n v="18317267874.629997"/>
  </r>
  <r>
    <x v="9"/>
    <s v="i3"/>
    <x v="4"/>
    <s v="Premium"/>
    <n v="104797.89"/>
    <n v="46.5"/>
    <n v="162"/>
    <n v="160"/>
    <s v="Hatchback"/>
    <n v="5"/>
    <s v="Germany"/>
    <s v="Luxury"/>
    <n v="26942"/>
    <n v="3.17"/>
    <n v="7"/>
    <n v="2823464752.3800001"/>
  </r>
  <r>
    <x v="13"/>
    <s v="EQC"/>
    <x v="4"/>
    <s v="Standard"/>
    <n v="113687.69"/>
    <n v="81.5"/>
    <n v="274"/>
    <n v="128"/>
    <s v="Van"/>
    <n v="4"/>
    <s v="Germany"/>
    <s v="Luxury"/>
    <n v="59376"/>
    <n v="3.82"/>
    <n v="8"/>
    <n v="6750320281.4400005"/>
  </r>
  <r>
    <x v="7"/>
    <s v="ID.4"/>
    <x v="4"/>
    <s v="Performance"/>
    <n v="61036.31"/>
    <n v="77.7"/>
    <n v="243"/>
    <n v="193"/>
    <s v="Coupe"/>
    <n v="4"/>
    <s v="Germany"/>
    <s v="Mid-range"/>
    <n v="274419"/>
    <n v="3.18"/>
    <n v="4"/>
    <n v="16749523153.889999"/>
  </r>
  <r>
    <x v="3"/>
    <s v="Max"/>
    <x v="4"/>
    <s v="Premium"/>
    <n v="105441.86"/>
    <n v="57.2"/>
    <n v="209"/>
    <n v="152"/>
    <s v="Truck"/>
    <n v="5"/>
    <s v="China"/>
    <s v="Luxury"/>
    <n v="226549"/>
    <n v="3.32"/>
    <n v="5"/>
    <n v="23887747941.139999"/>
  </r>
  <r>
    <x v="2"/>
    <s v="Model 3"/>
    <x v="4"/>
    <s v="Premium"/>
    <n v="128470.34"/>
    <n v="75.7"/>
    <n v="268"/>
    <n v="140"/>
    <s v="Truck"/>
    <n v="3"/>
    <s v="US"/>
    <s v="Luxury"/>
    <n v="244654"/>
    <n v="3.62"/>
    <n v="6"/>
    <n v="31430782562.360001"/>
  </r>
  <r>
    <x v="14"/>
    <s v="ET6"/>
    <x v="4"/>
    <s v="Standard"/>
    <n v="78059.06"/>
    <n v="66.599999999999994"/>
    <n v="252"/>
    <n v="157"/>
    <s v="SUV"/>
    <n v="5"/>
    <s v="China"/>
    <s v="Premium"/>
    <n v="24158"/>
    <n v="3.33"/>
    <n v="5"/>
    <n v="1885750771.48"/>
  </r>
  <r>
    <x v="7"/>
    <s v="ID.3"/>
    <x v="4"/>
    <s v="Premium"/>
    <n v="49550.91"/>
    <n v="41.8"/>
    <n v="150"/>
    <n v="153"/>
    <s v="Coupe"/>
    <n v="3"/>
    <s v="Germany"/>
    <s v="Mid-range"/>
    <n v="222078"/>
    <n v="3.54"/>
    <n v="4"/>
    <n v="11004166990.980001"/>
  </r>
  <r>
    <x v="12"/>
    <s v="Equinox EV"/>
    <x v="4"/>
    <s v="Standard"/>
    <n v="34301.370000000003"/>
    <n v="70"/>
    <n v="218"/>
    <n v="163"/>
    <s v="SUV"/>
    <n v="4"/>
    <s v="US"/>
    <s v="Budget"/>
    <n v="738"/>
    <n v="3.6"/>
    <n v="3"/>
    <n v="25314411.060000002"/>
  </r>
  <r>
    <x v="0"/>
    <s v="bZ4X"/>
    <x v="4"/>
    <s v="Performance"/>
    <n v="66816.55"/>
    <n v="110.6"/>
    <n v="367"/>
    <n v="181"/>
    <s v="Hatchback"/>
    <n v="4"/>
    <s v="Japan"/>
    <s v="Premium"/>
    <n v="11062"/>
    <n v="3.79"/>
    <n v="4"/>
    <n v="739124676.10000002"/>
  </r>
  <r>
    <x v="13"/>
    <s v="EQS"/>
    <x v="5"/>
    <s v="Performance"/>
    <n v="131074.23000000001"/>
    <n v="82.7"/>
    <n v="292"/>
    <n v="200"/>
    <s v="SUV"/>
    <n v="4"/>
    <s v="Germany"/>
    <s v="Luxury"/>
    <n v="48277"/>
    <n v="4.1100000000000003"/>
    <n v="8"/>
    <n v="6327870601.71"/>
  </r>
  <r>
    <x v="12"/>
    <s v="Blazer EV"/>
    <x v="5"/>
    <s v="Base"/>
    <n v="56944.53"/>
    <n v="69.900000000000006"/>
    <n v="251"/>
    <n v="149"/>
    <s v="Van"/>
    <n v="5"/>
    <s v="US"/>
    <s v="Mid-range"/>
    <n v="8761"/>
    <n v="3.46"/>
    <n v="5"/>
    <n v="498891027.32999998"/>
  </r>
  <r>
    <x v="1"/>
    <s v="Ronin"/>
    <x v="5"/>
    <s v="Standard"/>
    <n v="88914.19"/>
    <n v="66.7"/>
    <n v="232"/>
    <n v="173"/>
    <s v="Truck"/>
    <n v="3"/>
    <s v="US"/>
    <s v="Premium"/>
    <n v="2408"/>
    <n v="3.67"/>
    <n v="5"/>
    <n v="214105369.52000001"/>
  </r>
  <r>
    <x v="13"/>
    <s v="EQG"/>
    <x v="5"/>
    <s v="Performance"/>
    <n v="210811.92"/>
    <n v="93.2"/>
    <n v="320"/>
    <n v="200"/>
    <s v="Hatchback"/>
    <n v="5"/>
    <s v="Germany"/>
    <s v="Luxury"/>
    <n v="56039"/>
    <n v="3.59"/>
    <n v="7"/>
    <n v="11813689184.880001"/>
  </r>
  <r>
    <x v="5"/>
    <s v="Picanto EV"/>
    <x v="5"/>
    <s v="Premium"/>
    <n v="106848.2"/>
    <n v="54.1"/>
    <n v="193"/>
    <n v="135"/>
    <s v="Coupe"/>
    <n v="4"/>
    <s v="South Korea"/>
    <s v="Luxury"/>
    <n v="85618"/>
    <n v="3.33"/>
    <n v="5"/>
    <n v="9148129187.6000004"/>
  </r>
  <r>
    <x v="8"/>
    <s v="Mustang Mach-E"/>
    <x v="5"/>
    <s v="Performance"/>
    <n v="96527.54"/>
    <n v="75.2"/>
    <n v="286"/>
    <n v="188"/>
    <s v="Coupe"/>
    <n v="3"/>
    <s v="US"/>
    <s v="Premium"/>
    <n v="67670"/>
    <n v="3.6"/>
    <n v="4"/>
    <n v="6532018631.7999992"/>
  </r>
  <r>
    <x v="6"/>
    <s v="Ioniq 6"/>
    <x v="5"/>
    <s v="Performance"/>
    <n v="86045.75"/>
    <n v="96.3"/>
    <n v="314"/>
    <n v="200"/>
    <s v="Hatchback"/>
    <n v="5"/>
    <s v="South Korea"/>
    <s v="Premium"/>
    <n v="124864"/>
    <n v="3.57"/>
    <n v="4"/>
    <n v="10744016528"/>
  </r>
  <r>
    <x v="2"/>
    <s v="Model Y"/>
    <x v="5"/>
    <s v="Performance"/>
    <n v="135780.6"/>
    <n v="105.2"/>
    <n v="383"/>
    <n v="196"/>
    <s v="Truck"/>
    <n v="5"/>
    <s v="US"/>
    <s v="Luxury"/>
    <n v="411097"/>
    <n v="4.12"/>
    <n v="5"/>
    <n v="55818997318.200005"/>
  </r>
  <r>
    <x v="2"/>
    <s v="Model X"/>
    <x v="5"/>
    <s v="Base"/>
    <n v="110771.86"/>
    <n v="52.9"/>
    <n v="177"/>
    <n v="151"/>
    <s v="SUV"/>
    <n v="4"/>
    <s v="US"/>
    <s v="Luxury"/>
    <n v="179640"/>
    <n v="3.42"/>
    <n v="5"/>
    <n v="19899056930.400002"/>
  </r>
  <r>
    <x v="8"/>
    <s v="E-Transit"/>
    <x v="5"/>
    <s v="Performance"/>
    <n v="69597.509999999995"/>
    <n v="106.2"/>
    <n v="361"/>
    <n v="192"/>
    <s v="Sedan"/>
    <n v="5"/>
    <s v="US"/>
    <s v="Premium"/>
    <n v="24574"/>
    <n v="3.79"/>
    <n v="3"/>
    <n v="1710289210.7399998"/>
  </r>
  <r>
    <x v="3"/>
    <s v="Leaf 50X"/>
    <x v="5"/>
    <s v="Standard"/>
    <n v="31434.26"/>
    <n v="60.6"/>
    <n v="229"/>
    <n v="136"/>
    <s v="Hatchback"/>
    <n v="4"/>
    <s v="China"/>
    <s v="Budget"/>
    <n v="242953"/>
    <n v="3.29"/>
    <n v="4"/>
    <n v="7637047769.7799997"/>
  </r>
  <r>
    <x v="9"/>
    <s v="i7"/>
    <x v="5"/>
    <s v="Performance"/>
    <n v="156773.89000000001"/>
    <n v="81.400000000000006"/>
    <n v="266"/>
    <n v="190"/>
    <s v="Truck"/>
    <n v="5"/>
    <s v="Germany"/>
    <s v="Luxury"/>
    <n v="58126"/>
    <n v="3.6"/>
    <n v="5"/>
    <n v="9112639130.1400013"/>
  </r>
  <r>
    <x v="6"/>
    <s v="Ioniq 6"/>
    <x v="5"/>
    <s v="Standard"/>
    <n v="69769.460000000006"/>
    <n v="63.2"/>
    <n v="212"/>
    <n v="133"/>
    <s v="Hatchback"/>
    <n v="4"/>
    <s v="South Korea"/>
    <s v="Premium"/>
    <n v="50147"/>
    <n v="3.21"/>
    <n v="4"/>
    <n v="3498729110.6200004"/>
  </r>
  <r>
    <x v="4"/>
    <s v="e-tron GT"/>
    <x v="5"/>
    <s v="Standard"/>
    <n v="53762.11"/>
    <n v="52.1"/>
    <n v="156"/>
    <n v="154"/>
    <s v="Coupe"/>
    <n v="4"/>
    <s v="Germany"/>
    <s v="Mid-range"/>
    <n v="69650"/>
    <n v="3.68"/>
    <n v="7"/>
    <n v="3744530961.5"/>
  </r>
  <r>
    <x v="3"/>
    <s v="Atto 3"/>
    <x v="5"/>
    <s v="Base"/>
    <n v="26682.38"/>
    <n v="53.9"/>
    <n v="199"/>
    <n v="137"/>
    <s v="Truck"/>
    <n v="4"/>
    <s v="China"/>
    <s v="Budget"/>
    <n v="158602"/>
    <n v="3.26"/>
    <n v="3"/>
    <n v="4231878832.7600002"/>
  </r>
  <r>
    <x v="6"/>
    <s v="Ioniq"/>
    <x v="5"/>
    <s v="Base"/>
    <n v="45100.09"/>
    <n v="79.5"/>
    <n v="257"/>
    <n v="174"/>
    <s v="Hatchback"/>
    <n v="4"/>
    <s v="South Korea"/>
    <s v="Mid-range"/>
    <n v="128526"/>
    <n v="3.61"/>
    <n v="4"/>
    <n v="5796534167.3399992"/>
  </r>
  <r>
    <x v="14"/>
    <s v="ET6"/>
    <x v="5"/>
    <s v="Performance"/>
    <n v="60624.73"/>
    <n v="82.4"/>
    <n v="278"/>
    <n v="200"/>
    <s v="SUV"/>
    <n v="4"/>
    <s v="China"/>
    <s v="Mid-range"/>
    <n v="8857"/>
    <n v="3.49"/>
    <n v="4"/>
    <n v="536953233.61000001"/>
  </r>
  <r>
    <x v="4"/>
    <s v="e-tron GT"/>
    <x v="5"/>
    <s v="Base"/>
    <n v="63332.23"/>
    <n v="84.4"/>
    <n v="310"/>
    <n v="162"/>
    <s v="Coupe"/>
    <n v="5"/>
    <s v="Germany"/>
    <s v="Mid-range"/>
    <n v="62327"/>
    <n v="3.85"/>
    <n v="6"/>
    <n v="3947307899.21"/>
  </r>
  <r>
    <x v="2"/>
    <s v="Model X"/>
    <x v="5"/>
    <s v="Base"/>
    <n v="73015.63"/>
    <n v="82.4"/>
    <n v="304"/>
    <n v="156"/>
    <s v="Truck"/>
    <n v="5"/>
    <s v="US"/>
    <s v="Premium"/>
    <n v="173406"/>
    <n v="3.75"/>
    <n v="5"/>
    <n v="12661348335.780001"/>
  </r>
  <r>
    <x v="2"/>
    <s v="Cybertruck"/>
    <x v="5"/>
    <s v="Performance"/>
    <n v="117415.98"/>
    <n v="78.099999999999994"/>
    <n v="263"/>
    <n v="200"/>
    <s v="Truck"/>
    <n v="5"/>
    <s v="US"/>
    <s v="Luxury"/>
    <n v="183531"/>
    <n v="3.7"/>
    <n v="5"/>
    <n v="21549472225.380001"/>
  </r>
  <r>
    <x v="2"/>
    <s v="Model 3"/>
    <x v="5"/>
    <s v="Standard"/>
    <n v="71316.86"/>
    <n v="73.900000000000006"/>
    <n v="249"/>
    <n v="144"/>
    <s v="SUV"/>
    <n v="5"/>
    <s v="US"/>
    <s v="Premium"/>
    <n v="242716"/>
    <n v="3.7"/>
    <n v="5"/>
    <n v="17309742991.759998"/>
  </r>
  <r>
    <x v="3"/>
    <s v="Leaf 50X"/>
    <x v="5"/>
    <s v="Base"/>
    <n v="59005.52"/>
    <n v="58.4"/>
    <n v="200"/>
    <n v="137"/>
    <s v="Van"/>
    <n v="5"/>
    <s v="China"/>
    <s v="Mid-range"/>
    <n v="127516"/>
    <n v="3.31"/>
    <n v="5"/>
    <n v="7524147888.3199997"/>
  </r>
  <r>
    <x v="13"/>
    <s v="EQC"/>
    <x v="5"/>
    <s v="Performance"/>
    <n v="188302.14"/>
    <n v="78.5"/>
    <n v="277"/>
    <n v="185"/>
    <s v="Coupe"/>
    <n v="4"/>
    <s v="Germany"/>
    <s v="Luxury"/>
    <n v="43172"/>
    <n v="4"/>
    <n v="7"/>
    <n v="8129379988.0800009"/>
  </r>
  <r>
    <x v="2"/>
    <s v="Model Y"/>
    <x v="5"/>
    <s v="Performance"/>
    <n v="43196.41"/>
    <n v="111.9"/>
    <n v="408"/>
    <n v="197"/>
    <s v="Truck"/>
    <n v="5"/>
    <s v="US"/>
    <s v="Mid-range"/>
    <n v="437912"/>
    <n v="4.03"/>
    <n v="5"/>
    <n v="18916226295.920002"/>
  </r>
  <r>
    <x v="8"/>
    <s v="E-Transit"/>
    <x v="5"/>
    <s v="Premium"/>
    <n v="45539.59"/>
    <n v="55.1"/>
    <n v="198"/>
    <n v="173"/>
    <s v="Hatchback"/>
    <n v="5"/>
    <s v="US"/>
    <s v="Mid-range"/>
    <n v="26865"/>
    <n v="3"/>
    <n v="3"/>
    <n v="1223421085.3499999"/>
  </r>
  <r>
    <x v="12"/>
    <s v="Bolt EUV"/>
    <x v="5"/>
    <s v="Performance"/>
    <n v="102049.38"/>
    <n v="116.6"/>
    <n v="395"/>
    <n v="192"/>
    <s v="Van"/>
    <n v="4"/>
    <s v="US"/>
    <s v="Luxury"/>
    <n v="7957"/>
    <n v="4.16"/>
    <n v="5"/>
    <n v="812006916.66000009"/>
  </r>
  <r>
    <x v="7"/>
    <s v="ID.3"/>
    <x v="5"/>
    <s v="Base"/>
    <n v="38889.440000000002"/>
    <n v="65"/>
    <n v="231"/>
    <n v="160"/>
    <s v="Sedan"/>
    <n v="5"/>
    <s v="Germany"/>
    <s v="Mid-range"/>
    <n v="293320"/>
    <n v="3.41"/>
    <n v="3"/>
    <n v="11407050540.800001"/>
  </r>
  <r>
    <x v="2"/>
    <s v="Model 3"/>
    <x v="5"/>
    <s v="Performance"/>
    <n v="169366.43"/>
    <n v="117.4"/>
    <n v="416"/>
    <n v="200"/>
    <s v="SUV"/>
    <n v="5"/>
    <s v="US"/>
    <s v="Luxury"/>
    <n v="248754"/>
    <n v="4.09"/>
    <n v="5"/>
    <n v="42130576928.220001"/>
  </r>
  <r>
    <x v="6"/>
    <s v="Ioniq 5"/>
    <x v="5"/>
    <s v="Performance"/>
    <n v="57904.84"/>
    <n v="80.5"/>
    <n v="286"/>
    <n v="200"/>
    <s v="Sedan"/>
    <n v="4"/>
    <s v="South Korea"/>
    <s v="Mid-range"/>
    <n v="68118"/>
    <n v="3.73"/>
    <n v="4"/>
    <n v="3944361891.1199999"/>
  </r>
  <r>
    <x v="6"/>
    <s v="Ioniq 6"/>
    <x v="5"/>
    <s v="Performance"/>
    <n v="45837.99"/>
    <n v="84.4"/>
    <n v="306"/>
    <n v="192"/>
    <s v="Sedan"/>
    <n v="5"/>
    <s v="South Korea"/>
    <s v="Mid-range"/>
    <n v="96533"/>
    <n v="3.3"/>
    <n v="3"/>
    <n v="4424878688.6700001"/>
  </r>
  <r>
    <x v="4"/>
    <s v="e-tron"/>
    <x v="5"/>
    <s v="Premium"/>
    <n v="80343.06"/>
    <n v="66.3"/>
    <n v="231"/>
    <n v="161"/>
    <s v="Van"/>
    <n v="5"/>
    <s v="Germany"/>
    <s v="Premium"/>
    <n v="43236"/>
    <n v="3.38"/>
    <n v="7"/>
    <n v="3473712542.1599998"/>
  </r>
  <r>
    <x v="3"/>
    <s v="Leaf 50X"/>
    <x v="5"/>
    <s v="Base"/>
    <n v="75747.87"/>
    <n v="69.2"/>
    <n v="279"/>
    <n v="154"/>
    <s v="Sedan"/>
    <n v="3"/>
    <s v="China"/>
    <s v="Premium"/>
    <n v="114789"/>
    <n v="3.65"/>
    <n v="3"/>
    <n v="8695022249.4300003"/>
  </r>
  <r>
    <x v="3"/>
    <s v="Qin"/>
    <x v="5"/>
    <s v="Long Range"/>
    <n v="61700.639999999999"/>
    <n v="101.3"/>
    <n v="351"/>
    <n v="175"/>
    <s v="SUV"/>
    <n v="5"/>
    <s v="China"/>
    <s v="Mid-range"/>
    <n v="190763"/>
    <n v="4"/>
    <n v="3"/>
    <n v="11770199188.32"/>
  </r>
  <r>
    <x v="2"/>
    <s v="Model 3"/>
    <x v="5"/>
    <s v="Premium"/>
    <n v="152706.13"/>
    <n v="77.099999999999994"/>
    <n v="260"/>
    <n v="155"/>
    <s v="SUV"/>
    <n v="4"/>
    <s v="US"/>
    <s v="Luxury"/>
    <n v="172494"/>
    <n v="3.77"/>
    <n v="5"/>
    <n v="26340891188.220001"/>
  </r>
  <r>
    <x v="8"/>
    <s v="F-150 Lightning"/>
    <x v="5"/>
    <s v="Base"/>
    <n v="57536.04"/>
    <n v="73.3"/>
    <n v="254"/>
    <n v="139"/>
    <s v="Truck"/>
    <n v="4"/>
    <s v="US"/>
    <s v="Mid-range"/>
    <n v="44164"/>
    <n v="3.54"/>
    <n v="4"/>
    <n v="2541021670.5599999"/>
  </r>
  <r>
    <x v="9"/>
    <s v="i3"/>
    <x v="5"/>
    <s v="Performance"/>
    <n v="162822.68"/>
    <n v="70.599999999999994"/>
    <n v="255"/>
    <n v="200"/>
    <s v="Truck"/>
    <n v="5"/>
    <s v="Germany"/>
    <s v="Luxury"/>
    <n v="48304"/>
    <n v="3.22"/>
    <n v="7"/>
    <n v="7864986734.7199993"/>
  </r>
  <r>
    <x v="4"/>
    <s v="e-tron"/>
    <x v="5"/>
    <s v="Standard"/>
    <n v="72972.25"/>
    <n v="58"/>
    <n v="223"/>
    <n v="139"/>
    <s v="SUV"/>
    <n v="5"/>
    <s v="Germany"/>
    <s v="Premium"/>
    <n v="23427"/>
    <n v="3.35"/>
    <n v="5"/>
    <n v="1709520900.75"/>
  </r>
  <r>
    <x v="6"/>
    <s v="i30"/>
    <x v="5"/>
    <s v="Performance"/>
    <n v="97964.98"/>
    <n v="106.9"/>
    <n v="392"/>
    <n v="192"/>
    <s v="Truck"/>
    <n v="4"/>
    <s v="South Korea"/>
    <s v="Premium"/>
    <n v="98285"/>
    <n v="3.82"/>
    <n v="3"/>
    <n v="9628488059.2999992"/>
  </r>
  <r>
    <x v="7"/>
    <s v="ID. Buzz"/>
    <x v="5"/>
    <s v="Standard"/>
    <n v="60229.21"/>
    <n v="40.6"/>
    <n v="150"/>
    <n v="145"/>
    <s v="SUV"/>
    <n v="5"/>
    <s v="Germany"/>
    <s v="Mid-range"/>
    <n v="215577"/>
    <n v="3.2"/>
    <n v="4"/>
    <n v="12984032404.17"/>
  </r>
  <r>
    <x v="3"/>
    <s v="Leaf 50X"/>
    <x v="5"/>
    <s v="Premium"/>
    <n v="41881.699999999997"/>
    <n v="82.8"/>
    <n v="280"/>
    <n v="138"/>
    <s v="SUV"/>
    <n v="4"/>
    <s v="China"/>
    <s v="Mid-range"/>
    <n v="128802"/>
    <n v="3.46"/>
    <n v="3"/>
    <n v="5394446723.3999996"/>
  </r>
  <r>
    <x v="3"/>
    <s v="Atto 3"/>
    <x v="5"/>
    <s v="Long Range"/>
    <n v="90653.56"/>
    <n v="81.3"/>
    <n v="304"/>
    <n v="164"/>
    <s v="Van"/>
    <n v="5"/>
    <s v="China"/>
    <s v="Premium"/>
    <n v="227338"/>
    <n v="3.64"/>
    <n v="4"/>
    <n v="20608999023.279999"/>
  </r>
  <r>
    <x v="3"/>
    <s v="Dolphin"/>
    <x v="5"/>
    <s v="Long Range"/>
    <n v="27390.16"/>
    <n v="86"/>
    <n v="278"/>
    <n v="187"/>
    <s v="Coupe"/>
    <n v="4"/>
    <s v="China"/>
    <s v="Budget"/>
    <n v="146828"/>
    <n v="3.67"/>
    <n v="4"/>
    <n v="4021642412.48"/>
  </r>
  <r>
    <x v="6"/>
    <s v="Ioniq 5"/>
    <x v="5"/>
    <s v="Long Range"/>
    <n v="94028.85"/>
    <n v="102.7"/>
    <n v="334"/>
    <n v="194"/>
    <s v="SUV"/>
    <n v="4"/>
    <s v="South Korea"/>
    <s v="Premium"/>
    <n v="71912"/>
    <n v="3.59"/>
    <n v="3"/>
    <n v="6761802661.2000008"/>
  </r>
  <r>
    <x v="12"/>
    <s v="Bolt EV"/>
    <x v="5"/>
    <s v="Premium"/>
    <n v="59620.99"/>
    <n v="44.8"/>
    <n v="150"/>
    <n v="142"/>
    <s v="Coupe"/>
    <n v="5"/>
    <s v="US"/>
    <s v="Mid-range"/>
    <n v="21979"/>
    <n v="3.27"/>
    <n v="4"/>
    <n v="1310409739.21"/>
  </r>
  <r>
    <x v="7"/>
    <s v="ID. Buzz"/>
    <x v="5"/>
    <s v="Performance"/>
    <n v="78713.929999999993"/>
    <n v="85.5"/>
    <n v="300"/>
    <n v="200"/>
    <s v="Truck"/>
    <n v="4"/>
    <s v="Germany"/>
    <s v="Premium"/>
    <n v="216549"/>
    <n v="3.66"/>
    <n v="4"/>
    <n v="17045422827.569998"/>
  </r>
  <r>
    <x v="0"/>
    <s v="bZ4X"/>
    <x v="5"/>
    <s v="Performance"/>
    <n v="62345.64"/>
    <n v="105.4"/>
    <n v="377"/>
    <n v="200"/>
    <s v="Truck"/>
    <n v="5"/>
    <s v="Japan"/>
    <s v="Mid-range"/>
    <n v="15819"/>
    <n v="4.18"/>
    <n v="3"/>
    <n v="986245679.15999997"/>
  </r>
  <r>
    <x v="6"/>
    <s v="Kona Electric"/>
    <x v="5"/>
    <s v="Long Range"/>
    <n v="40497.64"/>
    <n v="109"/>
    <n v="417"/>
    <n v="177"/>
    <s v="SUV"/>
    <n v="3"/>
    <s v="South Korea"/>
    <s v="Mid-range"/>
    <n v="61921"/>
    <n v="3.92"/>
    <n v="3"/>
    <n v="2507654366.4400001"/>
  </r>
  <r>
    <x v="2"/>
    <s v="Model S"/>
    <x v="5"/>
    <s v="Standard"/>
    <n v="67489.81"/>
    <n v="67.099999999999994"/>
    <n v="239"/>
    <n v="146"/>
    <s v="Coupe"/>
    <n v="4"/>
    <s v="US"/>
    <s v="Premium"/>
    <n v="226745"/>
    <n v="3.61"/>
    <n v="5"/>
    <n v="15302976968.449999"/>
  </r>
  <r>
    <x v="5"/>
    <s v="Sportage EV"/>
    <x v="5"/>
    <s v="Performance"/>
    <n v="99993.15"/>
    <n v="93.7"/>
    <n v="336"/>
    <n v="196"/>
    <s v="SUV"/>
    <n v="4"/>
    <s v="South Korea"/>
    <s v="Premium"/>
    <n v="52100"/>
    <n v="3.59"/>
    <n v="3"/>
    <n v="5209643115"/>
  </r>
  <r>
    <x v="6"/>
    <s v="i30"/>
    <x v="5"/>
    <s v="Base"/>
    <n v="51159.74"/>
    <n v="75.599999999999994"/>
    <n v="278"/>
    <n v="153"/>
    <s v="Van"/>
    <n v="5"/>
    <s v="South Korea"/>
    <s v="Mid-range"/>
    <n v="89226"/>
    <n v="3.67"/>
    <n v="4"/>
    <n v="4564778961.2399998"/>
  </r>
  <r>
    <x v="12"/>
    <s v="Blazer EV"/>
    <x v="5"/>
    <s v="Standard"/>
    <n v="46970.49"/>
    <n v="53.9"/>
    <n v="191"/>
    <n v="174"/>
    <s v="SUV"/>
    <n v="4"/>
    <s v="US"/>
    <s v="Mid-range"/>
    <n v="6914"/>
    <n v="3.21"/>
    <n v="4"/>
    <n v="324753967.86000001"/>
  </r>
  <r>
    <x v="7"/>
    <s v="ID. Buzz"/>
    <x v="5"/>
    <s v="Long Range"/>
    <n v="93619.57"/>
    <n v="83.5"/>
    <n v="289"/>
    <n v="172"/>
    <s v="Sedan"/>
    <n v="5"/>
    <s v="Germany"/>
    <s v="Premium"/>
    <n v="222583"/>
    <n v="3.38"/>
    <n v="3"/>
    <n v="20838124749.310001"/>
  </r>
  <r>
    <x v="9"/>
    <s v="iX"/>
    <x v="5"/>
    <s v="Long Range"/>
    <n v="124852.49"/>
    <n v="85.3"/>
    <n v="324"/>
    <n v="158"/>
    <s v="Sedan"/>
    <n v="3"/>
    <s v="Germany"/>
    <s v="Luxury"/>
    <n v="51096"/>
    <n v="3.39"/>
    <n v="7"/>
    <n v="6379462829.04"/>
  </r>
  <r>
    <x v="9"/>
    <s v="i5"/>
    <x v="5"/>
    <s v="Standard"/>
    <n v="97046.62"/>
    <n v="60"/>
    <n v="209"/>
    <n v="131"/>
    <s v="Hatchback"/>
    <n v="5"/>
    <s v="Germany"/>
    <s v="Premium"/>
    <n v="66065"/>
    <n v="3.41"/>
    <n v="5"/>
    <n v="6411384950.2999992"/>
  </r>
  <r>
    <x v="6"/>
    <s v="Kona Electric"/>
    <x v="5"/>
    <s v="Long Range"/>
    <n v="43168.2"/>
    <n v="97.5"/>
    <n v="334"/>
    <n v="179"/>
    <s v="Van"/>
    <n v="4"/>
    <s v="South Korea"/>
    <s v="Mid-range"/>
    <n v="84174"/>
    <n v="3.27"/>
    <n v="3"/>
    <n v="3633640066.7999997"/>
  </r>
  <r>
    <x v="7"/>
    <s v="ID.4"/>
    <x v="5"/>
    <s v="Premium"/>
    <n v="67323.210000000006"/>
    <n v="57.6"/>
    <n v="187"/>
    <n v="172"/>
    <s v="Van"/>
    <n v="5"/>
    <s v="Germany"/>
    <s v="Premium"/>
    <n v="295974"/>
    <n v="3.47"/>
    <n v="5"/>
    <n v="19925919756.540001"/>
  </r>
  <r>
    <x v="14"/>
    <s v="ET6"/>
    <x v="5"/>
    <s v="Long Range"/>
    <n v="108463.22"/>
    <n v="80"/>
    <n v="263"/>
    <n v="200"/>
    <s v="SUV"/>
    <n v="3"/>
    <s v="China"/>
    <s v="Luxury"/>
    <n v="18130"/>
    <n v="3.2"/>
    <n v="4"/>
    <n v="1966438178.5999999"/>
  </r>
  <r>
    <x v="2"/>
    <s v="Model X"/>
    <x v="5"/>
    <s v="Base"/>
    <n v="71274.600000000006"/>
    <n v="49.2"/>
    <n v="150"/>
    <n v="160"/>
    <s v="Van"/>
    <n v="5"/>
    <s v="US"/>
    <s v="Premium"/>
    <n v="132658"/>
    <n v="3.6"/>
    <n v="4"/>
    <n v="9455145886.8000011"/>
  </r>
  <r>
    <x v="2"/>
    <s v="Model 3"/>
    <x v="5"/>
    <s v="Standard"/>
    <n v="132101.43"/>
    <n v="47.9"/>
    <n v="150"/>
    <n v="144"/>
    <s v="SUV"/>
    <n v="5"/>
    <s v="US"/>
    <s v="Luxury"/>
    <n v="220080"/>
    <n v="3.43"/>
    <n v="6"/>
    <n v="29072882714.399998"/>
  </r>
  <r>
    <x v="9"/>
    <s v="i5"/>
    <x v="5"/>
    <s v="Premium"/>
    <n v="71335.77"/>
    <n v="45.4"/>
    <n v="168"/>
    <n v="143"/>
    <s v="Hatchback"/>
    <n v="4"/>
    <s v="Germany"/>
    <s v="Premium"/>
    <n v="26069"/>
    <n v="3.19"/>
    <n v="7"/>
    <n v="1859652188.1300001"/>
  </r>
  <r>
    <x v="3"/>
    <s v="Dolphin"/>
    <x v="5"/>
    <s v="Base"/>
    <n v="62107.839999999997"/>
    <n v="82.5"/>
    <n v="291"/>
    <n v="142"/>
    <s v="Truck"/>
    <n v="4"/>
    <s v="China"/>
    <s v="Mid-range"/>
    <n v="129397"/>
    <n v="3.55"/>
    <n v="5"/>
    <n v="8036568172.4799995"/>
  </r>
  <r>
    <x v="4"/>
    <s v="e-tron GT"/>
    <x v="5"/>
    <s v="Long Range"/>
    <n v="70111.179999999993"/>
    <n v="75.599999999999994"/>
    <n v="262"/>
    <n v="166"/>
    <s v="Coupe"/>
    <n v="3"/>
    <s v="Germany"/>
    <s v="Premium"/>
    <n v="79614"/>
    <n v="3.53"/>
    <n v="5"/>
    <n v="5581831484.5199995"/>
  </r>
  <r>
    <x v="4"/>
    <s v="Q6 e-tron"/>
    <x v="5"/>
    <s v="Premium"/>
    <n v="138510.75"/>
    <n v="62.7"/>
    <n v="204"/>
    <n v="133"/>
    <s v="Coupe"/>
    <n v="4"/>
    <s v="Germany"/>
    <s v="Luxury"/>
    <n v="58972"/>
    <n v="3.24"/>
    <n v="6"/>
    <n v="8168255949"/>
  </r>
  <r>
    <x v="4"/>
    <s v="e-tron GT"/>
    <x v="5"/>
    <s v="Base"/>
    <n v="104530.78"/>
    <n v="61.3"/>
    <n v="194"/>
    <n v="135"/>
    <s v="SUV"/>
    <n v="5"/>
    <s v="Germany"/>
    <s v="Luxury"/>
    <n v="52472"/>
    <n v="3.51"/>
    <n v="8"/>
    <n v="5484939088.1599998"/>
  </r>
  <r>
    <x v="4"/>
    <s v="Q6 e-tron"/>
    <x v="5"/>
    <s v="Long Range"/>
    <n v="97248.51"/>
    <n v="90.6"/>
    <n v="304"/>
    <n v="168"/>
    <s v="Van"/>
    <n v="5"/>
    <s v="Germany"/>
    <s v="Premium"/>
    <n v="46587"/>
    <n v="3.19"/>
    <n v="6"/>
    <n v="4530516335.3699999"/>
  </r>
  <r>
    <x v="9"/>
    <s v="iX"/>
    <x v="5"/>
    <s v="Standard"/>
    <n v="55554.9"/>
    <n v="41.7"/>
    <n v="151"/>
    <n v="173"/>
    <s v="Van"/>
    <n v="5"/>
    <s v="Germany"/>
    <s v="Mid-range"/>
    <n v="69514"/>
    <n v="3.1"/>
    <n v="8"/>
    <n v="3861843318.5999999"/>
  </r>
  <r>
    <x v="2"/>
    <s v="Model Y"/>
    <x v="5"/>
    <s v="Base"/>
    <n v="42292.45"/>
    <n v="67.3"/>
    <n v="240"/>
    <n v="159"/>
    <s v="Truck"/>
    <n v="4"/>
    <s v="US"/>
    <s v="Mid-range"/>
    <n v="472726"/>
    <n v="3.66"/>
    <n v="5"/>
    <n v="19992740718.699997"/>
  </r>
  <r>
    <x v="5"/>
    <s v="EV9"/>
    <x v="5"/>
    <s v="Standard"/>
    <n v="77483.58"/>
    <n v="46.2"/>
    <n v="176"/>
    <n v="133"/>
    <s v="SUV"/>
    <n v="3"/>
    <s v="South Korea"/>
    <s v="Premium"/>
    <n v="116585"/>
    <n v="3.02"/>
    <n v="4"/>
    <n v="9033423174.3000011"/>
  </r>
  <r>
    <x v="2"/>
    <s v="Model X"/>
    <x v="5"/>
    <s v="Premium"/>
    <n v="112066.22"/>
    <n v="43.2"/>
    <n v="167"/>
    <n v="134"/>
    <s v="Van"/>
    <n v="4"/>
    <s v="US"/>
    <s v="Luxury"/>
    <n v="245565"/>
    <n v="3.75"/>
    <n v="4"/>
    <n v="27519541314.299999"/>
  </r>
  <r>
    <x v="3"/>
    <s v="Seagull"/>
    <x v="5"/>
    <s v="Base"/>
    <n v="67469.58"/>
    <n v="57.5"/>
    <n v="191"/>
    <n v="138"/>
    <s v="Hatchback"/>
    <n v="4"/>
    <s v="China"/>
    <s v="Premium"/>
    <n v="179136"/>
    <n v="3.46"/>
    <n v="4"/>
    <n v="12086230682.880001"/>
  </r>
  <r>
    <x v="3"/>
    <s v="Seagull"/>
    <x v="5"/>
    <s v="Long Range"/>
    <n v="48990.53"/>
    <n v="99.3"/>
    <n v="357"/>
    <n v="156"/>
    <s v="SUV"/>
    <n v="4"/>
    <s v="China"/>
    <s v="Mid-range"/>
    <n v="211809"/>
    <n v="3.67"/>
    <n v="4"/>
    <n v="10376635168.77"/>
  </r>
  <r>
    <x v="13"/>
    <s v="GLE EV"/>
    <x v="5"/>
    <s v="Long Range"/>
    <n v="122338.76"/>
    <n v="85.1"/>
    <n v="270"/>
    <n v="193"/>
    <s v="Hatchback"/>
    <n v="3"/>
    <s v="Germany"/>
    <s v="Luxury"/>
    <n v="52641"/>
    <n v="4.0599999999999996"/>
    <n v="7"/>
    <n v="6440034665.1599998"/>
  </r>
  <r>
    <x v="3"/>
    <s v="Seagull"/>
    <x v="5"/>
    <s v="Long Range"/>
    <n v="24414.35"/>
    <n v="86.4"/>
    <n v="281"/>
    <n v="175"/>
    <s v="Sedan"/>
    <n v="5"/>
    <s v="China"/>
    <s v="Budget"/>
    <n v="228388"/>
    <n v="3.55"/>
    <n v="4"/>
    <n v="5575944567.7999992"/>
  </r>
  <r>
    <x v="7"/>
    <s v="ID. Buzz"/>
    <x v="5"/>
    <s v="Long Range"/>
    <n v="52579.97"/>
    <n v="94.8"/>
    <n v="325"/>
    <n v="171"/>
    <s v="Hatchback"/>
    <n v="3"/>
    <s v="Germany"/>
    <s v="Mid-range"/>
    <n v="238272"/>
    <n v="3.57"/>
    <n v="4"/>
    <n v="12528334611.84"/>
  </r>
  <r>
    <x v="4"/>
    <s v="Q4 e-tron"/>
    <x v="5"/>
    <s v="Base"/>
    <n v="81941.39"/>
    <n v="40.200000000000003"/>
    <n v="150"/>
    <n v="166"/>
    <s v="Coupe"/>
    <n v="5"/>
    <s v="Germany"/>
    <s v="Premium"/>
    <n v="77358"/>
    <n v="3"/>
    <n v="7"/>
    <n v="6338822047.6199999"/>
  </r>
  <r>
    <x v="8"/>
    <s v="Mustang Mach-E"/>
    <x v="5"/>
    <s v="Standard"/>
    <n v="56042.09"/>
    <n v="79.5"/>
    <n v="293"/>
    <n v="157"/>
    <s v="SUV"/>
    <n v="3"/>
    <s v="US"/>
    <s v="Mid-range"/>
    <n v="69874"/>
    <n v="3.35"/>
    <n v="4"/>
    <n v="3915884996.6599998"/>
  </r>
  <r>
    <x v="6"/>
    <s v="Ioniq 5"/>
    <x v="5"/>
    <s v="Base"/>
    <n v="61128.92"/>
    <n v="46.1"/>
    <n v="180"/>
    <n v="153"/>
    <s v="Van"/>
    <n v="5"/>
    <s v="South Korea"/>
    <s v="Mid-range"/>
    <n v="110095"/>
    <n v="3.32"/>
    <n v="3"/>
    <n v="6729988447.3999996"/>
  </r>
  <r>
    <x v="12"/>
    <s v="Equinox EV"/>
    <x v="5"/>
    <s v="Standard"/>
    <n v="32070.17"/>
    <n v="44.1"/>
    <n v="158"/>
    <n v="161"/>
    <s v="SUV"/>
    <n v="4"/>
    <s v="US"/>
    <s v="Budget"/>
    <n v="1331"/>
    <n v="3.29"/>
    <n v="3"/>
    <n v="42685396.269999996"/>
  </r>
  <r>
    <x v="9"/>
    <s v="i5"/>
    <x v="5"/>
    <s v="Performance"/>
    <n v="132666.57999999999"/>
    <n v="82"/>
    <n v="299"/>
    <n v="194"/>
    <s v="Van"/>
    <n v="5"/>
    <s v="Germany"/>
    <s v="Luxury"/>
    <n v="71584"/>
    <n v="3.74"/>
    <n v="6"/>
    <n v="9496804462.7199993"/>
  </r>
  <r>
    <x v="3"/>
    <s v="Yuan Plus"/>
    <x v="5"/>
    <s v="Long Range"/>
    <n v="48600.01"/>
    <n v="81.400000000000006"/>
    <n v="288"/>
    <n v="167"/>
    <s v="Sedan"/>
    <n v="4"/>
    <s v="China"/>
    <s v="Mid-range"/>
    <n v="222634"/>
    <n v="3.67"/>
    <n v="5"/>
    <n v="10820014626.34"/>
  </r>
  <r>
    <x v="2"/>
    <s v="Cybertruck"/>
    <x v="5"/>
    <s v="Performance"/>
    <n v="116077.71"/>
    <n v="118.6"/>
    <n v="428"/>
    <n v="189"/>
    <s v="Truck"/>
    <n v="5"/>
    <s v="US"/>
    <s v="Luxury"/>
    <n v="150657"/>
    <n v="4.24"/>
    <n v="5"/>
    <n v="17487919555.470001"/>
  </r>
  <r>
    <x v="5"/>
    <s v="EV9"/>
    <x v="5"/>
    <s v="Long Range"/>
    <n v="56772.77"/>
    <n v="100.2"/>
    <n v="356"/>
    <n v="167"/>
    <s v="SUV"/>
    <n v="4"/>
    <s v="South Korea"/>
    <s v="Mid-range"/>
    <n v="99235"/>
    <n v="3.69"/>
    <n v="3"/>
    <n v="5633845830.9499998"/>
  </r>
  <r>
    <x v="14"/>
    <s v="EL8"/>
    <x v="5"/>
    <s v="Premium"/>
    <n v="87478.76"/>
    <n v="48.6"/>
    <n v="172"/>
    <n v="164"/>
    <s v="SUV"/>
    <n v="4"/>
    <s v="China"/>
    <s v="Premium"/>
    <n v="16505"/>
    <n v="3.43"/>
    <n v="3"/>
    <n v="1443836933.8"/>
  </r>
  <r>
    <x v="12"/>
    <s v="Bolt EUV"/>
    <x v="5"/>
    <s v="Long Range"/>
    <n v="68470.14"/>
    <n v="87.2"/>
    <n v="293"/>
    <n v="157"/>
    <s v="Van"/>
    <n v="4"/>
    <s v="US"/>
    <s v="Premium"/>
    <n v="14899"/>
    <n v="3.33"/>
    <n v="4"/>
    <n v="1020136615.86"/>
  </r>
  <r>
    <x v="5"/>
    <s v="EV9"/>
    <x v="5"/>
    <s v="Premium"/>
    <n v="89987.27"/>
    <n v="70.400000000000006"/>
    <n v="245"/>
    <n v="174"/>
    <s v="SUV"/>
    <n v="4"/>
    <s v="South Korea"/>
    <s v="Premium"/>
    <n v="123485"/>
    <n v="3.47"/>
    <n v="4"/>
    <n v="11112078035.950001"/>
  </r>
  <r>
    <x v="17"/>
    <s v="XC90 Recharge"/>
    <x v="5"/>
    <s v="Performance"/>
    <n v="106316.66"/>
    <n v="104.3"/>
    <n v="367"/>
    <n v="193"/>
    <s v="Van"/>
    <n v="5"/>
    <s v="Sweden"/>
    <s v="Luxury"/>
    <n v="8684"/>
    <n v="3.86"/>
    <n v="4"/>
    <n v="923253875.44000006"/>
  </r>
  <r>
    <x v="2"/>
    <s v="Model Y"/>
    <x v="5"/>
    <s v="Premium"/>
    <n v="83799.48"/>
    <n v="74.599999999999994"/>
    <n v="276"/>
    <n v="153"/>
    <s v="Truck"/>
    <n v="5"/>
    <s v="US"/>
    <s v="Premium"/>
    <n v="427228"/>
    <n v="4.1500000000000004"/>
    <n v="4"/>
    <n v="35801484241.439995"/>
  </r>
  <r>
    <x v="12"/>
    <s v="Equinox EV"/>
    <x v="5"/>
    <s v="Performance"/>
    <n v="101369.89"/>
    <n v="89.3"/>
    <n v="325"/>
    <n v="195"/>
    <s v="SUV"/>
    <n v="3"/>
    <s v="US"/>
    <s v="Luxury"/>
    <n v="27681"/>
    <n v="3.35"/>
    <n v="3"/>
    <n v="2806019925.0900002"/>
  </r>
  <r>
    <x v="12"/>
    <s v="Blazer EV"/>
    <x v="5"/>
    <s v="Base"/>
    <n v="61000.06"/>
    <n v="63.4"/>
    <n v="250"/>
    <n v="151"/>
    <s v="Truck"/>
    <n v="4"/>
    <s v="US"/>
    <s v="Mid-range"/>
    <n v="3536"/>
    <n v="3.69"/>
    <n v="4"/>
    <n v="215696212.16"/>
  </r>
  <r>
    <x v="12"/>
    <s v="Silverado EV"/>
    <x v="5"/>
    <s v="Premium"/>
    <n v="56307.41"/>
    <n v="55"/>
    <n v="193"/>
    <n v="155"/>
    <s v="Sedan"/>
    <n v="4"/>
    <s v="US"/>
    <s v="Mid-range"/>
    <n v="25746"/>
    <n v="3.34"/>
    <n v="4"/>
    <n v="1449690577.8600001"/>
  </r>
  <r>
    <x v="8"/>
    <s v="Explorer EV"/>
    <x v="5"/>
    <s v="Long Range"/>
    <n v="92751.53"/>
    <n v="76.2"/>
    <n v="247"/>
    <n v="178"/>
    <s v="Truck"/>
    <n v="4"/>
    <s v="US"/>
    <s v="Premium"/>
    <n v="70352"/>
    <n v="3.3"/>
    <n v="3"/>
    <n v="6525255638.5599995"/>
  </r>
  <r>
    <x v="6"/>
    <s v="Ioniq 6"/>
    <x v="5"/>
    <s v="Long Range"/>
    <n v="37714.46"/>
    <n v="105.8"/>
    <n v="359"/>
    <n v="170"/>
    <s v="Truck"/>
    <n v="4"/>
    <s v="South Korea"/>
    <s v="Mid-range"/>
    <n v="77052"/>
    <n v="3.86"/>
    <n v="5"/>
    <n v="2905974571.9200001"/>
  </r>
  <r>
    <x v="9"/>
    <s v="i7"/>
    <x v="5"/>
    <s v="Premium"/>
    <n v="150512.16"/>
    <n v="44.6"/>
    <n v="150"/>
    <n v="170"/>
    <s v="Hatchback"/>
    <n v="4"/>
    <s v="Germany"/>
    <s v="Luxury"/>
    <n v="47379"/>
    <n v="3.31"/>
    <n v="8"/>
    <n v="7131115628.6400003"/>
  </r>
  <r>
    <x v="8"/>
    <s v="F-150 Lightning"/>
    <x v="5"/>
    <s v="Long Range"/>
    <n v="66474.899999999994"/>
    <n v="78.5"/>
    <n v="273"/>
    <n v="168"/>
    <s v="Truck"/>
    <n v="4"/>
    <s v="US"/>
    <s v="Premium"/>
    <n v="43803"/>
    <n v="3.47"/>
    <n v="5"/>
    <n v="2911800044.6999998"/>
  </r>
  <r>
    <x v="3"/>
    <s v="Dolphin"/>
    <x v="5"/>
    <s v="Base"/>
    <n v="42876.18"/>
    <n v="78.3"/>
    <n v="263"/>
    <n v="161"/>
    <s v="SUV"/>
    <n v="5"/>
    <s v="China"/>
    <s v="Mid-range"/>
    <n v="158327"/>
    <n v="3.29"/>
    <n v="3"/>
    <n v="6788456950.8599997"/>
  </r>
  <r>
    <x v="5"/>
    <s v="EV6"/>
    <x v="5"/>
    <s v="Performance"/>
    <n v="117331.76"/>
    <n v="116.3"/>
    <n v="411"/>
    <n v="200"/>
    <s v="Coupe"/>
    <n v="4"/>
    <s v="South Korea"/>
    <s v="Luxury"/>
    <n v="108933"/>
    <n v="3.59"/>
    <n v="4"/>
    <n v="12781300612.08"/>
  </r>
  <r>
    <x v="5"/>
    <s v="EV6"/>
    <x v="5"/>
    <s v="Base"/>
    <n v="74609.83"/>
    <n v="44.7"/>
    <n v="153"/>
    <n v="165"/>
    <s v="Truck"/>
    <n v="5"/>
    <s v="South Korea"/>
    <s v="Premium"/>
    <n v="84247"/>
    <n v="3.42"/>
    <n v="3"/>
    <n v="6285654348.0100002"/>
  </r>
  <r>
    <x v="2"/>
    <s v="Cybertruck"/>
    <x v="5"/>
    <s v="Base"/>
    <n v="87113.04"/>
    <n v="47.4"/>
    <n v="150"/>
    <n v="176"/>
    <s v="Truck"/>
    <n v="4"/>
    <s v="US"/>
    <s v="Premium"/>
    <n v="217680"/>
    <n v="3.55"/>
    <n v="4"/>
    <n v="18962766547.199997"/>
  </r>
  <r>
    <x v="2"/>
    <s v="Cybertruck"/>
    <x v="5"/>
    <s v="Performance"/>
    <n v="166572.78"/>
    <n v="117.8"/>
    <n v="398"/>
    <n v="200"/>
    <s v="Truck"/>
    <n v="5"/>
    <s v="US"/>
    <s v="Luxury"/>
    <n v="229037"/>
    <n v="4.3499999999999996"/>
    <n v="6"/>
    <n v="38151329812.860001"/>
  </r>
  <r>
    <x v="8"/>
    <s v="E-Transit"/>
    <x v="5"/>
    <s v="Standard"/>
    <n v="49970.16"/>
    <n v="77.5"/>
    <n v="267"/>
    <n v="181"/>
    <s v="Truck"/>
    <n v="4"/>
    <s v="US"/>
    <s v="Mid-range"/>
    <n v="35218"/>
    <n v="3.57"/>
    <n v="3"/>
    <n v="1759849094.8800001"/>
  </r>
  <r>
    <x v="9"/>
    <s v="i4"/>
    <x v="5"/>
    <s v="Base"/>
    <n v="85729.44"/>
    <n v="59.9"/>
    <n v="191"/>
    <n v="168"/>
    <s v="Truck"/>
    <n v="5"/>
    <s v="Germany"/>
    <s v="Premium"/>
    <n v="29338"/>
    <n v="3.48"/>
    <n v="6"/>
    <n v="2515130310.7200003"/>
  </r>
  <r>
    <x v="12"/>
    <s v="Blazer EV"/>
    <x v="5"/>
    <s v="Premium"/>
    <n v="80896.009999999995"/>
    <n v="64.400000000000006"/>
    <n v="194"/>
    <n v="148"/>
    <s v="Hatchback"/>
    <n v="4"/>
    <s v="US"/>
    <s v="Premium"/>
    <n v="11404"/>
    <n v="3.35"/>
    <n v="4"/>
    <n v="922538098.03999996"/>
  </r>
  <r>
    <x v="7"/>
    <s v="ID. Buzz"/>
    <x v="5"/>
    <s v="Long Range"/>
    <n v="66045.149999999994"/>
    <n v="82.5"/>
    <n v="269"/>
    <n v="163"/>
    <s v="Hatchback"/>
    <n v="4"/>
    <s v="Germany"/>
    <s v="Premium"/>
    <n v="228215"/>
    <n v="3.37"/>
    <n v="3"/>
    <n v="15072493907.249998"/>
  </r>
  <r>
    <x v="12"/>
    <s v="Blazer EV"/>
    <x v="5"/>
    <s v="Standard"/>
    <n v="70614.100000000006"/>
    <n v="41.9"/>
    <n v="187"/>
    <n v="173"/>
    <s v="Hatchback"/>
    <n v="4"/>
    <s v="US"/>
    <s v="Premium"/>
    <n v="27643"/>
    <n v="3.38"/>
    <n v="4"/>
    <n v="1951985566.3000002"/>
  </r>
  <r>
    <x v="7"/>
    <s v="ID.4"/>
    <x v="5"/>
    <s v="Performance"/>
    <n v="80549.5"/>
    <n v="119.7"/>
    <n v="447"/>
    <n v="192"/>
    <s v="Truck"/>
    <n v="5"/>
    <s v="Germany"/>
    <s v="Premium"/>
    <n v="291709"/>
    <n v="3.7"/>
    <n v="3"/>
    <n v="23497014095.5"/>
  </r>
  <r>
    <x v="5"/>
    <s v="Picanto EV"/>
    <x v="5"/>
    <s v="Base"/>
    <n v="41416.019999999997"/>
    <n v="60.8"/>
    <n v="228"/>
    <n v="160"/>
    <s v="Hatchback"/>
    <n v="5"/>
    <s v="South Korea"/>
    <s v="Mid-range"/>
    <n v="137512"/>
    <n v="3.35"/>
    <n v="3"/>
    <n v="5695199742.2399998"/>
  </r>
  <r>
    <x v="9"/>
    <s v="i3"/>
    <x v="5"/>
    <s v="Performance"/>
    <n v="97630.54"/>
    <n v="108"/>
    <n v="374"/>
    <n v="200"/>
    <s v="Truck"/>
    <n v="4"/>
    <s v="Germany"/>
    <s v="Premium"/>
    <n v="50895"/>
    <n v="3.63"/>
    <n v="5"/>
    <n v="4968906333.2999992"/>
  </r>
  <r>
    <x v="0"/>
    <s v="bZ4X"/>
    <x v="5"/>
    <s v="Long Range"/>
    <n v="77617.509999999995"/>
    <n v="84.5"/>
    <n v="295"/>
    <n v="180"/>
    <s v="Coupe"/>
    <n v="5"/>
    <s v="Japan"/>
    <s v="Premium"/>
    <n v="15856"/>
    <n v="3.46"/>
    <n v="4"/>
    <n v="1230703238.5599999"/>
  </r>
  <r>
    <x v="12"/>
    <s v="Bolt EV"/>
    <x v="5"/>
    <s v="Performance"/>
    <n v="53614.17"/>
    <n v="77.3"/>
    <n v="266"/>
    <n v="192"/>
    <s v="Truck"/>
    <n v="5"/>
    <s v="US"/>
    <s v="Mid-range"/>
    <n v="7236"/>
    <n v="3.24"/>
    <n v="3"/>
    <n v="387952134.12"/>
  </r>
  <r>
    <x v="5"/>
    <s v="EV9"/>
    <x v="5"/>
    <s v="Premium"/>
    <n v="62151.7"/>
    <n v="74"/>
    <n v="246"/>
    <n v="129"/>
    <s v="SUV"/>
    <n v="5"/>
    <s v="South Korea"/>
    <s v="Mid-range"/>
    <n v="58624"/>
    <n v="3.74"/>
    <n v="5"/>
    <n v="3643581260.7999997"/>
  </r>
  <r>
    <x v="7"/>
    <s v="ID. Buzz"/>
    <x v="5"/>
    <s v="Performance"/>
    <n v="57462.19"/>
    <n v="76.2"/>
    <n v="259"/>
    <n v="183"/>
    <s v="Hatchback"/>
    <n v="4"/>
    <s v="Germany"/>
    <s v="Mid-range"/>
    <n v="298599"/>
    <n v="3.42"/>
    <n v="5"/>
    <n v="17158152471.810001"/>
  </r>
  <r>
    <x v="7"/>
    <s v="ID.3"/>
    <x v="5"/>
    <s v="Performance"/>
    <n v="88158.61"/>
    <n v="99.8"/>
    <n v="333"/>
    <n v="200"/>
    <s v="Hatchback"/>
    <n v="5"/>
    <s v="Germany"/>
    <s v="Premium"/>
    <n v="265949"/>
    <n v="3.68"/>
    <n v="4"/>
    <n v="23445694170.889999"/>
  </r>
  <r>
    <x v="2"/>
    <s v="Cybertruck"/>
    <x v="5"/>
    <s v="Base"/>
    <n v="29689.54"/>
    <n v="58.1"/>
    <n v="216"/>
    <n v="170"/>
    <s v="Truck"/>
    <n v="5"/>
    <s v="US"/>
    <s v="Budget"/>
    <n v="210522"/>
    <n v="3.78"/>
    <n v="5"/>
    <n v="6250301339.8800001"/>
  </r>
  <r>
    <x v="2"/>
    <s v="Model S"/>
    <x v="5"/>
    <s v="Long Range"/>
    <n v="129183.24"/>
    <n v="87.9"/>
    <n v="337"/>
    <n v="169"/>
    <s v="Hatchback"/>
    <n v="5"/>
    <s v="US"/>
    <s v="Luxury"/>
    <n v="207546"/>
    <n v="3.74"/>
    <n v="6"/>
    <n v="26811464729.040001"/>
  </r>
  <r>
    <x v="2"/>
    <s v="Cybertruck"/>
    <x v="5"/>
    <s v="Long Range"/>
    <n v="132226.95000000001"/>
    <n v="87.5"/>
    <n v="319"/>
    <n v="176"/>
    <s v="Truck"/>
    <n v="5"/>
    <s v="US"/>
    <s v="Luxury"/>
    <n v="133735"/>
    <n v="3.85"/>
    <n v="4"/>
    <n v="17683371158.25"/>
  </r>
  <r>
    <x v="2"/>
    <s v="Model S"/>
    <x v="5"/>
    <s v="Premium"/>
    <n v="162032.44"/>
    <n v="61.2"/>
    <n v="193"/>
    <n v="132"/>
    <s v="Sedan"/>
    <n v="5"/>
    <s v="US"/>
    <s v="Luxury"/>
    <n v="210253"/>
    <n v="3.9"/>
    <n v="4"/>
    <n v="34067806607.32"/>
  </r>
  <r>
    <x v="6"/>
    <s v="Kona Electric"/>
    <x v="5"/>
    <s v="Premium"/>
    <n v="51036.86"/>
    <n v="52.8"/>
    <n v="234"/>
    <n v="142"/>
    <s v="Coupe"/>
    <n v="5"/>
    <s v="South Korea"/>
    <s v="Mid-range"/>
    <n v="55671"/>
    <n v="3.38"/>
    <n v="3"/>
    <n v="2841273033.0599999"/>
  </r>
  <r>
    <x v="2"/>
    <s v="Model S"/>
    <x v="5"/>
    <s v="Base"/>
    <n v="54018.19"/>
    <n v="40.6"/>
    <n v="150"/>
    <n v="145"/>
    <s v="Coupe"/>
    <n v="4"/>
    <s v="US"/>
    <s v="Mid-range"/>
    <n v="101221"/>
    <n v="3.6"/>
    <n v="4"/>
    <n v="5467775209.9899998"/>
  </r>
  <r>
    <x v="7"/>
    <s v="ID.5"/>
    <x v="5"/>
    <s v="Base"/>
    <n v="78662.149999999994"/>
    <n v="41.4"/>
    <n v="150"/>
    <n v="134"/>
    <s v="Van"/>
    <n v="4"/>
    <s v="Germany"/>
    <s v="Premium"/>
    <n v="237990"/>
    <n v="3.28"/>
    <n v="4"/>
    <n v="18720805078.5"/>
  </r>
  <r>
    <x v="5"/>
    <s v="EV9"/>
    <x v="5"/>
    <s v="Premium"/>
    <n v="103512.45"/>
    <n v="63"/>
    <n v="213"/>
    <n v="124"/>
    <s v="SUV"/>
    <n v="5"/>
    <s v="South Korea"/>
    <s v="Luxury"/>
    <n v="50563"/>
    <n v="3.44"/>
    <n v="3"/>
    <n v="5233900009.3499994"/>
  </r>
  <r>
    <x v="6"/>
    <s v="Ioniq 6"/>
    <x v="5"/>
    <s v="Standard"/>
    <n v="39399.56"/>
    <n v="70.900000000000006"/>
    <n v="268"/>
    <n v="159"/>
    <s v="SUV"/>
    <n v="4"/>
    <s v="South Korea"/>
    <s v="Mid-range"/>
    <n v="101021"/>
    <n v="3.33"/>
    <n v="3"/>
    <n v="3980182950.7599998"/>
  </r>
  <r>
    <x v="9"/>
    <s v="i7"/>
    <x v="5"/>
    <s v="Performance"/>
    <n v="113646.11"/>
    <n v="73.599999999999994"/>
    <n v="279"/>
    <n v="199"/>
    <s v="Truck"/>
    <n v="5"/>
    <s v="Germany"/>
    <s v="Luxury"/>
    <n v="68048"/>
    <n v="3.7"/>
    <n v="8"/>
    <n v="7733390493.2799997"/>
  </r>
  <r>
    <x v="2"/>
    <s v="Model 3"/>
    <x v="5"/>
    <s v="Base"/>
    <n v="42979.12"/>
    <n v="62.8"/>
    <n v="229"/>
    <n v="133"/>
    <s v="SUV"/>
    <n v="4"/>
    <s v="US"/>
    <s v="Mid-range"/>
    <n v="207769"/>
    <n v="3.71"/>
    <n v="5"/>
    <n v="8929728783.2800007"/>
  </r>
  <r>
    <x v="7"/>
    <s v="ID.5"/>
    <x v="5"/>
    <s v="Performance"/>
    <n v="97402.81"/>
    <n v="71.7"/>
    <n v="258"/>
    <n v="200"/>
    <s v="Truck"/>
    <n v="4"/>
    <s v="Germany"/>
    <s v="Premium"/>
    <n v="255988"/>
    <n v="3.58"/>
    <n v="4"/>
    <n v="24933950526.279999"/>
  </r>
  <r>
    <x v="9"/>
    <s v="i7"/>
    <x v="5"/>
    <s v="Standard"/>
    <n v="85706.08"/>
    <n v="45.1"/>
    <n v="150"/>
    <n v="135"/>
    <s v="Hatchback"/>
    <n v="4"/>
    <s v="Germany"/>
    <s v="Premium"/>
    <n v="78799"/>
    <n v="3.26"/>
    <n v="8"/>
    <n v="6753553397.9200001"/>
  </r>
  <r>
    <x v="7"/>
    <s v="ID.3"/>
    <x v="5"/>
    <s v="Performance"/>
    <n v="58313.43"/>
    <n v="71.5"/>
    <n v="260"/>
    <n v="193"/>
    <s v="Truck"/>
    <n v="3"/>
    <s v="Germany"/>
    <s v="Mid-range"/>
    <n v="263694"/>
    <n v="3.21"/>
    <n v="3"/>
    <n v="15376901610.42"/>
  </r>
  <r>
    <x v="4"/>
    <s v="e-tron"/>
    <x v="5"/>
    <s v="Standard"/>
    <n v="91038.75"/>
    <n v="55.9"/>
    <n v="192"/>
    <n v="149"/>
    <s v="Truck"/>
    <n v="5"/>
    <s v="Germany"/>
    <s v="Premium"/>
    <n v="26577"/>
    <n v="3.76"/>
    <n v="7"/>
    <n v="2419536858.75"/>
  </r>
  <r>
    <x v="2"/>
    <s v="Model 3"/>
    <x v="5"/>
    <s v="Base"/>
    <n v="69626.259999999995"/>
    <n v="76.8"/>
    <n v="249"/>
    <n v="158"/>
    <s v="Sedan"/>
    <n v="5"/>
    <s v="US"/>
    <s v="Premium"/>
    <n v="189686"/>
    <n v="3.74"/>
    <n v="5"/>
    <n v="13207126754.359999"/>
  </r>
  <r>
    <x v="9"/>
    <s v="i7"/>
    <x v="5"/>
    <s v="Base"/>
    <n v="66273.55"/>
    <n v="72.400000000000006"/>
    <n v="246"/>
    <n v="154"/>
    <s v="Truck"/>
    <n v="5"/>
    <s v="Germany"/>
    <s v="Premium"/>
    <n v="30088"/>
    <n v="3.19"/>
    <n v="8"/>
    <n v="1994038572.4000001"/>
  </r>
  <r>
    <x v="13"/>
    <s v="GLE EV"/>
    <x v="5"/>
    <s v="Base"/>
    <n v="127213.62"/>
    <n v="61.6"/>
    <n v="214"/>
    <n v="146"/>
    <s v="Sedan"/>
    <n v="4"/>
    <s v="Germany"/>
    <s v="Luxury"/>
    <n v="74928"/>
    <n v="3.82"/>
    <n v="5"/>
    <n v="9531862119.3599987"/>
  </r>
  <r>
    <x v="2"/>
    <s v="Model S"/>
    <x v="5"/>
    <s v="Long Range"/>
    <n v="137829.03"/>
    <n v="95.3"/>
    <n v="323"/>
    <n v="187"/>
    <s v="Van"/>
    <n v="3"/>
    <s v="US"/>
    <s v="Luxury"/>
    <n v="239713"/>
    <n v="3.88"/>
    <n v="5"/>
    <n v="33039410268.389999"/>
  </r>
  <r>
    <x v="12"/>
    <s v="Silverado EV"/>
    <x v="5"/>
    <s v="Standard"/>
    <n v="70239.009999999995"/>
    <n v="40.5"/>
    <n v="150"/>
    <n v="184"/>
    <s v="Van"/>
    <n v="5"/>
    <s v="US"/>
    <s v="Premium"/>
    <n v="23483"/>
    <n v="3.13"/>
    <n v="4"/>
    <n v="1649422671.8299999"/>
  </r>
  <r>
    <x v="12"/>
    <s v="Blazer EV"/>
    <x v="5"/>
    <s v="Long Range"/>
    <n v="44798.27"/>
    <n v="109.1"/>
    <n v="375"/>
    <n v="168"/>
    <s v="Hatchback"/>
    <n v="4"/>
    <s v="US"/>
    <s v="Mid-range"/>
    <n v="19461"/>
    <n v="3.6"/>
    <n v="4"/>
    <n v="871819132.46999991"/>
  </r>
  <r>
    <x v="17"/>
    <s v="XC90 Recharge"/>
    <x v="5"/>
    <s v="Standard"/>
    <n v="55877.09"/>
    <n v="51.9"/>
    <n v="192"/>
    <n v="166"/>
    <s v="Van"/>
    <n v="5"/>
    <s v="Sweden"/>
    <s v="Mid-range"/>
    <n v="15994"/>
    <n v="3.31"/>
    <n v="5"/>
    <n v="893698177.45999992"/>
  </r>
  <r>
    <x v="3"/>
    <s v="Dolphin"/>
    <x v="5"/>
    <s v="Standard"/>
    <n v="22600.22"/>
    <n v="66.900000000000006"/>
    <n v="206"/>
    <n v="146"/>
    <s v="Hatchback"/>
    <n v="5"/>
    <s v="China"/>
    <s v="Budget"/>
    <n v="131689"/>
    <n v="3.16"/>
    <n v="4"/>
    <n v="2976200371.5799999"/>
  </r>
  <r>
    <x v="12"/>
    <s v="Blazer EV"/>
    <x v="5"/>
    <s v="Standard"/>
    <n v="35979.300000000003"/>
    <n v="56.1"/>
    <n v="209"/>
    <n v="124"/>
    <s v="SUV"/>
    <n v="4"/>
    <s v="US"/>
    <s v="Mid-range"/>
    <n v="25503"/>
    <n v="3.61"/>
    <n v="4"/>
    <n v="917580087.9000001"/>
  </r>
  <r>
    <x v="12"/>
    <s v="Equinox EV"/>
    <x v="5"/>
    <s v="Performance"/>
    <n v="57051.32"/>
    <n v="98.6"/>
    <n v="344"/>
    <n v="200"/>
    <s v="SUV"/>
    <n v="4"/>
    <s v="US"/>
    <s v="Mid-range"/>
    <n v="13660"/>
    <n v="3.69"/>
    <n v="4"/>
    <n v="779321031.20000005"/>
  </r>
  <r>
    <x v="2"/>
    <s v="Model Y"/>
    <x v="5"/>
    <s v="Base"/>
    <n v="109970.08"/>
    <n v="60"/>
    <n v="194"/>
    <n v="165"/>
    <s v="Coupe"/>
    <n v="4"/>
    <s v="US"/>
    <s v="Luxury"/>
    <n v="456748"/>
    <n v="3.5"/>
    <n v="6"/>
    <n v="50228614099.840004"/>
  </r>
  <r>
    <x v="6"/>
    <s v="i30"/>
    <x v="5"/>
    <s v="Standard"/>
    <n v="65007.57"/>
    <n v="44.2"/>
    <n v="150"/>
    <n v="174"/>
    <s v="Hatchback"/>
    <n v="4"/>
    <s v="South Korea"/>
    <s v="Premium"/>
    <n v="138781"/>
    <n v="3.03"/>
    <n v="4"/>
    <n v="9021815572.1700001"/>
  </r>
  <r>
    <x v="4"/>
    <s v="e-tron"/>
    <x v="5"/>
    <s v="Base"/>
    <n v="79195.78"/>
    <n v="74.7"/>
    <n v="275"/>
    <n v="162"/>
    <s v="Sedan"/>
    <n v="4"/>
    <s v="Germany"/>
    <s v="Premium"/>
    <n v="62967"/>
    <n v="3.57"/>
    <n v="6"/>
    <n v="4986720679.2600002"/>
  </r>
  <r>
    <x v="4"/>
    <s v="e-tron"/>
    <x v="5"/>
    <s v="Base"/>
    <n v="84380.71"/>
    <n v="80"/>
    <n v="275"/>
    <n v="165"/>
    <s v="SUV"/>
    <n v="4"/>
    <s v="Germany"/>
    <s v="Premium"/>
    <n v="37226"/>
    <n v="3.53"/>
    <n v="5"/>
    <n v="3141156310.46"/>
  </r>
  <r>
    <x v="2"/>
    <s v="Model X"/>
    <x v="5"/>
    <s v="Standard"/>
    <n v="76635.5"/>
    <n v="45.2"/>
    <n v="150"/>
    <n v="175"/>
    <s v="SUV"/>
    <n v="5"/>
    <s v="US"/>
    <s v="Premium"/>
    <n v="167458"/>
    <n v="3.59"/>
    <n v="5"/>
    <n v="12833227559"/>
  </r>
  <r>
    <x v="5"/>
    <s v="Picanto EV"/>
    <x v="5"/>
    <s v="Base"/>
    <n v="41302.85"/>
    <n v="54.4"/>
    <n v="210"/>
    <n v="128"/>
    <s v="Truck"/>
    <n v="5"/>
    <s v="South Korea"/>
    <s v="Mid-range"/>
    <n v="124417"/>
    <n v="3.31"/>
    <n v="5"/>
    <n v="5138776688.4499998"/>
  </r>
  <r>
    <x v="3"/>
    <s v="Dolphin"/>
    <x v="5"/>
    <s v="Performance"/>
    <n v="53327.95"/>
    <n v="101.5"/>
    <n v="344"/>
    <n v="186"/>
    <s v="Sedan"/>
    <n v="4"/>
    <s v="China"/>
    <s v="Mid-range"/>
    <n v="120007"/>
    <n v="3.46"/>
    <n v="4"/>
    <n v="6399727295.6499996"/>
  </r>
  <r>
    <x v="12"/>
    <s v="Silverado EV"/>
    <x v="5"/>
    <s v="Performance"/>
    <n v="50051.199999999997"/>
    <n v="92.1"/>
    <n v="286"/>
    <n v="199"/>
    <s v="Sedan"/>
    <n v="5"/>
    <s v="US"/>
    <s v="Mid-range"/>
    <n v="17861"/>
    <n v="3.54"/>
    <n v="3"/>
    <n v="893964483.19999993"/>
  </r>
  <r>
    <x v="2"/>
    <s v="Cybertruck"/>
    <x v="5"/>
    <s v="Base"/>
    <n v="69446.789999999994"/>
    <n v="55.6"/>
    <n v="196"/>
    <n v="155"/>
    <s v="Truck"/>
    <n v="4"/>
    <s v="US"/>
    <s v="Premium"/>
    <n v="214270"/>
    <n v="3.74"/>
    <n v="5"/>
    <n v="14880363693.299999"/>
  </r>
  <r>
    <x v="7"/>
    <s v="ID. Aero"/>
    <x v="5"/>
    <s v="Premium"/>
    <n v="89383.1"/>
    <n v="57.7"/>
    <n v="217"/>
    <n v="143"/>
    <s v="Truck"/>
    <n v="4"/>
    <s v="Germany"/>
    <s v="Premium"/>
    <n v="222817"/>
    <n v="3.39"/>
    <n v="4"/>
    <n v="19916074192.700001"/>
  </r>
  <r>
    <x v="3"/>
    <s v="Max"/>
    <x v="5"/>
    <s v="Performance"/>
    <n v="92829.9"/>
    <n v="82.3"/>
    <n v="285"/>
    <n v="200"/>
    <s v="SUV"/>
    <n v="5"/>
    <s v="China"/>
    <s v="Premium"/>
    <n v="235698"/>
    <n v="3.58"/>
    <n v="4"/>
    <n v="21879821770.199997"/>
  </r>
  <r>
    <x v="2"/>
    <s v="Cybertruck"/>
    <x v="5"/>
    <s v="Premium"/>
    <n v="35991.9"/>
    <n v="60.6"/>
    <n v="218"/>
    <n v="151"/>
    <s v="Truck"/>
    <n v="4"/>
    <s v="US"/>
    <s v="Mid-range"/>
    <n v="169730"/>
    <n v="3.71"/>
    <n v="6"/>
    <n v="6108905187"/>
  </r>
  <r>
    <x v="2"/>
    <s v="Model 3"/>
    <x v="5"/>
    <s v="Base"/>
    <n v="88596.07"/>
    <n v="45.9"/>
    <n v="179"/>
    <n v="178"/>
    <s v="Van"/>
    <n v="5"/>
    <s v="US"/>
    <s v="Premium"/>
    <n v="124700"/>
    <n v="3.61"/>
    <n v="5"/>
    <n v="11047929929"/>
  </r>
  <r>
    <x v="2"/>
    <s v="Model S"/>
    <x v="5"/>
    <s v="Base"/>
    <n v="43016.55"/>
    <n v="44.3"/>
    <n v="159"/>
    <n v="163"/>
    <s v="SUV"/>
    <n v="5"/>
    <s v="US"/>
    <s v="Mid-range"/>
    <n v="118264"/>
    <n v="3.47"/>
    <n v="6"/>
    <n v="5087309269.2000008"/>
  </r>
  <r>
    <x v="7"/>
    <s v="ID.4"/>
    <x v="5"/>
    <s v="Performance"/>
    <n v="66259.17"/>
    <n v="77.599999999999994"/>
    <n v="256"/>
    <n v="200"/>
    <s v="Sedan"/>
    <n v="4"/>
    <s v="Germany"/>
    <s v="Premium"/>
    <n v="296982"/>
    <n v="3.45"/>
    <n v="3"/>
    <n v="19677780824.939999"/>
  </r>
  <r>
    <x v="12"/>
    <s v="Bolt EV"/>
    <x v="5"/>
    <s v="Premium"/>
    <n v="93152"/>
    <n v="60.9"/>
    <n v="214"/>
    <n v="145"/>
    <s v="Sedan"/>
    <n v="5"/>
    <s v="US"/>
    <s v="Premium"/>
    <n v="20002"/>
    <n v="3.74"/>
    <n v="4"/>
    <n v="1863226304"/>
  </r>
  <r>
    <x v="4"/>
    <s v="e-tron GT"/>
    <x v="5"/>
    <s v="Standard"/>
    <n v="109816.18"/>
    <n v="60.8"/>
    <n v="222"/>
    <n v="139"/>
    <s v="Sedan"/>
    <n v="5"/>
    <s v="Germany"/>
    <s v="Luxury"/>
    <n v="73358"/>
    <n v="3.54"/>
    <n v="8"/>
    <n v="8055895332.4399996"/>
  </r>
  <r>
    <x v="6"/>
    <s v="Ioniq 6"/>
    <x v="5"/>
    <s v="Standard"/>
    <n v="63640"/>
    <n v="40.299999999999997"/>
    <n v="150"/>
    <n v="131"/>
    <s v="Truck"/>
    <n v="4"/>
    <s v="South Korea"/>
    <s v="Mid-range"/>
    <n v="139571"/>
    <n v="3.2"/>
    <n v="4"/>
    <n v="8882298440"/>
  </r>
  <r>
    <x v="2"/>
    <s v="Model Y"/>
    <x v="5"/>
    <s v="Long Range"/>
    <n v="161112.44"/>
    <n v="98.8"/>
    <n v="371"/>
    <n v="163"/>
    <s v="Coupe"/>
    <n v="4"/>
    <s v="US"/>
    <s v="Luxury"/>
    <n v="404800"/>
    <n v="4.22"/>
    <n v="5"/>
    <n v="65218315712"/>
  </r>
  <r>
    <x v="6"/>
    <s v="Ioniq 6"/>
    <x v="5"/>
    <s v="Premium"/>
    <n v="44861.53"/>
    <n v="84.1"/>
    <n v="305"/>
    <n v="172"/>
    <s v="Coupe"/>
    <n v="4"/>
    <s v="South Korea"/>
    <s v="Mid-range"/>
    <n v="98434"/>
    <n v="3.53"/>
    <n v="3"/>
    <n v="4415899844.0199995"/>
  </r>
  <r>
    <x v="2"/>
    <s v="Model 3"/>
    <x v="5"/>
    <s v="Performance"/>
    <n v="42441.37"/>
    <n v="104.2"/>
    <n v="372"/>
    <n v="200"/>
    <s v="Truck"/>
    <n v="5"/>
    <s v="US"/>
    <s v="Mid-range"/>
    <n v="230471"/>
    <n v="4.32"/>
    <n v="5"/>
    <n v="9781504985.2700005"/>
  </r>
  <r>
    <x v="7"/>
    <s v="ID.4"/>
    <x v="5"/>
    <s v="Long Range"/>
    <n v="47485.93"/>
    <n v="104.7"/>
    <n v="349"/>
    <n v="166"/>
    <s v="Sedan"/>
    <n v="4"/>
    <s v="Germany"/>
    <s v="Mid-range"/>
    <n v="243761"/>
    <n v="3.63"/>
    <n v="5"/>
    <n v="11575217782.73"/>
  </r>
  <r>
    <x v="3"/>
    <s v="Dolphin"/>
    <x v="5"/>
    <s v="Performance"/>
    <n v="53346.09"/>
    <n v="111"/>
    <n v="410"/>
    <n v="189"/>
    <s v="SUV"/>
    <n v="5"/>
    <s v="China"/>
    <s v="Mid-range"/>
    <n v="141126"/>
    <n v="4.1900000000000004"/>
    <n v="3"/>
    <n v="7528520297.3399992"/>
  </r>
  <r>
    <x v="13"/>
    <s v="EQC"/>
    <x v="5"/>
    <s v="Long Range"/>
    <n v="162751.1"/>
    <n v="96.3"/>
    <n v="344"/>
    <n v="185"/>
    <s v="Sedan"/>
    <n v="5"/>
    <s v="Germany"/>
    <s v="Luxury"/>
    <n v="68195"/>
    <n v="4.28"/>
    <n v="6"/>
    <n v="11098811264.5"/>
  </r>
  <r>
    <x v="6"/>
    <s v="i30"/>
    <x v="5"/>
    <s v="Standard"/>
    <n v="41853.99"/>
    <n v="80.099999999999994"/>
    <n v="318"/>
    <n v="157"/>
    <s v="Hatchback"/>
    <n v="4"/>
    <s v="South Korea"/>
    <s v="Mid-range"/>
    <n v="111448"/>
    <n v="3.65"/>
    <n v="4"/>
    <n v="4664543477.5199995"/>
  </r>
  <r>
    <x v="17"/>
    <s v="XC90 Recharge"/>
    <x v="5"/>
    <s v="Premium"/>
    <n v="96813.71"/>
    <n v="40.6"/>
    <n v="150"/>
    <n v="123"/>
    <s v="Van"/>
    <n v="5"/>
    <s v="Sweden"/>
    <s v="Premium"/>
    <n v="10606"/>
    <n v="3.2"/>
    <n v="3"/>
    <n v="1026806208.2600001"/>
  </r>
  <r>
    <x v="2"/>
    <s v="Model Y"/>
    <x v="5"/>
    <s v="Premium"/>
    <n v="129623.74"/>
    <n v="54.6"/>
    <n v="210"/>
    <n v="132"/>
    <s v="Truck"/>
    <n v="5"/>
    <s v="US"/>
    <s v="Luxury"/>
    <n v="481115"/>
    <n v="3.49"/>
    <n v="5"/>
    <n v="62363925670.100006"/>
  </r>
  <r>
    <x v="1"/>
    <s v="Ocean"/>
    <x v="5"/>
    <s v="Premium"/>
    <n v="141027"/>
    <n v="54.1"/>
    <n v="190"/>
    <n v="168"/>
    <s v="Sedan"/>
    <n v="5"/>
    <s v="US"/>
    <s v="Luxury"/>
    <n v="11123"/>
    <n v="3.38"/>
    <n v="4"/>
    <n v="1568643321"/>
  </r>
  <r>
    <x v="9"/>
    <s v="i4"/>
    <x v="5"/>
    <s v="Premium"/>
    <n v="113836.67"/>
    <n v="71.5"/>
    <n v="253"/>
    <n v="152"/>
    <s v="SUV"/>
    <n v="4"/>
    <s v="Germany"/>
    <s v="Luxury"/>
    <n v="42535"/>
    <n v="3.47"/>
    <n v="8"/>
    <n v="4842042758.4499998"/>
  </r>
  <r>
    <x v="12"/>
    <s v="Silverado EV"/>
    <x v="5"/>
    <s v="Standard"/>
    <n v="51177.18"/>
    <n v="46.9"/>
    <n v="150"/>
    <n v="140"/>
    <s v="Van"/>
    <n v="4"/>
    <s v="US"/>
    <s v="Mid-range"/>
    <n v="14323"/>
    <n v="3.34"/>
    <n v="4"/>
    <n v="733010749.13999999"/>
  </r>
  <r>
    <x v="5"/>
    <s v="Niro EV"/>
    <x v="5"/>
    <s v="Performance"/>
    <n v="56005.31"/>
    <n v="102.7"/>
    <n v="361"/>
    <n v="184"/>
    <s v="Sedan"/>
    <n v="5"/>
    <s v="South Korea"/>
    <s v="Mid-range"/>
    <n v="96451"/>
    <n v="3.9"/>
    <n v="5"/>
    <n v="5401768154.8099995"/>
  </r>
  <r>
    <x v="7"/>
    <s v="ID.3"/>
    <x v="5"/>
    <s v="Performance"/>
    <n v="88484.86"/>
    <n v="105.9"/>
    <n v="381"/>
    <n v="196"/>
    <s v="Coupe"/>
    <n v="3"/>
    <s v="Germany"/>
    <s v="Premium"/>
    <n v="285530"/>
    <n v="3.65"/>
    <n v="4"/>
    <n v="25265082075.799999"/>
  </r>
  <r>
    <x v="3"/>
    <s v="Max"/>
    <x v="5"/>
    <s v="Premium"/>
    <n v="104281.84"/>
    <n v="69.7"/>
    <n v="233"/>
    <n v="170"/>
    <s v="Van"/>
    <n v="4"/>
    <s v="China"/>
    <s v="Luxury"/>
    <n v="164080"/>
    <n v="3.52"/>
    <n v="4"/>
    <n v="17110564307.199999"/>
  </r>
  <r>
    <x v="3"/>
    <s v="Max"/>
    <x v="5"/>
    <s v="Standard"/>
    <n v="86288.72"/>
    <n v="81.900000000000006"/>
    <n v="311"/>
    <n v="174"/>
    <s v="Van"/>
    <n v="4"/>
    <s v="China"/>
    <s v="Premium"/>
    <n v="120560"/>
    <n v="3.71"/>
    <n v="3"/>
    <n v="10402968083.200001"/>
  </r>
  <r>
    <x v="5"/>
    <s v="Picanto EV"/>
    <x v="5"/>
    <s v="Base"/>
    <n v="58803.16"/>
    <n v="70.099999999999994"/>
    <n v="248"/>
    <n v="153"/>
    <s v="Truck"/>
    <n v="4"/>
    <s v="South Korea"/>
    <s v="Mid-range"/>
    <n v="111130"/>
    <n v="3.52"/>
    <n v="3"/>
    <n v="6534795170.8000002"/>
  </r>
  <r>
    <x v="3"/>
    <s v="Qin"/>
    <x v="5"/>
    <s v="Performance"/>
    <n v="122517.87"/>
    <n v="73.599999999999994"/>
    <n v="252"/>
    <n v="200"/>
    <s v="Hatchback"/>
    <n v="4"/>
    <s v="China"/>
    <s v="Luxury"/>
    <n v="150780"/>
    <n v="3.44"/>
    <n v="3"/>
    <n v="18473244438.599998"/>
  </r>
  <r>
    <x v="2"/>
    <s v="Model 3"/>
    <x v="5"/>
    <s v="Base"/>
    <n v="90298.51"/>
    <n v="49.3"/>
    <n v="183"/>
    <n v="157"/>
    <s v="Sedan"/>
    <n v="3"/>
    <s v="US"/>
    <s v="Premium"/>
    <n v="163915"/>
    <n v="3.66"/>
    <n v="5"/>
    <n v="14801280266.65"/>
  </r>
  <r>
    <x v="4"/>
    <s v="Q4 e-tron"/>
    <x v="5"/>
    <s v="Base"/>
    <n v="79689.05"/>
    <n v="81.7"/>
    <n v="278"/>
    <n v="148"/>
    <s v="Van"/>
    <n v="4"/>
    <s v="Germany"/>
    <s v="Premium"/>
    <n v="66705"/>
    <n v="3.5"/>
    <n v="7"/>
    <n v="5315658080.25"/>
  </r>
  <r>
    <x v="0"/>
    <s v="bZ4X"/>
    <x v="5"/>
    <s v="Long Range"/>
    <n v="72608.92"/>
    <n v="97.1"/>
    <n v="334"/>
    <n v="156"/>
    <s v="Sedan"/>
    <n v="4"/>
    <s v="Japan"/>
    <s v="Premium"/>
    <n v="13954"/>
    <n v="3.57"/>
    <n v="4"/>
    <n v="1013184869.6799999"/>
  </r>
  <r>
    <x v="12"/>
    <s v="Equinox EV"/>
    <x v="5"/>
    <s v="Premium"/>
    <n v="91034.7"/>
    <n v="47.9"/>
    <n v="164"/>
    <n v="169"/>
    <s v="SUV"/>
    <n v="4"/>
    <s v="US"/>
    <s v="Premium"/>
    <n v="12825"/>
    <n v="3.46"/>
    <n v="3"/>
    <n v="1167520027.5"/>
  </r>
  <r>
    <x v="11"/>
    <s v="R3"/>
    <x v="5"/>
    <s v="Base"/>
    <n v="70880.73"/>
    <n v="80.900000000000006"/>
    <n v="285"/>
    <n v="148"/>
    <s v="Truck"/>
    <n v="5"/>
    <s v="US"/>
    <s v="Premium"/>
    <n v="11173"/>
    <n v="3.44"/>
    <n v="4"/>
    <n v="791950396.28999996"/>
  </r>
  <r>
    <x v="2"/>
    <s v="Cybertruck"/>
    <x v="5"/>
    <s v="Premium"/>
    <n v="124865.93"/>
    <n v="64.900000000000006"/>
    <n v="241"/>
    <n v="124"/>
    <s v="Truck"/>
    <n v="4"/>
    <s v="US"/>
    <s v="Luxury"/>
    <n v="223231"/>
    <n v="3.65"/>
    <n v="4"/>
    <n v="27873946419.829998"/>
  </r>
  <r>
    <x v="13"/>
    <s v="EQG"/>
    <x v="5"/>
    <s v="Standard"/>
    <n v="139106.45000000001"/>
    <n v="61.4"/>
    <n v="208"/>
    <n v="150"/>
    <s v="Coupe"/>
    <n v="5"/>
    <s v="Germany"/>
    <s v="Luxury"/>
    <n v="49644"/>
    <n v="3.35"/>
    <n v="6"/>
    <n v="6905800603.8000002"/>
  </r>
  <r>
    <x v="6"/>
    <s v="i30"/>
    <x v="5"/>
    <s v="Standard"/>
    <n v="60050.99"/>
    <n v="47.8"/>
    <n v="165"/>
    <n v="133"/>
    <s v="Hatchback"/>
    <n v="4"/>
    <s v="South Korea"/>
    <s v="Mid-range"/>
    <n v="138281"/>
    <n v="3.21"/>
    <n v="3"/>
    <n v="8303910948.1899996"/>
  </r>
  <r>
    <x v="13"/>
    <s v="EQE"/>
    <x v="5"/>
    <s v="Standard"/>
    <n v="103044.63"/>
    <n v="78.900000000000006"/>
    <n v="264"/>
    <n v="132"/>
    <s v="Van"/>
    <n v="5"/>
    <s v="Germany"/>
    <s v="Luxury"/>
    <n v="75663"/>
    <n v="3.56"/>
    <n v="5"/>
    <n v="7796665839.6900005"/>
  </r>
  <r>
    <x v="3"/>
    <s v="Qin"/>
    <x v="5"/>
    <s v="Standard"/>
    <n v="36623.25"/>
    <n v="43.3"/>
    <n v="164"/>
    <n v="139"/>
    <s v="Truck"/>
    <n v="5"/>
    <s v="China"/>
    <s v="Mid-range"/>
    <n v="185983"/>
    <n v="3.42"/>
    <n v="5"/>
    <n v="6811301904.75"/>
  </r>
  <r>
    <x v="7"/>
    <s v="ID.5"/>
    <x v="5"/>
    <s v="Base"/>
    <n v="30097.01"/>
    <n v="74.3"/>
    <n v="267"/>
    <n v="127"/>
    <s v="Coupe"/>
    <n v="5"/>
    <s v="Germany"/>
    <s v="Budget"/>
    <n v="289031"/>
    <n v="3.27"/>
    <n v="5"/>
    <n v="8698968897.3099995"/>
  </r>
  <r>
    <x v="7"/>
    <s v="ID.3"/>
    <x v="5"/>
    <s v="Premium"/>
    <n v="94110.75"/>
    <n v="60.5"/>
    <n v="194"/>
    <n v="149"/>
    <s v="Van"/>
    <n v="5"/>
    <s v="Germany"/>
    <s v="Premium"/>
    <n v="225387"/>
    <n v="3.43"/>
    <n v="4"/>
    <n v="21211339610.25"/>
  </r>
  <r>
    <x v="2"/>
    <s v="Cybertruck"/>
    <x v="5"/>
    <s v="Standard"/>
    <n v="125305.65"/>
    <n v="42"/>
    <n v="158"/>
    <n v="136"/>
    <s v="Truck"/>
    <n v="4"/>
    <s v="US"/>
    <s v="Luxury"/>
    <n v="199754"/>
    <n v="3.28"/>
    <n v="5"/>
    <n v="25030304810.099998"/>
  </r>
  <r>
    <x v="8"/>
    <s v="Explorer EV"/>
    <x v="5"/>
    <s v="Standard"/>
    <n v="65329.39"/>
    <n v="49.5"/>
    <n v="157"/>
    <n v="165"/>
    <s v="Coupe"/>
    <n v="4"/>
    <s v="US"/>
    <s v="Premium"/>
    <n v="24686"/>
    <n v="3.21"/>
    <n v="4"/>
    <n v="1612721321.54"/>
  </r>
  <r>
    <x v="2"/>
    <s v="Model S"/>
    <x v="5"/>
    <s v="Base"/>
    <n v="101976.23"/>
    <n v="83.7"/>
    <n v="284"/>
    <n v="139"/>
    <s v="Hatchback"/>
    <n v="5"/>
    <s v="US"/>
    <s v="Luxury"/>
    <n v="160905"/>
    <n v="3.89"/>
    <n v="5"/>
    <n v="16408485288.15"/>
  </r>
  <r>
    <x v="12"/>
    <s v="Equinox EV"/>
    <x v="5"/>
    <s v="Performance"/>
    <n v="83117.350000000006"/>
    <n v="106.5"/>
    <n v="362"/>
    <n v="200"/>
    <s v="SUV"/>
    <n v="3"/>
    <s v="US"/>
    <s v="Premium"/>
    <n v="17250"/>
    <n v="3.59"/>
    <n v="4"/>
    <n v="1433774287.5"/>
  </r>
  <r>
    <x v="9"/>
    <s v="i7"/>
    <x v="5"/>
    <s v="Premium"/>
    <n v="107462.71"/>
    <n v="63"/>
    <n v="242"/>
    <n v="175"/>
    <s v="Sedan"/>
    <n v="5"/>
    <s v="Germany"/>
    <s v="Luxury"/>
    <n v="59946"/>
    <n v="3.37"/>
    <n v="7"/>
    <n v="6441959613.6600008"/>
  </r>
  <r>
    <x v="3"/>
    <s v="Qin"/>
    <x v="5"/>
    <s v="Base"/>
    <n v="43868.55"/>
    <n v="77.3"/>
    <n v="290"/>
    <n v="165"/>
    <s v="Coupe"/>
    <n v="5"/>
    <s v="China"/>
    <s v="Mid-range"/>
    <n v="211394"/>
    <n v="3.74"/>
    <n v="3"/>
    <n v="9273548258.7000008"/>
  </r>
  <r>
    <x v="7"/>
    <s v="ID. Aero"/>
    <x v="5"/>
    <s v="Long Range"/>
    <n v="98049.57"/>
    <n v="79.3"/>
    <n v="271"/>
    <n v="178"/>
    <s v="Truck"/>
    <n v="4"/>
    <s v="Germany"/>
    <s v="Premium"/>
    <n v="232457"/>
    <n v="3.53"/>
    <n v="3"/>
    <n v="22792308893.490002"/>
  </r>
  <r>
    <x v="4"/>
    <s v="Q6 e-tron"/>
    <x v="5"/>
    <s v="Base"/>
    <n v="91070.12"/>
    <n v="66.400000000000006"/>
    <n v="224"/>
    <n v="152"/>
    <s v="Sedan"/>
    <n v="3"/>
    <s v="Germany"/>
    <s v="Premium"/>
    <n v="69627"/>
    <n v="3.71"/>
    <n v="7"/>
    <n v="6340939245.2399998"/>
  </r>
  <r>
    <x v="8"/>
    <s v="Mustang Mach-E"/>
    <x v="5"/>
    <s v="Base"/>
    <n v="31921.1"/>
    <n v="77.2"/>
    <n v="284"/>
    <n v="172"/>
    <s v="Coupe"/>
    <n v="5"/>
    <s v="US"/>
    <s v="Budget"/>
    <n v="21264"/>
    <n v="3.57"/>
    <n v="5"/>
    <n v="678770270.39999998"/>
  </r>
  <r>
    <x v="9"/>
    <s v="i7"/>
    <x v="5"/>
    <s v="Standard"/>
    <n v="56108.72"/>
    <n v="78.400000000000006"/>
    <n v="280"/>
    <n v="178"/>
    <s v="Hatchback"/>
    <n v="5"/>
    <s v="Germany"/>
    <s v="Mid-range"/>
    <n v="32771"/>
    <n v="3.55"/>
    <n v="5"/>
    <n v="1838738863.1200001"/>
  </r>
  <r>
    <x v="11"/>
    <s v="R1T"/>
    <x v="5"/>
    <s v="Standard"/>
    <n v="78693.27"/>
    <n v="63.6"/>
    <n v="243"/>
    <n v="171"/>
    <s v="Truck"/>
    <n v="4"/>
    <s v="US"/>
    <s v="Premium"/>
    <n v="14022"/>
    <n v="3.14"/>
    <n v="6"/>
    <n v="1103437031.9400001"/>
  </r>
  <r>
    <x v="6"/>
    <s v="Ioniq 6"/>
    <x v="5"/>
    <s v="Standard"/>
    <n v="46340.480000000003"/>
    <n v="70.599999999999994"/>
    <n v="240"/>
    <n v="133"/>
    <s v="Sedan"/>
    <n v="3"/>
    <s v="South Korea"/>
    <s v="Mid-range"/>
    <n v="91894"/>
    <n v="3.21"/>
    <n v="4"/>
    <n v="4258412069.1200004"/>
  </r>
  <r>
    <x v="6"/>
    <s v="Ioniq 6"/>
    <x v="5"/>
    <s v="Standard"/>
    <n v="70402.19"/>
    <n v="49.9"/>
    <n v="170"/>
    <n v="148"/>
    <s v="Sedan"/>
    <n v="5"/>
    <s v="South Korea"/>
    <s v="Premium"/>
    <n v="69074"/>
    <n v="3.3"/>
    <n v="4"/>
    <n v="4862960872.0600004"/>
  </r>
  <r>
    <x v="2"/>
    <s v="Cybertruck"/>
    <x v="5"/>
    <s v="Premium"/>
    <n v="104330.24000000001"/>
    <n v="50.1"/>
    <n v="185"/>
    <n v="145"/>
    <s v="Truck"/>
    <n v="4"/>
    <s v="US"/>
    <s v="Luxury"/>
    <n v="241443"/>
    <n v="3.82"/>
    <n v="6"/>
    <n v="25189806136.32"/>
  </r>
  <r>
    <x v="2"/>
    <s v="Model Y"/>
    <x v="5"/>
    <s v="Performance"/>
    <n v="146521.88"/>
    <n v="91.7"/>
    <n v="343"/>
    <n v="200"/>
    <s v="SUV"/>
    <n v="4"/>
    <s v="US"/>
    <s v="Luxury"/>
    <n v="406719"/>
    <n v="4.12"/>
    <n v="5"/>
    <n v="59593232511.720001"/>
  </r>
  <r>
    <x v="2"/>
    <s v="Model X"/>
    <x v="5"/>
    <s v="Base"/>
    <n v="42945.26"/>
    <n v="77"/>
    <n v="266"/>
    <n v="148"/>
    <s v="SUV"/>
    <n v="5"/>
    <s v="US"/>
    <s v="Mid-range"/>
    <n v="202664"/>
    <n v="3.79"/>
    <n v="5"/>
    <n v="8703458172.6400013"/>
  </r>
  <r>
    <x v="4"/>
    <s v="e-tron"/>
    <x v="5"/>
    <s v="Standard"/>
    <n v="109441.61"/>
    <n v="51.1"/>
    <n v="161"/>
    <n v="151"/>
    <s v="Hatchback"/>
    <n v="4"/>
    <s v="Germany"/>
    <s v="Luxury"/>
    <n v="27623"/>
    <n v="3.34"/>
    <n v="7"/>
    <n v="3023105593.0300002"/>
  </r>
  <r>
    <x v="9"/>
    <s v="i5"/>
    <x v="5"/>
    <s v="Premium"/>
    <n v="79696.27"/>
    <n v="76.5"/>
    <n v="251"/>
    <n v="161"/>
    <s v="Truck"/>
    <n v="5"/>
    <s v="Germany"/>
    <s v="Premium"/>
    <n v="32509"/>
    <n v="3.24"/>
    <n v="5"/>
    <n v="2590846041.4300003"/>
  </r>
  <r>
    <x v="2"/>
    <s v="Model Y"/>
    <x v="5"/>
    <s v="Standard"/>
    <n v="85878.17"/>
    <n v="49.2"/>
    <n v="188"/>
    <n v="164"/>
    <s v="Sedan"/>
    <n v="4"/>
    <s v="US"/>
    <s v="Premium"/>
    <n v="499717"/>
    <n v="3.42"/>
    <n v="5"/>
    <n v="42914781477.889999"/>
  </r>
  <r>
    <x v="2"/>
    <s v="Model 3"/>
    <x v="5"/>
    <s v="Premium"/>
    <n v="60544.17"/>
    <n v="81.599999999999994"/>
    <n v="287"/>
    <n v="158"/>
    <s v="Truck"/>
    <n v="5"/>
    <s v="US"/>
    <s v="Mid-range"/>
    <n v="170776"/>
    <n v="3.98"/>
    <n v="6"/>
    <n v="10339491175.92"/>
  </r>
  <r>
    <x v="2"/>
    <s v="Model Y"/>
    <x v="5"/>
    <s v="Standard"/>
    <n v="122990.85"/>
    <n v="43.1"/>
    <n v="177"/>
    <n v="132"/>
    <s v="Hatchback"/>
    <n v="4"/>
    <s v="US"/>
    <s v="Luxury"/>
    <n v="444103"/>
    <n v="3.49"/>
    <n v="5"/>
    <n v="54620605457.550003"/>
  </r>
  <r>
    <x v="2"/>
    <s v="Model 3"/>
    <x v="5"/>
    <s v="Standard"/>
    <n v="77509.320000000007"/>
    <n v="78.599999999999994"/>
    <n v="256"/>
    <n v="130"/>
    <s v="Hatchback"/>
    <n v="3"/>
    <s v="US"/>
    <s v="Premium"/>
    <n v="156028"/>
    <n v="3.89"/>
    <n v="4"/>
    <n v="12093624180.960001"/>
  </r>
  <r>
    <x v="6"/>
    <s v="Ioniq 5"/>
    <x v="5"/>
    <s v="Base"/>
    <n v="42592.08"/>
    <n v="73.400000000000006"/>
    <n v="215"/>
    <n v="154"/>
    <s v="Truck"/>
    <n v="4"/>
    <s v="South Korea"/>
    <s v="Mid-range"/>
    <n v="124929"/>
    <n v="3.43"/>
    <n v="4"/>
    <n v="5320985962.3200006"/>
  </r>
  <r>
    <x v="6"/>
    <s v="Ioniq 6"/>
    <x v="5"/>
    <s v="Performance"/>
    <n v="107109.36"/>
    <n v="119.6"/>
    <n v="434"/>
    <n v="200"/>
    <s v="SUV"/>
    <n v="5"/>
    <s v="South Korea"/>
    <s v="Luxury"/>
    <n v="92278"/>
    <n v="3.9"/>
    <n v="3"/>
    <n v="9883837522.0799999"/>
  </r>
  <r>
    <x v="2"/>
    <s v="Model Y"/>
    <x v="5"/>
    <s v="Long Range"/>
    <n v="33796.25"/>
    <n v="90.1"/>
    <n v="295"/>
    <n v="183"/>
    <s v="SUV"/>
    <n v="5"/>
    <s v="US"/>
    <s v="Budget"/>
    <n v="476519"/>
    <n v="3.86"/>
    <n v="5"/>
    <n v="16104555253.75"/>
  </r>
  <r>
    <x v="4"/>
    <s v="e-tron GT"/>
    <x v="5"/>
    <s v="Base"/>
    <n v="67634.789999999994"/>
    <n v="79.900000000000006"/>
    <n v="278"/>
    <n v="167"/>
    <s v="Sedan"/>
    <n v="4"/>
    <s v="Germany"/>
    <s v="Premium"/>
    <n v="62437"/>
    <n v="3.52"/>
    <n v="8"/>
    <n v="4222913383.2299995"/>
  </r>
  <r>
    <x v="11"/>
    <s v="R2"/>
    <x v="5"/>
    <s v="Long Range"/>
    <n v="105675.37"/>
    <n v="104"/>
    <n v="386"/>
    <n v="173"/>
    <s v="SUV"/>
    <n v="5"/>
    <s v="US"/>
    <s v="Luxury"/>
    <n v="25421"/>
    <n v="3.88"/>
    <n v="4"/>
    <n v="2686373580.77"/>
  </r>
  <r>
    <x v="3"/>
    <s v="Dolphin"/>
    <x v="5"/>
    <s v="Base"/>
    <n v="19398.189999999999"/>
    <n v="79.599999999999994"/>
    <n v="255"/>
    <n v="125"/>
    <s v="Van"/>
    <n v="4"/>
    <s v="China"/>
    <s v="Budget"/>
    <n v="165718"/>
    <n v="3.4"/>
    <n v="4"/>
    <n v="3214629250.4199996"/>
  </r>
  <r>
    <x v="12"/>
    <s v="Blazer EV"/>
    <x v="5"/>
    <s v="Standard"/>
    <n v="55791.9"/>
    <n v="43.1"/>
    <n v="150"/>
    <n v="150"/>
    <s v="SUV"/>
    <n v="5"/>
    <s v="US"/>
    <s v="Mid-range"/>
    <n v="16439"/>
    <n v="3.05"/>
    <n v="4"/>
    <n v="917163044.10000002"/>
  </r>
  <r>
    <x v="2"/>
    <s v="Model 3"/>
    <x v="5"/>
    <s v="Premium"/>
    <n v="151283.19"/>
    <n v="58.3"/>
    <n v="189"/>
    <n v="152"/>
    <s v="Sedan"/>
    <n v="5"/>
    <s v="US"/>
    <s v="Luxury"/>
    <n v="203592"/>
    <n v="3.49"/>
    <n v="5"/>
    <n v="30800047218.48"/>
  </r>
  <r>
    <x v="7"/>
    <s v="ID. Buzz"/>
    <x v="5"/>
    <s v="Standard"/>
    <n v="55247.47"/>
    <n v="53.5"/>
    <n v="199"/>
    <n v="170"/>
    <s v="Sedan"/>
    <n v="5"/>
    <s v="Germany"/>
    <s v="Mid-range"/>
    <n v="220284"/>
    <n v="3.29"/>
    <n v="4"/>
    <n v="12170133681.48"/>
  </r>
  <r>
    <x v="6"/>
    <s v="Ioniq 6"/>
    <x v="5"/>
    <s v="Base"/>
    <n v="37922.42"/>
    <n v="50.5"/>
    <n v="150"/>
    <n v="155"/>
    <s v="SUV"/>
    <n v="3"/>
    <s v="South Korea"/>
    <s v="Mid-range"/>
    <n v="75225"/>
    <n v="3.06"/>
    <n v="5"/>
    <n v="2852714044.5"/>
  </r>
  <r>
    <x v="2"/>
    <s v="Model S"/>
    <x v="5"/>
    <s v="Standard"/>
    <n v="75212.509999999995"/>
    <n v="79.3"/>
    <n v="260"/>
    <n v="154"/>
    <s v="Sedan"/>
    <n v="5"/>
    <s v="US"/>
    <s v="Premium"/>
    <n v="148099"/>
    <n v="3.93"/>
    <n v="6"/>
    <n v="11138897518.49"/>
  </r>
  <r>
    <x v="3"/>
    <s v="Atto 3"/>
    <x v="5"/>
    <s v="Long Range"/>
    <n v="87159.360000000001"/>
    <n v="101.7"/>
    <n v="351"/>
    <n v="183"/>
    <s v="Truck"/>
    <n v="3"/>
    <s v="China"/>
    <s v="Premium"/>
    <n v="204628"/>
    <n v="3.58"/>
    <n v="3"/>
    <n v="17835245518.080002"/>
  </r>
  <r>
    <x v="2"/>
    <s v="Model Y"/>
    <x v="5"/>
    <s v="Long Range"/>
    <n v="64135.13"/>
    <n v="97.7"/>
    <n v="359"/>
    <n v="171"/>
    <s v="Hatchback"/>
    <n v="4"/>
    <s v="US"/>
    <s v="Mid-range"/>
    <n v="427732"/>
    <n v="4.21"/>
    <n v="4"/>
    <n v="27432647425.16"/>
  </r>
  <r>
    <x v="7"/>
    <s v="ID.4"/>
    <x v="5"/>
    <s v="Performance"/>
    <n v="91483.89"/>
    <n v="74.2"/>
    <n v="246"/>
    <n v="199"/>
    <s v="Coupe"/>
    <n v="4"/>
    <s v="Germany"/>
    <s v="Premium"/>
    <n v="206750"/>
    <n v="3.64"/>
    <n v="3"/>
    <n v="18914294257.5"/>
  </r>
  <r>
    <x v="3"/>
    <s v="Dolphin"/>
    <x v="5"/>
    <s v="Base"/>
    <n v="52144.09"/>
    <n v="43.5"/>
    <n v="150"/>
    <n v="178"/>
    <s v="Hatchback"/>
    <n v="4"/>
    <s v="China"/>
    <s v="Mid-range"/>
    <n v="212512"/>
    <n v="3.12"/>
    <n v="3"/>
    <n v="11081244854.08"/>
  </r>
  <r>
    <x v="2"/>
    <s v="Model 3"/>
    <x v="5"/>
    <s v="Premium"/>
    <n v="154568.94"/>
    <n v="68"/>
    <n v="235"/>
    <n v="170"/>
    <s v="Coupe"/>
    <n v="5"/>
    <s v="US"/>
    <s v="Luxury"/>
    <n v="245844"/>
    <n v="3.7"/>
    <n v="5"/>
    <n v="37999846485.360001"/>
  </r>
  <r>
    <x v="7"/>
    <s v="ID. Buzz"/>
    <x v="5"/>
    <s v="Performance"/>
    <n v="58007.82"/>
    <n v="105.3"/>
    <n v="382"/>
    <n v="188"/>
    <s v="Van"/>
    <n v="3"/>
    <s v="Germany"/>
    <s v="Mid-range"/>
    <n v="241176"/>
    <n v="3.98"/>
    <n v="3"/>
    <n v="13990093996.32"/>
  </r>
  <r>
    <x v="3"/>
    <s v="Leaf 50X"/>
    <x v="5"/>
    <s v="Standard"/>
    <n v="33650.32"/>
    <n v="63.9"/>
    <n v="231"/>
    <n v="134"/>
    <s v="Sedan"/>
    <n v="4"/>
    <s v="China"/>
    <s v="Budget"/>
    <n v="210399"/>
    <n v="3.56"/>
    <n v="4"/>
    <n v="7079993677.6800003"/>
  </r>
  <r>
    <x v="2"/>
    <s v="Model S"/>
    <x v="5"/>
    <s v="Performance"/>
    <n v="99545.7"/>
    <n v="74.099999999999994"/>
    <n v="250"/>
    <n v="190"/>
    <s v="Hatchback"/>
    <n v="4"/>
    <s v="US"/>
    <s v="Premium"/>
    <n v="244941"/>
    <n v="3.69"/>
    <n v="5"/>
    <n v="24382823303.700001"/>
  </r>
  <r>
    <x v="2"/>
    <s v="Model S"/>
    <x v="5"/>
    <s v="Performance"/>
    <n v="135540.84"/>
    <n v="85.8"/>
    <n v="296"/>
    <n v="188"/>
    <s v="SUV"/>
    <n v="5"/>
    <s v="US"/>
    <s v="Luxury"/>
    <n v="108193"/>
    <n v="3.98"/>
    <n v="5"/>
    <n v="14664570102.119999"/>
  </r>
  <r>
    <x v="4"/>
    <s v="Q6 e-tron"/>
    <x v="5"/>
    <s v="Base"/>
    <n v="80914.990000000005"/>
    <n v="67.400000000000006"/>
    <n v="220"/>
    <n v="178"/>
    <s v="Sedan"/>
    <n v="5"/>
    <s v="Germany"/>
    <s v="Premium"/>
    <n v="22856"/>
    <n v="3.44"/>
    <n v="7"/>
    <n v="1849393011.4400001"/>
  </r>
  <r>
    <x v="7"/>
    <s v="ID.5"/>
    <x v="5"/>
    <s v="Standard"/>
    <n v="70801.47"/>
    <n v="60.4"/>
    <n v="204"/>
    <n v="137"/>
    <s v="SUV"/>
    <n v="5"/>
    <s v="Germany"/>
    <s v="Premium"/>
    <n v="299914"/>
    <n v="3.54"/>
    <n v="4"/>
    <n v="21234352073.580002"/>
  </r>
  <r>
    <x v="10"/>
    <n v="4"/>
    <x v="5"/>
    <s v="Standard"/>
    <n v="80679.27"/>
    <n v="41.3"/>
    <n v="155"/>
    <n v="170"/>
    <s v="Hatchback"/>
    <n v="5"/>
    <s v="Sweden"/>
    <s v="Premium"/>
    <n v="7428"/>
    <n v="3.03"/>
    <n v="4"/>
    <n v="599285617.56000006"/>
  </r>
  <r>
    <x v="2"/>
    <s v="Model S"/>
    <x v="5"/>
    <s v="Base"/>
    <n v="29088.57"/>
    <n v="79.3"/>
    <n v="262"/>
    <n v="148"/>
    <s v="Van"/>
    <n v="5"/>
    <s v="US"/>
    <s v="Budget"/>
    <n v="173989"/>
    <n v="4.17"/>
    <n v="6"/>
    <n v="5061091205.7299995"/>
  </r>
  <r>
    <x v="1"/>
    <s v="Ronin"/>
    <x v="5"/>
    <s v="Premium"/>
    <n v="67039.100000000006"/>
    <n v="75"/>
    <n v="271"/>
    <n v="127"/>
    <s v="Coupe"/>
    <n v="5"/>
    <s v="US"/>
    <s v="Premium"/>
    <n v="2336"/>
    <n v="3.5"/>
    <n v="5"/>
    <n v="156603337.60000002"/>
  </r>
  <r>
    <x v="11"/>
    <s v="R2"/>
    <x v="5"/>
    <s v="Performance"/>
    <n v="104305.19"/>
    <n v="112.7"/>
    <n v="429"/>
    <n v="200"/>
    <s v="Hatchback"/>
    <n v="4"/>
    <s v="US"/>
    <s v="Luxury"/>
    <n v="26219"/>
    <n v="4.08"/>
    <n v="6"/>
    <n v="2734777776.6100001"/>
  </r>
  <r>
    <x v="5"/>
    <s v="EV6"/>
    <x v="5"/>
    <s v="Performance"/>
    <n v="107335.21"/>
    <n v="101.2"/>
    <n v="372"/>
    <n v="187"/>
    <s v="Truck"/>
    <n v="5"/>
    <s v="South Korea"/>
    <s v="Luxury"/>
    <n v="56222"/>
    <n v="3.63"/>
    <n v="5"/>
    <n v="6034600176.6199999"/>
  </r>
  <r>
    <x v="3"/>
    <s v="Dolphin"/>
    <x v="5"/>
    <s v="Standard"/>
    <n v="45068.52"/>
    <n v="56.6"/>
    <n v="195"/>
    <n v="162"/>
    <s v="Sedan"/>
    <n v="5"/>
    <s v="China"/>
    <s v="Mid-range"/>
    <n v="196546"/>
    <n v="3.22"/>
    <n v="5"/>
    <n v="8858037331.9200001"/>
  </r>
  <r>
    <x v="2"/>
    <s v="Model S"/>
    <x v="5"/>
    <s v="Standard"/>
    <n v="47711.51"/>
    <n v="47.2"/>
    <n v="173"/>
    <n v="154"/>
    <s v="Sedan"/>
    <n v="4"/>
    <s v="US"/>
    <s v="Mid-range"/>
    <n v="180408"/>
    <n v="3.58"/>
    <n v="5"/>
    <n v="8607538096.0799999"/>
  </r>
  <r>
    <x v="6"/>
    <s v="Ioniq 6"/>
    <x v="5"/>
    <s v="Premium"/>
    <n v="72308.960000000006"/>
    <n v="49.7"/>
    <n v="167"/>
    <n v="150"/>
    <s v="Van"/>
    <n v="3"/>
    <s v="South Korea"/>
    <s v="Premium"/>
    <n v="143294"/>
    <n v="3.17"/>
    <n v="4"/>
    <n v="10361440114.240002"/>
  </r>
  <r>
    <x v="5"/>
    <s v="Sportage EV"/>
    <x v="5"/>
    <s v="Long Range"/>
    <n v="37973.050000000003"/>
    <n v="76.2"/>
    <n v="263"/>
    <n v="172"/>
    <s v="SUV"/>
    <n v="4"/>
    <s v="South Korea"/>
    <s v="Mid-range"/>
    <n v="66783"/>
    <n v="3.42"/>
    <n v="4"/>
    <n v="2535954198.1500001"/>
  </r>
  <r>
    <x v="2"/>
    <s v="Model S"/>
    <x v="5"/>
    <s v="Long Range"/>
    <n v="89182.57"/>
    <n v="108.7"/>
    <n v="358"/>
    <n v="158"/>
    <s v="Truck"/>
    <n v="4"/>
    <s v="US"/>
    <s v="Premium"/>
    <n v="161378"/>
    <n v="4"/>
    <n v="6"/>
    <n v="14392104781.460001"/>
  </r>
  <r>
    <x v="6"/>
    <s v="Ioniq 5"/>
    <x v="5"/>
    <s v="Long Range"/>
    <n v="49595.48"/>
    <n v="75.099999999999994"/>
    <n v="260"/>
    <n v="187"/>
    <s v="Coupe"/>
    <n v="5"/>
    <s v="South Korea"/>
    <s v="Mid-range"/>
    <n v="108288"/>
    <n v="3.54"/>
    <n v="4"/>
    <n v="5370595338.2400007"/>
  </r>
  <r>
    <x v="2"/>
    <s v="Model S"/>
    <x v="5"/>
    <s v="Base"/>
    <n v="99045.61"/>
    <n v="69.900000000000006"/>
    <n v="238"/>
    <n v="125"/>
    <s v="SUV"/>
    <n v="4"/>
    <s v="US"/>
    <s v="Premium"/>
    <n v="134937"/>
    <n v="3.58"/>
    <n v="5"/>
    <n v="13364917476.57"/>
  </r>
  <r>
    <x v="2"/>
    <s v="Cybertruck"/>
    <x v="5"/>
    <s v="Premium"/>
    <n v="160711.64000000001"/>
    <n v="76.8"/>
    <n v="290"/>
    <n v="153"/>
    <s v="Truck"/>
    <n v="5"/>
    <s v="US"/>
    <s v="Luxury"/>
    <n v="208796"/>
    <n v="3.95"/>
    <n v="5"/>
    <n v="33555947585.440002"/>
  </r>
  <r>
    <x v="8"/>
    <s v="E-Transit"/>
    <x v="5"/>
    <s v="Standard"/>
    <n v="43156.03"/>
    <n v="81.3"/>
    <n v="293"/>
    <n v="139"/>
    <s v="Van"/>
    <n v="4"/>
    <s v="US"/>
    <s v="Mid-range"/>
    <n v="34530"/>
    <n v="3.75"/>
    <n v="4"/>
    <n v="1490177715.8999999"/>
  </r>
  <r>
    <x v="12"/>
    <s v="Bolt EUV"/>
    <x v="5"/>
    <s v="Base"/>
    <n v="38010.06"/>
    <n v="62.7"/>
    <n v="226"/>
    <n v="137"/>
    <s v="Hatchback"/>
    <n v="4"/>
    <s v="US"/>
    <s v="Mid-range"/>
    <n v="16274"/>
    <n v="3.18"/>
    <n v="4"/>
    <n v="618575716.43999994"/>
  </r>
  <r>
    <x v="3"/>
    <s v="Max"/>
    <x v="5"/>
    <s v="Base"/>
    <n v="23230.02"/>
    <n v="80.599999999999994"/>
    <n v="262"/>
    <n v="151"/>
    <s v="Van"/>
    <n v="5"/>
    <s v="China"/>
    <s v="Budget"/>
    <n v="183226"/>
    <n v="3.75"/>
    <n v="4"/>
    <n v="4256343644.52"/>
  </r>
  <r>
    <x v="2"/>
    <s v="Model 3"/>
    <x v="5"/>
    <s v="Premium"/>
    <n v="106221.52"/>
    <n v="66.8"/>
    <n v="251"/>
    <n v="134"/>
    <s v="Sedan"/>
    <n v="4"/>
    <s v="US"/>
    <s v="Luxury"/>
    <n v="106799"/>
    <n v="3.65"/>
    <n v="5"/>
    <n v="11344352114.48"/>
  </r>
  <r>
    <x v="14"/>
    <s v="ET6"/>
    <x v="5"/>
    <s v="Standard"/>
    <n v="70152.19"/>
    <n v="44.1"/>
    <n v="160"/>
    <n v="156"/>
    <s v="Truck"/>
    <n v="5"/>
    <s v="China"/>
    <s v="Premium"/>
    <n v="21427"/>
    <n v="3"/>
    <n v="3"/>
    <n v="1503150975.1300001"/>
  </r>
  <r>
    <x v="2"/>
    <s v="Model Y"/>
    <x v="5"/>
    <s v="Long Range"/>
    <n v="97027.38"/>
    <n v="108.3"/>
    <n v="372"/>
    <n v="170"/>
    <s v="Truck"/>
    <n v="5"/>
    <s v="US"/>
    <s v="Premium"/>
    <n v="401761"/>
    <n v="4.12"/>
    <n v="4"/>
    <n v="38981817216.18"/>
  </r>
  <r>
    <x v="8"/>
    <s v="F-150 Lightning"/>
    <x v="5"/>
    <s v="Long Range"/>
    <n v="53281.67"/>
    <n v="84.7"/>
    <n v="295"/>
    <n v="173"/>
    <s v="Truck"/>
    <n v="4"/>
    <s v="US"/>
    <s v="Mid-range"/>
    <n v="59310"/>
    <n v="3.42"/>
    <n v="4"/>
    <n v="3160135847.6999998"/>
  </r>
  <r>
    <x v="2"/>
    <s v="Model X"/>
    <x v="5"/>
    <s v="Long Range"/>
    <n v="92231.53"/>
    <n v="76"/>
    <n v="264"/>
    <n v="177"/>
    <s v="Van"/>
    <n v="4"/>
    <s v="US"/>
    <s v="Premium"/>
    <n v="226342"/>
    <n v="3.56"/>
    <n v="5"/>
    <n v="20875868963.259998"/>
  </r>
  <r>
    <x v="7"/>
    <s v="ID. Aero"/>
    <x v="5"/>
    <s v="Long Range"/>
    <n v="102771.71"/>
    <n v="104.2"/>
    <n v="392"/>
    <n v="174"/>
    <s v="Van"/>
    <n v="4"/>
    <s v="Germany"/>
    <s v="Luxury"/>
    <n v="235887"/>
    <n v="3.78"/>
    <n v="5"/>
    <n v="24242510356.77"/>
  </r>
  <r>
    <x v="7"/>
    <s v="ID. Aero"/>
    <x v="5"/>
    <s v="Long Range"/>
    <n v="97037.17"/>
    <n v="79.8"/>
    <n v="284"/>
    <n v="167"/>
    <s v="Coupe"/>
    <n v="4"/>
    <s v="Germany"/>
    <s v="Premium"/>
    <n v="292071"/>
    <n v="3.47"/>
    <n v="4"/>
    <n v="28341743279.07"/>
  </r>
  <r>
    <x v="6"/>
    <s v="i30"/>
    <x v="5"/>
    <s v="Long Range"/>
    <n v="81032.960000000006"/>
    <n v="109.2"/>
    <n v="372"/>
    <n v="171"/>
    <s v="Coupe"/>
    <n v="5"/>
    <s v="South Korea"/>
    <s v="Premium"/>
    <n v="132543"/>
    <n v="3.49"/>
    <n v="4"/>
    <n v="10740351617.280001"/>
  </r>
  <r>
    <x v="6"/>
    <s v="Ioniq"/>
    <x v="5"/>
    <s v="Standard"/>
    <n v="59265.27"/>
    <n v="76.5"/>
    <n v="288"/>
    <n v="166"/>
    <s v="Van"/>
    <n v="5"/>
    <s v="South Korea"/>
    <s v="Mid-range"/>
    <n v="55296"/>
    <n v="3.41"/>
    <n v="4"/>
    <n v="3277132369.9199996"/>
  </r>
  <r>
    <x v="3"/>
    <s v="Dolphin"/>
    <x v="5"/>
    <s v="Long Range"/>
    <n v="24263.38"/>
    <n v="90.6"/>
    <n v="313"/>
    <n v="165"/>
    <s v="Coupe"/>
    <n v="4"/>
    <s v="China"/>
    <s v="Budget"/>
    <n v="185360"/>
    <n v="3.79"/>
    <n v="3"/>
    <n v="4497460116.8000002"/>
  </r>
  <r>
    <x v="7"/>
    <s v="ID. Buzz"/>
    <x v="5"/>
    <s v="Base"/>
    <n v="65624.38"/>
    <n v="83.8"/>
    <n v="327"/>
    <n v="166"/>
    <s v="Sedan"/>
    <n v="5"/>
    <s v="Germany"/>
    <s v="Premium"/>
    <n v="228265"/>
    <n v="3.75"/>
    <n v="3"/>
    <n v="14979749100.700001"/>
  </r>
  <r>
    <x v="5"/>
    <s v="EV6"/>
    <x v="5"/>
    <s v="Base"/>
    <n v="34297.300000000003"/>
    <n v="40.9"/>
    <n v="150"/>
    <n v="156"/>
    <s v="Coupe"/>
    <n v="4"/>
    <s v="South Korea"/>
    <s v="Budget"/>
    <n v="124108"/>
    <n v="3.31"/>
    <n v="4"/>
    <n v="4256569308.4000006"/>
  </r>
  <r>
    <x v="2"/>
    <s v="Model 3"/>
    <x v="5"/>
    <s v="Long Range"/>
    <n v="37324.82"/>
    <n v="100.2"/>
    <n v="350"/>
    <n v="169"/>
    <s v="Coupe"/>
    <n v="3"/>
    <s v="US"/>
    <s v="Mid-range"/>
    <n v="182729"/>
    <n v="3.94"/>
    <n v="6"/>
    <n v="6820327033.7799997"/>
  </r>
  <r>
    <x v="2"/>
    <s v="Model 3"/>
    <x v="5"/>
    <s v="Base"/>
    <n v="39961.089999999997"/>
    <n v="82.4"/>
    <n v="271"/>
    <n v="140"/>
    <s v="Hatchback"/>
    <n v="5"/>
    <s v="US"/>
    <s v="Mid-range"/>
    <n v="132702"/>
    <n v="3.97"/>
    <n v="6"/>
    <n v="5302916565.1799994"/>
  </r>
  <r>
    <x v="8"/>
    <s v="F-150 Lightning"/>
    <x v="5"/>
    <s v="Standard"/>
    <n v="71166.509999999995"/>
    <n v="63.6"/>
    <n v="211"/>
    <n v="168"/>
    <s v="Truck"/>
    <n v="4"/>
    <s v="US"/>
    <s v="Premium"/>
    <n v="29813"/>
    <n v="3.63"/>
    <n v="3"/>
    <n v="2121687162.6299999"/>
  </r>
  <r>
    <x v="6"/>
    <s v="Kona Electric"/>
    <x v="5"/>
    <s v="Standard"/>
    <n v="33895.78"/>
    <n v="72.7"/>
    <n v="271"/>
    <n v="148"/>
    <s v="Sedan"/>
    <n v="4"/>
    <s v="South Korea"/>
    <s v="Budget"/>
    <n v="74203"/>
    <n v="3.74"/>
    <n v="4"/>
    <n v="2515168563.3399997"/>
  </r>
  <r>
    <x v="2"/>
    <s v="Model X"/>
    <x v="5"/>
    <s v="Standard"/>
    <n v="81903.39"/>
    <n v="69.099999999999994"/>
    <n v="257"/>
    <n v="170"/>
    <s v="Sedan"/>
    <n v="4"/>
    <s v="US"/>
    <s v="Premium"/>
    <n v="135577"/>
    <n v="3.78"/>
    <n v="5"/>
    <n v="11104215906.030001"/>
  </r>
  <r>
    <x v="8"/>
    <s v="F-150 Lightning"/>
    <x v="5"/>
    <s v="Premium"/>
    <n v="44324.9"/>
    <n v="61.8"/>
    <n v="198"/>
    <n v="139"/>
    <s v="Truck"/>
    <n v="4"/>
    <s v="US"/>
    <s v="Mid-range"/>
    <n v="57644"/>
    <n v="3.48"/>
    <n v="4"/>
    <n v="2555064535.5999999"/>
  </r>
  <r>
    <x v="4"/>
    <s v="e-tron"/>
    <x v="5"/>
    <s v="Standard"/>
    <n v="114471.43"/>
    <n v="76.2"/>
    <n v="231"/>
    <n v="152"/>
    <s v="Van"/>
    <n v="4"/>
    <s v="Germany"/>
    <s v="Luxury"/>
    <n v="21563"/>
    <n v="3.5"/>
    <n v="6"/>
    <n v="2468347445.0899997"/>
  </r>
  <r>
    <x v="13"/>
    <s v="GLE EV"/>
    <x v="5"/>
    <s v="Long Range"/>
    <n v="83712.42"/>
    <n v="97.4"/>
    <n v="338"/>
    <n v="170"/>
    <s v="Van"/>
    <n v="3"/>
    <s v="Germany"/>
    <s v="Premium"/>
    <n v="37695"/>
    <n v="3.9"/>
    <n v="5"/>
    <n v="3155539671.9000001"/>
  </r>
  <r>
    <x v="7"/>
    <s v="ID. Aero"/>
    <x v="5"/>
    <s v="Long Range"/>
    <n v="92182.9"/>
    <n v="103.2"/>
    <n v="359"/>
    <n v="194"/>
    <s v="Sedan"/>
    <n v="5"/>
    <s v="Germany"/>
    <s v="Premium"/>
    <n v="254291"/>
    <n v="3.6"/>
    <n v="3"/>
    <n v="23441281823.899998"/>
  </r>
  <r>
    <x v="8"/>
    <s v="Explorer EV"/>
    <x v="5"/>
    <s v="Base"/>
    <n v="31805.75"/>
    <n v="48.6"/>
    <n v="157"/>
    <n v="168"/>
    <s v="Truck"/>
    <n v="4"/>
    <s v="US"/>
    <s v="Budget"/>
    <n v="49546"/>
    <n v="3.24"/>
    <n v="3"/>
    <n v="1575847689.5"/>
  </r>
  <r>
    <x v="12"/>
    <s v="Bolt EUV"/>
    <x v="5"/>
    <s v="Standard"/>
    <n v="29502.2"/>
    <n v="67.8"/>
    <n v="248"/>
    <n v="142"/>
    <s v="Hatchback"/>
    <n v="4"/>
    <s v="US"/>
    <s v="Budget"/>
    <n v="19509"/>
    <n v="3.46"/>
    <n v="3"/>
    <n v="575558419.80000007"/>
  </r>
  <r>
    <x v="3"/>
    <s v="Atto 3"/>
    <x v="5"/>
    <s v="Performance"/>
    <n v="94900.11"/>
    <n v="105.2"/>
    <n v="381"/>
    <n v="190"/>
    <s v="Hatchback"/>
    <n v="5"/>
    <s v="China"/>
    <s v="Premium"/>
    <n v="172031"/>
    <n v="3.92"/>
    <n v="3"/>
    <n v="16325760823.41"/>
  </r>
  <r>
    <x v="6"/>
    <s v="Ioniq"/>
    <x v="5"/>
    <s v="Performance"/>
    <n v="95402.2"/>
    <n v="91.6"/>
    <n v="321"/>
    <n v="187"/>
    <s v="Coupe"/>
    <n v="4"/>
    <s v="South Korea"/>
    <s v="Premium"/>
    <n v="124589"/>
    <n v="3.85"/>
    <n v="4"/>
    <n v="11886064695.799999"/>
  </r>
  <r>
    <x v="0"/>
    <s v="bZ Compact SUV"/>
    <x v="5"/>
    <s v="Long Range"/>
    <n v="84185.72"/>
    <n v="103.8"/>
    <n v="377"/>
    <n v="165"/>
    <s v="SUV"/>
    <n v="5"/>
    <s v="Japan"/>
    <s v="Premium"/>
    <n v="15914"/>
    <n v="3.93"/>
    <n v="4"/>
    <n v="1339731548.0799999"/>
  </r>
  <r>
    <x v="5"/>
    <s v="Sportage EV"/>
    <x v="5"/>
    <s v="Premium"/>
    <n v="76146.100000000006"/>
    <n v="42.4"/>
    <n v="175"/>
    <n v="146"/>
    <s v="SUV"/>
    <n v="4"/>
    <s v="South Korea"/>
    <s v="Premium"/>
    <n v="86432"/>
    <n v="3.41"/>
    <n v="5"/>
    <n v="6581459715.2000008"/>
  </r>
  <r>
    <x v="13"/>
    <s v="GLE EV"/>
    <x v="5"/>
    <s v="Premium"/>
    <n v="158316.82999999999"/>
    <n v="76"/>
    <n v="241"/>
    <n v="164"/>
    <s v="Van"/>
    <n v="5"/>
    <s v="Germany"/>
    <s v="Luxury"/>
    <n v="22636"/>
    <n v="3.82"/>
    <n v="6"/>
    <n v="3583659763.8799996"/>
  </r>
  <r>
    <x v="11"/>
    <s v="R3"/>
    <x v="5"/>
    <s v="Performance"/>
    <n v="109164.41"/>
    <n v="79.599999999999994"/>
    <n v="288"/>
    <n v="197"/>
    <s v="Hatchback"/>
    <n v="5"/>
    <s v="US"/>
    <s v="Luxury"/>
    <n v="19234"/>
    <n v="3.75"/>
    <n v="4"/>
    <n v="2099668261.9400001"/>
  </r>
  <r>
    <x v="5"/>
    <s v="Niro EV"/>
    <x v="5"/>
    <s v="Premium"/>
    <n v="108567.95"/>
    <n v="56.3"/>
    <n v="197"/>
    <n v="165"/>
    <s v="Van"/>
    <n v="4"/>
    <s v="South Korea"/>
    <s v="Luxury"/>
    <n v="139588"/>
    <n v="3.58"/>
    <n v="4"/>
    <n v="15154783004.6"/>
  </r>
  <r>
    <x v="11"/>
    <s v="R3"/>
    <x v="5"/>
    <s v="Base"/>
    <n v="79068.679999999993"/>
    <n v="62.9"/>
    <n v="236"/>
    <n v="146"/>
    <s v="SUV"/>
    <n v="5"/>
    <s v="US"/>
    <s v="Premium"/>
    <n v="25139"/>
    <n v="3.32"/>
    <n v="4"/>
    <n v="1987707546.5199997"/>
  </r>
  <r>
    <x v="2"/>
    <s v="Model 3"/>
    <x v="5"/>
    <s v="Base"/>
    <n v="38136.97"/>
    <n v="76"/>
    <n v="284"/>
    <n v="142"/>
    <s v="Sedan"/>
    <n v="5"/>
    <s v="US"/>
    <s v="Mid-range"/>
    <n v="113015"/>
    <n v="3.93"/>
    <n v="5"/>
    <n v="4310049664.5500002"/>
  </r>
  <r>
    <x v="7"/>
    <s v="ID. Buzz"/>
    <x v="5"/>
    <s v="Premium"/>
    <n v="45327.13"/>
    <n v="67.8"/>
    <n v="261"/>
    <n v="132"/>
    <s v="Coupe"/>
    <n v="4"/>
    <s v="Germany"/>
    <s v="Mid-range"/>
    <n v="299882"/>
    <n v="3.61"/>
    <n v="3"/>
    <n v="13592790398.66"/>
  </r>
  <r>
    <x v="15"/>
    <s v="Macan Electric"/>
    <x v="5"/>
    <s v="Standard"/>
    <n v="185796.61"/>
    <n v="78.099999999999994"/>
    <n v="296"/>
    <n v="148"/>
    <s v="Coupe"/>
    <n v="4"/>
    <s v="Germany"/>
    <s v="Luxury"/>
    <n v="21608"/>
    <n v="3.85"/>
    <n v="6"/>
    <n v="4014693148.8799996"/>
  </r>
  <r>
    <x v="13"/>
    <s v="EQG"/>
    <x v="5"/>
    <s v="Long Range"/>
    <n v="94596.53"/>
    <n v="77.5"/>
    <n v="267"/>
    <n v="167"/>
    <s v="Coupe"/>
    <n v="5"/>
    <s v="Germany"/>
    <s v="Premium"/>
    <n v="48573"/>
    <n v="3.82"/>
    <n v="5"/>
    <n v="4594837251.6899996"/>
  </r>
  <r>
    <x v="11"/>
    <s v="R2"/>
    <x v="5"/>
    <s v="Base"/>
    <n v="79447.62"/>
    <n v="60.5"/>
    <n v="184"/>
    <n v="158"/>
    <s v="Truck"/>
    <n v="5"/>
    <s v="US"/>
    <s v="Premium"/>
    <n v="21177"/>
    <n v="3.42"/>
    <n v="5"/>
    <n v="1682462248.74"/>
  </r>
  <r>
    <x v="6"/>
    <s v="i30"/>
    <x v="5"/>
    <s v="Standard"/>
    <n v="30172.57"/>
    <n v="82.9"/>
    <n v="283"/>
    <n v="137"/>
    <s v="Truck"/>
    <n v="3"/>
    <s v="South Korea"/>
    <s v="Budget"/>
    <n v="76614"/>
    <n v="3.55"/>
    <n v="3"/>
    <n v="2311641277.98"/>
  </r>
  <r>
    <x v="6"/>
    <s v="Ioniq 5"/>
    <x v="5"/>
    <s v="Long Range"/>
    <n v="50915.71"/>
    <n v="81"/>
    <n v="278"/>
    <n v="183"/>
    <s v="Sedan"/>
    <n v="3"/>
    <s v="South Korea"/>
    <s v="Mid-range"/>
    <n v="54316"/>
    <n v="3.5"/>
    <n v="5"/>
    <n v="2765537704.3600001"/>
  </r>
  <r>
    <x v="3"/>
    <s v="Atto 3"/>
    <x v="5"/>
    <s v="Long Range"/>
    <n v="99107.520000000004"/>
    <n v="98.9"/>
    <n v="347"/>
    <n v="177"/>
    <s v="Hatchback"/>
    <n v="5"/>
    <s v="China"/>
    <s v="Premium"/>
    <n v="190865"/>
    <n v="3.32"/>
    <n v="3"/>
    <n v="18916156804.799999"/>
  </r>
  <r>
    <x v="12"/>
    <s v="Bolt EV"/>
    <x v="5"/>
    <s v="Base"/>
    <n v="60512.959999999999"/>
    <n v="58.6"/>
    <n v="258"/>
    <n v="146"/>
    <s v="Hatchback"/>
    <n v="5"/>
    <s v="US"/>
    <s v="Mid-range"/>
    <n v="12934"/>
    <n v="3.42"/>
    <n v="5"/>
    <n v="782674624.63999999"/>
  </r>
  <r>
    <x v="2"/>
    <s v="Model S"/>
    <x v="5"/>
    <s v="Performance"/>
    <n v="68593.72"/>
    <n v="107.6"/>
    <n v="361"/>
    <n v="192"/>
    <s v="Coupe"/>
    <n v="5"/>
    <s v="US"/>
    <s v="Premium"/>
    <n v="245974"/>
    <n v="4.2300000000000004"/>
    <n v="5"/>
    <n v="16872271683.280001"/>
  </r>
  <r>
    <x v="2"/>
    <s v="Cybertruck"/>
    <x v="5"/>
    <s v="Standard"/>
    <n v="61013.48"/>
    <n v="45.2"/>
    <n v="156"/>
    <n v="151"/>
    <s v="Truck"/>
    <n v="3"/>
    <s v="US"/>
    <s v="Mid-range"/>
    <n v="132800"/>
    <n v="3.35"/>
    <n v="5"/>
    <n v="8102590144"/>
  </r>
  <r>
    <x v="6"/>
    <s v="Ioniq 5"/>
    <x v="5"/>
    <s v="Base"/>
    <n v="68602.240000000005"/>
    <n v="75.7"/>
    <n v="260"/>
    <n v="164"/>
    <s v="SUV"/>
    <n v="5"/>
    <s v="South Korea"/>
    <s v="Premium"/>
    <n v="109721"/>
    <n v="3.31"/>
    <n v="5"/>
    <n v="7527106375.0400009"/>
  </r>
  <r>
    <x v="5"/>
    <s v="Niro EV"/>
    <x v="5"/>
    <s v="Premium"/>
    <n v="64726.92"/>
    <n v="52.3"/>
    <n v="203"/>
    <n v="136"/>
    <s v="Truck"/>
    <n v="5"/>
    <s v="South Korea"/>
    <s v="Mid-range"/>
    <n v="135916"/>
    <n v="3.12"/>
    <n v="4"/>
    <n v="8797424058.7199993"/>
  </r>
  <r>
    <x v="9"/>
    <s v="i3"/>
    <x v="5"/>
    <s v="Base"/>
    <n v="93156.19"/>
    <n v="74.599999999999994"/>
    <n v="254"/>
    <n v="143"/>
    <s v="Van"/>
    <n v="4"/>
    <s v="Germany"/>
    <s v="Premium"/>
    <n v="71204"/>
    <n v="3.55"/>
    <n v="7"/>
    <n v="6633093352.7600002"/>
  </r>
  <r>
    <x v="7"/>
    <s v="ID.4"/>
    <x v="5"/>
    <s v="Base"/>
    <n v="78698.7"/>
    <n v="67.400000000000006"/>
    <n v="200"/>
    <n v="164"/>
    <s v="Coupe"/>
    <n v="5"/>
    <s v="Germany"/>
    <s v="Premium"/>
    <n v="200182"/>
    <n v="3.41"/>
    <n v="4"/>
    <n v="15754063163.4"/>
  </r>
  <r>
    <x v="5"/>
    <s v="EV6"/>
    <x v="5"/>
    <s v="Base"/>
    <n v="60524.160000000003"/>
    <n v="58.8"/>
    <n v="217"/>
    <n v="148"/>
    <s v="Coupe"/>
    <n v="4"/>
    <s v="South Korea"/>
    <s v="Mid-range"/>
    <n v="105178"/>
    <n v="3.37"/>
    <n v="4"/>
    <n v="6365810100.4800005"/>
  </r>
  <r>
    <x v="6"/>
    <s v="Ioniq 5"/>
    <x v="5"/>
    <s v="Base"/>
    <n v="46385.14"/>
    <n v="84.1"/>
    <n v="301"/>
    <n v="148"/>
    <s v="Truck"/>
    <n v="4"/>
    <s v="South Korea"/>
    <s v="Mid-range"/>
    <n v="58564"/>
    <n v="3.62"/>
    <n v="3"/>
    <n v="2716499338.96"/>
  </r>
  <r>
    <x v="8"/>
    <s v="Explorer EV"/>
    <x v="5"/>
    <s v="Performance"/>
    <n v="106247.4"/>
    <n v="72.900000000000006"/>
    <n v="277"/>
    <n v="200"/>
    <s v="Coupe"/>
    <n v="5"/>
    <s v="US"/>
    <s v="Luxury"/>
    <n v="49209"/>
    <n v="3.4"/>
    <n v="3"/>
    <n v="5228328306.5999994"/>
  </r>
  <r>
    <x v="6"/>
    <s v="Ioniq"/>
    <x v="5"/>
    <s v="Long Range"/>
    <n v="74693.36"/>
    <n v="95.4"/>
    <n v="340"/>
    <n v="186"/>
    <s v="Hatchback"/>
    <n v="5"/>
    <s v="South Korea"/>
    <s v="Premium"/>
    <n v="138161"/>
    <n v="3.52"/>
    <n v="4"/>
    <n v="10319709310.960001"/>
  </r>
  <r>
    <x v="7"/>
    <s v="ID.5"/>
    <x v="5"/>
    <s v="Standard"/>
    <n v="60218.55"/>
    <n v="82.8"/>
    <n v="240"/>
    <n v="163"/>
    <s v="Van"/>
    <n v="5"/>
    <s v="Germany"/>
    <s v="Mid-range"/>
    <n v="290126"/>
    <n v="3.59"/>
    <n v="4"/>
    <n v="17470967037.299999"/>
  </r>
  <r>
    <x v="2"/>
    <s v="Model 3"/>
    <x v="5"/>
    <s v="Performance"/>
    <n v="58452.94"/>
    <n v="77.2"/>
    <n v="274"/>
    <n v="183"/>
    <s v="Van"/>
    <n v="3"/>
    <s v="US"/>
    <s v="Mid-range"/>
    <n v="216013"/>
    <n v="3.86"/>
    <n v="4"/>
    <n v="12626594928.220001"/>
  </r>
  <r>
    <x v="3"/>
    <s v="Dolphin"/>
    <x v="5"/>
    <s v="Standard"/>
    <n v="82759.69"/>
    <n v="73.3"/>
    <n v="235"/>
    <n v="151"/>
    <s v="SUV"/>
    <n v="3"/>
    <s v="China"/>
    <s v="Premium"/>
    <n v="125776"/>
    <n v="3.36"/>
    <n v="3"/>
    <n v="10409182769.440001"/>
  </r>
  <r>
    <x v="7"/>
    <s v="ID.4"/>
    <x v="5"/>
    <s v="Base"/>
    <n v="65061.9"/>
    <n v="65.099999999999994"/>
    <n v="212"/>
    <n v="137"/>
    <s v="Coupe"/>
    <n v="5"/>
    <s v="Germany"/>
    <s v="Premium"/>
    <n v="282957"/>
    <n v="3.68"/>
    <n v="3"/>
    <n v="18409720038.299999"/>
  </r>
  <r>
    <x v="12"/>
    <s v="Bolt EV"/>
    <x v="5"/>
    <s v="Performance"/>
    <n v="60210.65"/>
    <n v="70.400000000000006"/>
    <n v="258"/>
    <n v="200"/>
    <s v="Coupe"/>
    <n v="4"/>
    <s v="US"/>
    <s v="Mid-range"/>
    <n v="23288"/>
    <n v="3.63"/>
    <n v="4"/>
    <n v="1402185617.2"/>
  </r>
  <r>
    <x v="2"/>
    <s v="Model S"/>
    <x v="5"/>
    <s v="Performance"/>
    <n v="140244.92000000001"/>
    <n v="75.7"/>
    <n v="265"/>
    <n v="187"/>
    <s v="Sedan"/>
    <n v="5"/>
    <s v="US"/>
    <s v="Luxury"/>
    <n v="186365"/>
    <n v="3.84"/>
    <n v="5"/>
    <n v="26136744515.800003"/>
  </r>
  <r>
    <x v="3"/>
    <s v="Seagull"/>
    <x v="5"/>
    <s v="Base"/>
    <n v="31665.46"/>
    <n v="68.3"/>
    <n v="217"/>
    <n v="171"/>
    <s v="Van"/>
    <n v="5"/>
    <s v="China"/>
    <s v="Budget"/>
    <n v="162790"/>
    <n v="3.33"/>
    <n v="4"/>
    <n v="5154820233.3999996"/>
  </r>
  <r>
    <x v="2"/>
    <s v="Model 3"/>
    <x v="5"/>
    <s v="Long Range"/>
    <n v="91388.05"/>
    <n v="100.1"/>
    <n v="350"/>
    <n v="168"/>
    <s v="Sedan"/>
    <n v="4"/>
    <s v="US"/>
    <s v="Premium"/>
    <n v="148700"/>
    <n v="3.99"/>
    <n v="5"/>
    <n v="13589403035"/>
  </r>
  <r>
    <x v="13"/>
    <s v="EQS"/>
    <x v="5"/>
    <s v="Base"/>
    <n v="136918.85"/>
    <n v="55.5"/>
    <n v="195"/>
    <n v="148"/>
    <s v="Coupe"/>
    <n v="5"/>
    <s v="Germany"/>
    <s v="Luxury"/>
    <n v="59537"/>
    <n v="3.51"/>
    <n v="7"/>
    <n v="8151737572.4500008"/>
  </r>
  <r>
    <x v="7"/>
    <s v="ID. Aero"/>
    <x v="5"/>
    <s v="Performance"/>
    <n v="68256.27"/>
    <n v="92.8"/>
    <n v="334"/>
    <n v="182"/>
    <s v="Sedan"/>
    <n v="5"/>
    <s v="Germany"/>
    <s v="Premium"/>
    <n v="215601"/>
    <n v="3.82"/>
    <n v="5"/>
    <n v="14716120068.27"/>
  </r>
  <r>
    <x v="9"/>
    <s v="i3"/>
    <x v="5"/>
    <s v="Premium"/>
    <n v="127970.02"/>
    <n v="52.7"/>
    <n v="181"/>
    <n v="171"/>
    <s v="Coupe"/>
    <n v="5"/>
    <s v="Germany"/>
    <s v="Luxury"/>
    <n v="25659"/>
    <n v="3.39"/>
    <n v="7"/>
    <n v="3283582743.1800003"/>
  </r>
  <r>
    <x v="2"/>
    <s v="Model X"/>
    <x v="5"/>
    <s v="Performance"/>
    <n v="40997.300000000003"/>
    <n v="73.3"/>
    <n v="261"/>
    <n v="198"/>
    <s v="Sedan"/>
    <n v="5"/>
    <s v="US"/>
    <s v="Mid-range"/>
    <n v="192699"/>
    <n v="3.73"/>
    <n v="4"/>
    <n v="7900138712.7000008"/>
  </r>
  <r>
    <x v="2"/>
    <s v="Model X"/>
    <x v="5"/>
    <s v="Base"/>
    <n v="76806.22"/>
    <n v="41.8"/>
    <n v="166"/>
    <n v="152"/>
    <s v="Sedan"/>
    <n v="5"/>
    <s v="US"/>
    <s v="Premium"/>
    <n v="136111"/>
    <n v="3.64"/>
    <n v="6"/>
    <n v="10454171410.42"/>
  </r>
  <r>
    <x v="2"/>
    <s v="Cybertruck"/>
    <x v="5"/>
    <s v="Base"/>
    <n v="96810.26"/>
    <n v="47.9"/>
    <n v="153"/>
    <n v="146"/>
    <s v="Truck"/>
    <n v="4"/>
    <s v="US"/>
    <s v="Premium"/>
    <n v="113593"/>
    <n v="3.86"/>
    <n v="6"/>
    <n v="10996967864.18"/>
  </r>
  <r>
    <x v="7"/>
    <s v="ID.3"/>
    <x v="5"/>
    <s v="Base"/>
    <n v="47861.91"/>
    <n v="65.3"/>
    <n v="231"/>
    <n v="161"/>
    <s v="Sedan"/>
    <n v="3"/>
    <s v="Germany"/>
    <s v="Mid-range"/>
    <n v="247700"/>
    <n v="3.21"/>
    <n v="3"/>
    <n v="11855395107"/>
  </r>
  <r>
    <x v="4"/>
    <s v="Q4 e-tron"/>
    <x v="5"/>
    <s v="Base"/>
    <n v="84123.81"/>
    <n v="68.5"/>
    <n v="247"/>
    <n v="149"/>
    <s v="Hatchback"/>
    <n v="4"/>
    <s v="Germany"/>
    <s v="Premium"/>
    <n v="60155"/>
    <n v="3.29"/>
    <n v="8"/>
    <n v="5060467790.5500002"/>
  </r>
  <r>
    <x v="8"/>
    <s v="Mustang Mach-E"/>
    <x v="5"/>
    <s v="Performance"/>
    <n v="60546.720000000001"/>
    <n v="113"/>
    <n v="423"/>
    <n v="200"/>
    <s v="Coupe"/>
    <n v="3"/>
    <s v="US"/>
    <s v="Mid-range"/>
    <n v="27560"/>
    <n v="3.76"/>
    <n v="5"/>
    <n v="1668667603.2"/>
  </r>
  <r>
    <x v="2"/>
    <s v="Cybertruck"/>
    <x v="5"/>
    <s v="Premium"/>
    <n v="170547.81"/>
    <n v="44.5"/>
    <n v="153"/>
    <n v="132"/>
    <s v="Truck"/>
    <n v="4"/>
    <s v="US"/>
    <s v="Luxury"/>
    <n v="192321"/>
    <n v="3.6"/>
    <n v="5"/>
    <n v="32799925367.009998"/>
  </r>
  <r>
    <x v="6"/>
    <s v="Ioniq 6"/>
    <x v="5"/>
    <s v="Premium"/>
    <n v="100947.83"/>
    <n v="60.5"/>
    <n v="195"/>
    <n v="135"/>
    <s v="Hatchback"/>
    <n v="5"/>
    <s v="South Korea"/>
    <s v="Luxury"/>
    <n v="101360"/>
    <n v="3.44"/>
    <n v="4"/>
    <n v="10232072048.799999"/>
  </r>
  <r>
    <x v="10"/>
    <n v="2"/>
    <x v="5"/>
    <s v="Performance"/>
    <n v="93833.94"/>
    <n v="111.8"/>
    <n v="383"/>
    <n v="200"/>
    <s v="Coupe"/>
    <n v="5"/>
    <s v="Sweden"/>
    <s v="Premium"/>
    <n v="6307"/>
    <n v="3.42"/>
    <n v="4"/>
    <n v="591810659.58000004"/>
  </r>
  <r>
    <x v="2"/>
    <s v="Cybertruck"/>
    <x v="5"/>
    <s v="Standard"/>
    <n v="127335.12"/>
    <n v="71.900000000000006"/>
    <n v="270"/>
    <n v="175"/>
    <s v="Truck"/>
    <n v="5"/>
    <s v="US"/>
    <s v="Luxury"/>
    <n v="188107"/>
    <n v="3.78"/>
    <n v="4"/>
    <n v="23952627417.84"/>
  </r>
  <r>
    <x v="11"/>
    <s v="R2"/>
    <x v="5"/>
    <s v="Performance"/>
    <n v="117871.06"/>
    <n v="81.900000000000006"/>
    <n v="280"/>
    <n v="199"/>
    <s v="Truck"/>
    <n v="5"/>
    <s v="US"/>
    <s v="Luxury"/>
    <n v="14378"/>
    <n v="3.8"/>
    <n v="6"/>
    <n v="1694750100.6800001"/>
  </r>
  <r>
    <x v="2"/>
    <s v="Model X"/>
    <x v="5"/>
    <s v="Performance"/>
    <n v="126875.08"/>
    <n v="98.3"/>
    <n v="345"/>
    <n v="198"/>
    <s v="Van"/>
    <n v="5"/>
    <s v="US"/>
    <s v="Luxury"/>
    <n v="158417"/>
    <n v="3.71"/>
    <n v="5"/>
    <n v="20099169548.360001"/>
  </r>
  <r>
    <x v="9"/>
    <s v="i5"/>
    <x v="5"/>
    <s v="Performance"/>
    <n v="83830.66"/>
    <n v="91.7"/>
    <n v="316"/>
    <n v="188"/>
    <s v="Truck"/>
    <n v="4"/>
    <s v="Germany"/>
    <s v="Premium"/>
    <n v="61677"/>
    <n v="3.43"/>
    <n v="7"/>
    <n v="5170423616.8200006"/>
  </r>
  <r>
    <x v="2"/>
    <s v="Model S"/>
    <x v="5"/>
    <s v="Base"/>
    <n v="29411.54"/>
    <n v="61.2"/>
    <n v="220"/>
    <n v="127"/>
    <s v="Hatchback"/>
    <n v="5"/>
    <s v="US"/>
    <s v="Budget"/>
    <n v="206579"/>
    <n v="3.63"/>
    <n v="6"/>
    <n v="6075806521.6599998"/>
  </r>
  <r>
    <x v="2"/>
    <s v="Cybertruck"/>
    <x v="5"/>
    <s v="Premium"/>
    <n v="131326.82"/>
    <n v="44.5"/>
    <n v="172"/>
    <n v="164"/>
    <s v="Truck"/>
    <n v="5"/>
    <s v="US"/>
    <s v="Luxury"/>
    <n v="195107"/>
    <n v="3.68"/>
    <n v="5"/>
    <n v="25622781869.740002"/>
  </r>
  <r>
    <x v="2"/>
    <s v="Model X"/>
    <x v="5"/>
    <s v="Base"/>
    <n v="106034.49"/>
    <n v="82.6"/>
    <n v="286"/>
    <n v="151"/>
    <s v="Van"/>
    <n v="5"/>
    <s v="US"/>
    <s v="Luxury"/>
    <n v="136623"/>
    <n v="3.7"/>
    <n v="6"/>
    <n v="14486750127.27"/>
  </r>
  <r>
    <x v="5"/>
    <s v="Picanto EV"/>
    <x v="5"/>
    <s v="Base"/>
    <n v="33502.19"/>
    <n v="82.4"/>
    <n v="304"/>
    <n v="144"/>
    <s v="Van"/>
    <n v="4"/>
    <s v="South Korea"/>
    <s v="Budget"/>
    <n v="70571"/>
    <n v="3.47"/>
    <n v="4"/>
    <n v="2364283050.4900002"/>
  </r>
  <r>
    <x v="3"/>
    <s v="Seagull"/>
    <x v="5"/>
    <s v="Premium"/>
    <n v="98579.06"/>
    <n v="64.3"/>
    <n v="224"/>
    <n v="143"/>
    <s v="Coupe"/>
    <n v="5"/>
    <s v="China"/>
    <s v="Premium"/>
    <n v="142672"/>
    <n v="3.25"/>
    <n v="3"/>
    <n v="14064471648.32"/>
  </r>
  <r>
    <x v="3"/>
    <s v="Atto 3"/>
    <x v="5"/>
    <s v="Long Range"/>
    <n v="32535.18"/>
    <n v="92"/>
    <n v="307"/>
    <n v="175"/>
    <s v="Sedan"/>
    <n v="4"/>
    <s v="China"/>
    <s v="Budget"/>
    <n v="218123"/>
    <n v="3.53"/>
    <n v="3"/>
    <n v="7096671067.1400003"/>
  </r>
  <r>
    <x v="12"/>
    <s v="Bolt EUV"/>
    <x v="5"/>
    <s v="Premium"/>
    <n v="61871.83"/>
    <n v="57.9"/>
    <n v="176"/>
    <n v="168"/>
    <s v="Hatchback"/>
    <n v="5"/>
    <s v="US"/>
    <s v="Mid-range"/>
    <n v="10487"/>
    <n v="3.16"/>
    <n v="3"/>
    <n v="648849881.21000004"/>
  </r>
  <r>
    <x v="5"/>
    <s v="Sportage EV"/>
    <x v="5"/>
    <s v="Performance"/>
    <n v="72347.59"/>
    <n v="112"/>
    <n v="369"/>
    <n v="185"/>
    <s v="SUV"/>
    <n v="3"/>
    <s v="South Korea"/>
    <s v="Premium"/>
    <n v="144057"/>
    <n v="3.62"/>
    <n v="3"/>
    <n v="10422176772.629999"/>
  </r>
  <r>
    <x v="6"/>
    <s v="Ioniq 6"/>
    <x v="5"/>
    <s v="Performance"/>
    <n v="47415.02"/>
    <n v="112.3"/>
    <n v="399"/>
    <n v="200"/>
    <s v="Hatchback"/>
    <n v="5"/>
    <s v="South Korea"/>
    <s v="Mid-range"/>
    <n v="102665"/>
    <n v="3.98"/>
    <n v="3"/>
    <n v="4867863028.2999992"/>
  </r>
  <r>
    <x v="14"/>
    <s v="EC6"/>
    <x v="5"/>
    <s v="Premium"/>
    <n v="83405.89"/>
    <n v="75.400000000000006"/>
    <n v="277"/>
    <n v="164"/>
    <s v="Van"/>
    <n v="5"/>
    <s v="China"/>
    <s v="Premium"/>
    <n v="11073"/>
    <n v="3.32"/>
    <n v="5"/>
    <n v="923553419.97000003"/>
  </r>
  <r>
    <x v="2"/>
    <s v="Model 3"/>
    <x v="5"/>
    <s v="Long Range"/>
    <n v="84190.57"/>
    <n v="98"/>
    <n v="350"/>
    <n v="182"/>
    <s v="Coupe"/>
    <n v="4"/>
    <s v="US"/>
    <s v="Premium"/>
    <n v="181874"/>
    <n v="3.94"/>
    <n v="4"/>
    <n v="15312075728.180002"/>
  </r>
  <r>
    <x v="3"/>
    <s v="Dolphin"/>
    <x v="5"/>
    <s v="Base"/>
    <n v="53719.72"/>
    <n v="48.4"/>
    <n v="150"/>
    <n v="160"/>
    <s v="Hatchback"/>
    <n v="3"/>
    <s v="China"/>
    <s v="Mid-range"/>
    <n v="246801"/>
    <n v="3.15"/>
    <n v="5"/>
    <n v="13258080615.720001"/>
  </r>
  <r>
    <x v="2"/>
    <s v="Model X"/>
    <x v="5"/>
    <s v="Long Range"/>
    <n v="153915.44"/>
    <n v="92"/>
    <n v="309"/>
    <n v="177"/>
    <s v="Van"/>
    <n v="5"/>
    <s v="US"/>
    <s v="Luxury"/>
    <n v="210826"/>
    <n v="3.64"/>
    <n v="5"/>
    <n v="32449376553.439999"/>
  </r>
  <r>
    <x v="12"/>
    <s v="Equinox EV"/>
    <x v="5"/>
    <s v="Standard"/>
    <n v="28857.9"/>
    <n v="80"/>
    <n v="326"/>
    <n v="147"/>
    <s v="SUV"/>
    <n v="4"/>
    <s v="US"/>
    <s v="Budget"/>
    <n v="24599"/>
    <n v="3.71"/>
    <n v="4"/>
    <n v="709875482.10000002"/>
  </r>
  <r>
    <x v="8"/>
    <s v="F-150 Lightning"/>
    <x v="5"/>
    <s v="Long Range"/>
    <n v="91074.2"/>
    <n v="83.3"/>
    <n v="309"/>
    <n v="165"/>
    <s v="Truck"/>
    <n v="5"/>
    <s v="US"/>
    <s v="Premium"/>
    <n v="78477"/>
    <n v="3.54"/>
    <n v="5"/>
    <n v="7147229993.3999996"/>
  </r>
  <r>
    <x v="3"/>
    <s v="Max"/>
    <x v="5"/>
    <s v="Premium"/>
    <n v="100296.35"/>
    <n v="81.5"/>
    <n v="290"/>
    <n v="143"/>
    <s v="Hatchback"/>
    <n v="4"/>
    <s v="China"/>
    <s v="Luxury"/>
    <n v="155370"/>
    <n v="3.84"/>
    <n v="4"/>
    <n v="15583043899.5"/>
  </r>
  <r>
    <x v="0"/>
    <s v="bZ Compact SUV"/>
    <x v="5"/>
    <s v="Base"/>
    <n v="65608.600000000006"/>
    <n v="60.1"/>
    <n v="208"/>
    <n v="154"/>
    <s v="SUV"/>
    <n v="4"/>
    <s v="Japan"/>
    <s v="Premium"/>
    <n v="24977"/>
    <n v="3.36"/>
    <n v="5"/>
    <n v="1638706002.2"/>
  </r>
  <r>
    <x v="5"/>
    <s v="Sportage EV"/>
    <x v="5"/>
    <s v="Premium"/>
    <n v="81244.23"/>
    <n v="54.9"/>
    <n v="181"/>
    <n v="149"/>
    <s v="SUV"/>
    <n v="5"/>
    <s v="South Korea"/>
    <s v="Premium"/>
    <n v="70466"/>
    <n v="3.28"/>
    <n v="5"/>
    <n v="5724955911.1799994"/>
  </r>
  <r>
    <x v="12"/>
    <s v="Silverado EV"/>
    <x v="5"/>
    <s v="Premium"/>
    <n v="46867.37"/>
    <n v="59.3"/>
    <n v="232"/>
    <n v="135"/>
    <s v="Sedan"/>
    <n v="5"/>
    <s v="US"/>
    <s v="Mid-range"/>
    <n v="24354"/>
    <n v="3.3"/>
    <n v="3"/>
    <n v="1141407928.98"/>
  </r>
  <r>
    <x v="3"/>
    <s v="Max"/>
    <x v="5"/>
    <s v="Long Range"/>
    <n v="26705.48"/>
    <n v="85.3"/>
    <n v="273"/>
    <n v="169"/>
    <s v="Truck"/>
    <n v="4"/>
    <s v="China"/>
    <s v="Budget"/>
    <n v="188547"/>
    <n v="3.41"/>
    <n v="3"/>
    <n v="5035238137.5599995"/>
  </r>
  <r>
    <x v="3"/>
    <s v="Dolphin"/>
    <x v="5"/>
    <s v="Performance"/>
    <n v="98821.6"/>
    <n v="98.4"/>
    <n v="363"/>
    <n v="189"/>
    <s v="Hatchback"/>
    <n v="4"/>
    <s v="China"/>
    <s v="Premium"/>
    <n v="172137"/>
    <n v="3.93"/>
    <n v="4"/>
    <n v="17010853759.200001"/>
  </r>
  <r>
    <x v="15"/>
    <s v="Macan Electric"/>
    <x v="5"/>
    <s v="Standard"/>
    <n v="186969.89"/>
    <n v="80.5"/>
    <n v="291"/>
    <n v="132"/>
    <s v="Hatchback"/>
    <n v="5"/>
    <s v="Germany"/>
    <s v="Luxury"/>
    <n v="29154"/>
    <n v="4.28"/>
    <n v="8"/>
    <n v="5450920173.0600004"/>
  </r>
  <r>
    <x v="2"/>
    <s v="Cybertruck"/>
    <x v="5"/>
    <s v="Standard"/>
    <n v="98006.33"/>
    <n v="50.5"/>
    <n v="177"/>
    <n v="138"/>
    <s v="Truck"/>
    <n v="4"/>
    <s v="US"/>
    <s v="Premium"/>
    <n v="113383"/>
    <n v="3.75"/>
    <n v="4"/>
    <n v="11112251714.389999"/>
  </r>
  <r>
    <x v="3"/>
    <s v="Dolphin"/>
    <x v="5"/>
    <s v="Base"/>
    <n v="52113.75"/>
    <n v="54.9"/>
    <n v="221"/>
    <n v="148"/>
    <s v="Coupe"/>
    <n v="4"/>
    <s v="China"/>
    <s v="Mid-range"/>
    <n v="186712"/>
    <n v="3.38"/>
    <n v="5"/>
    <n v="9730262490"/>
  </r>
  <r>
    <x v="13"/>
    <s v="EQC"/>
    <x v="5"/>
    <s v="Premium"/>
    <n v="91108.2"/>
    <n v="66.3"/>
    <n v="223"/>
    <n v="157"/>
    <s v="Van"/>
    <n v="5"/>
    <s v="Germany"/>
    <s v="Premium"/>
    <n v="58124"/>
    <n v="3.6"/>
    <n v="6"/>
    <n v="5295573016.8000002"/>
  </r>
  <r>
    <x v="2"/>
    <s v="Model 3"/>
    <x v="5"/>
    <s v="Premium"/>
    <n v="137916.62"/>
    <n v="66"/>
    <n v="216"/>
    <n v="158"/>
    <s v="SUV"/>
    <n v="5"/>
    <s v="US"/>
    <s v="Luxury"/>
    <n v="132643"/>
    <n v="3.73"/>
    <n v="5"/>
    <n v="18293674226.66"/>
  </r>
  <r>
    <x v="12"/>
    <s v="Bolt EUV"/>
    <x v="5"/>
    <s v="Performance"/>
    <n v="62330.93"/>
    <n v="108"/>
    <n v="376"/>
    <n v="200"/>
    <s v="Truck"/>
    <n v="4"/>
    <s v="US"/>
    <s v="Mid-range"/>
    <n v="27154"/>
    <n v="3.92"/>
    <n v="5"/>
    <n v="1692534073.22"/>
  </r>
  <r>
    <x v="3"/>
    <s v="Qin"/>
    <x v="5"/>
    <s v="Standard"/>
    <n v="29108.23"/>
    <n v="44.5"/>
    <n v="170"/>
    <n v="165"/>
    <s v="Hatchback"/>
    <n v="5"/>
    <s v="China"/>
    <s v="Budget"/>
    <n v="179440"/>
    <n v="3.4"/>
    <n v="4"/>
    <n v="5223180791.1999998"/>
  </r>
  <r>
    <x v="12"/>
    <s v="Bolt EUV"/>
    <x v="5"/>
    <s v="Performance"/>
    <n v="81159.740000000005"/>
    <n v="104.4"/>
    <n v="379"/>
    <n v="200"/>
    <s v="Truck"/>
    <n v="4"/>
    <s v="US"/>
    <s v="Premium"/>
    <n v="28393"/>
    <n v="3.84"/>
    <n v="3"/>
    <n v="2304368497.8200002"/>
  </r>
  <r>
    <x v="2"/>
    <s v="Model 3"/>
    <x v="5"/>
    <s v="Base"/>
    <n v="80586.23"/>
    <n v="77.900000000000006"/>
    <n v="274"/>
    <n v="149"/>
    <s v="Van"/>
    <n v="5"/>
    <s v="US"/>
    <s v="Premium"/>
    <n v="243472"/>
    <n v="3.8"/>
    <n v="4"/>
    <n v="19620490590.559998"/>
  </r>
  <r>
    <x v="3"/>
    <s v="Qin"/>
    <x v="5"/>
    <s v="Standard"/>
    <n v="79451.820000000007"/>
    <n v="66.3"/>
    <n v="253"/>
    <n v="158"/>
    <s v="Hatchback"/>
    <n v="5"/>
    <s v="China"/>
    <s v="Premium"/>
    <n v="216726"/>
    <n v="3.44"/>
    <n v="3"/>
    <n v="17219275141.32"/>
  </r>
  <r>
    <x v="8"/>
    <s v="E-Transit"/>
    <x v="5"/>
    <s v="Base"/>
    <n v="47442.7"/>
    <n v="70.8"/>
    <n v="237"/>
    <n v="153"/>
    <s v="Van"/>
    <n v="4"/>
    <s v="US"/>
    <s v="Mid-range"/>
    <n v="71700"/>
    <n v="3.47"/>
    <n v="3"/>
    <n v="3401641590"/>
  </r>
  <r>
    <x v="3"/>
    <s v="Leaf 50X"/>
    <x v="5"/>
    <s v="Standard"/>
    <n v="32451.41"/>
    <n v="72.900000000000006"/>
    <n v="268"/>
    <n v="148"/>
    <s v="Coupe"/>
    <n v="4"/>
    <s v="China"/>
    <s v="Budget"/>
    <n v="104392"/>
    <n v="3.51"/>
    <n v="4"/>
    <n v="3387667592.7199998"/>
  </r>
  <r>
    <x v="2"/>
    <s v="Model 3"/>
    <x v="5"/>
    <s v="Base"/>
    <n v="108727.13"/>
    <n v="41.1"/>
    <n v="150"/>
    <n v="131"/>
    <s v="Truck"/>
    <n v="3"/>
    <s v="US"/>
    <s v="Luxury"/>
    <n v="118818"/>
    <n v="3.3"/>
    <n v="6"/>
    <n v="12918740132.34"/>
  </r>
  <r>
    <x v="6"/>
    <s v="Ioniq 5"/>
    <x v="5"/>
    <s v="Base"/>
    <n v="34994.42"/>
    <n v="79.099999999999994"/>
    <n v="269"/>
    <n v="142"/>
    <s v="Hatchback"/>
    <n v="3"/>
    <s v="South Korea"/>
    <s v="Budget"/>
    <n v="123225"/>
    <n v="3.52"/>
    <n v="4"/>
    <n v="4312187404.5"/>
  </r>
  <r>
    <x v="8"/>
    <s v="Mustang Mach-E"/>
    <x v="5"/>
    <s v="Long Range"/>
    <n v="70076.78"/>
    <n v="107.7"/>
    <n v="396"/>
    <n v="185"/>
    <s v="Truck"/>
    <n v="3"/>
    <s v="US"/>
    <s v="Premium"/>
    <n v="52702"/>
    <n v="3.92"/>
    <n v="4"/>
    <n v="3693186459.5599999"/>
  </r>
  <r>
    <x v="7"/>
    <s v="ID.3"/>
    <x v="5"/>
    <s v="Performance"/>
    <n v="52326.27"/>
    <n v="115.4"/>
    <n v="383"/>
    <n v="200"/>
    <s v="SUV"/>
    <n v="5"/>
    <s v="Germany"/>
    <s v="Mid-range"/>
    <n v="248780"/>
    <n v="3.88"/>
    <n v="3"/>
    <n v="13017729450.599998"/>
  </r>
  <r>
    <x v="9"/>
    <s v="i5"/>
    <x v="5"/>
    <s v="Base"/>
    <n v="68260.210000000006"/>
    <n v="52.1"/>
    <n v="191"/>
    <n v="171"/>
    <s v="SUV"/>
    <n v="4"/>
    <s v="Germany"/>
    <s v="Premium"/>
    <n v="78488"/>
    <n v="3.02"/>
    <n v="7"/>
    <n v="5357607362.4800005"/>
  </r>
  <r>
    <x v="10"/>
    <n v="2"/>
    <x v="5"/>
    <s v="Base"/>
    <n v="91715.74"/>
    <n v="62.6"/>
    <n v="234"/>
    <n v="155"/>
    <s v="Hatchback"/>
    <n v="5"/>
    <s v="Sweden"/>
    <s v="Premium"/>
    <n v="2292"/>
    <n v="3.52"/>
    <n v="4"/>
    <n v="210212476.08000001"/>
  </r>
  <r>
    <x v="8"/>
    <s v="Explorer EV"/>
    <x v="5"/>
    <s v="Base"/>
    <n v="55304.32"/>
    <n v="58.4"/>
    <n v="191"/>
    <n v="164"/>
    <s v="SUV"/>
    <n v="5"/>
    <s v="US"/>
    <s v="Mid-range"/>
    <n v="32117"/>
    <n v="3.32"/>
    <n v="4"/>
    <n v="1776208845.4400001"/>
  </r>
  <r>
    <x v="3"/>
    <s v="Dolphin"/>
    <x v="5"/>
    <s v="Performance"/>
    <n v="30282.11"/>
    <n v="100"/>
    <n v="331"/>
    <n v="200"/>
    <s v="Van"/>
    <n v="5"/>
    <s v="China"/>
    <s v="Budget"/>
    <n v="180781"/>
    <n v="4.04"/>
    <n v="5"/>
    <n v="5474430127.9099998"/>
  </r>
  <r>
    <x v="3"/>
    <s v="Dolphin"/>
    <x v="5"/>
    <s v="Standard"/>
    <n v="83813.38"/>
    <n v="70"/>
    <n v="271"/>
    <n v="166"/>
    <s v="SUV"/>
    <n v="3"/>
    <s v="China"/>
    <s v="Premium"/>
    <n v="193467"/>
    <n v="3.4"/>
    <n v="5"/>
    <n v="16215123188.460001"/>
  </r>
  <r>
    <x v="2"/>
    <s v="Model Y"/>
    <x v="5"/>
    <s v="Performance"/>
    <n v="63323.17"/>
    <n v="90.5"/>
    <n v="314"/>
    <n v="195"/>
    <s v="Coupe"/>
    <n v="5"/>
    <s v="US"/>
    <s v="Mid-range"/>
    <n v="404935"/>
    <n v="3.92"/>
    <n v="5"/>
    <n v="25641767843.950001"/>
  </r>
  <r>
    <x v="3"/>
    <s v="Atto 3"/>
    <x v="5"/>
    <s v="Long Range"/>
    <n v="51946.07"/>
    <n v="98.3"/>
    <n v="331"/>
    <n v="185"/>
    <s v="Sedan"/>
    <n v="5"/>
    <s v="China"/>
    <s v="Mid-range"/>
    <n v="247778"/>
    <n v="3.61"/>
    <n v="3"/>
    <n v="12871093332.459999"/>
  </r>
  <r>
    <x v="8"/>
    <s v="E-Transit"/>
    <x v="5"/>
    <s v="Standard"/>
    <n v="44718.1"/>
    <n v="71.7"/>
    <n v="258"/>
    <n v="157"/>
    <s v="Hatchback"/>
    <n v="5"/>
    <s v="US"/>
    <s v="Mid-range"/>
    <n v="41551"/>
    <n v="3.51"/>
    <n v="3"/>
    <n v="1858081773.0999999"/>
  </r>
  <r>
    <x v="7"/>
    <s v="ID. Aero"/>
    <x v="5"/>
    <s v="Premium"/>
    <n v="112803.13"/>
    <n v="81.2"/>
    <n v="297"/>
    <n v="158"/>
    <s v="Truck"/>
    <n v="4"/>
    <s v="Germany"/>
    <s v="Luxury"/>
    <n v="225327"/>
    <n v="3.76"/>
    <n v="3"/>
    <n v="25417590873.510002"/>
  </r>
  <r>
    <x v="4"/>
    <s v="e-tron GT"/>
    <x v="5"/>
    <s v="Long Range"/>
    <n v="126392.96000000001"/>
    <n v="109.8"/>
    <n v="384"/>
    <n v="176"/>
    <s v="Sedan"/>
    <n v="4"/>
    <s v="Germany"/>
    <s v="Luxury"/>
    <n v="38380"/>
    <n v="4.0199999999999996"/>
    <n v="8"/>
    <n v="4850961804.8000002"/>
  </r>
  <r>
    <x v="0"/>
    <s v="bZ Compact SUV"/>
    <x v="5"/>
    <s v="Premium"/>
    <n v="79560.179999999993"/>
    <n v="48.9"/>
    <n v="199"/>
    <n v="167"/>
    <s v="SUV"/>
    <n v="5"/>
    <s v="Japan"/>
    <s v="Premium"/>
    <n v="12847"/>
    <n v="3.03"/>
    <n v="3"/>
    <n v="1022109632.4599999"/>
  </r>
  <r>
    <x v="6"/>
    <s v="Ioniq"/>
    <x v="5"/>
    <s v="Performance"/>
    <n v="56648.45"/>
    <n v="77.2"/>
    <n v="256"/>
    <n v="200"/>
    <s v="Truck"/>
    <n v="4"/>
    <s v="South Korea"/>
    <s v="Mid-range"/>
    <n v="120189"/>
    <n v="3.68"/>
    <n v="3"/>
    <n v="6808520557.0499992"/>
  </r>
  <r>
    <x v="2"/>
    <s v="Model Y"/>
    <x v="5"/>
    <s v="Premium"/>
    <n v="126346.84"/>
    <n v="62.5"/>
    <n v="253"/>
    <n v="147"/>
    <s v="SUV"/>
    <n v="4"/>
    <s v="US"/>
    <s v="Luxury"/>
    <n v="433007"/>
    <n v="3.92"/>
    <n v="5"/>
    <n v="54709066147.879997"/>
  </r>
  <r>
    <x v="17"/>
    <s v="XC40 Recharge"/>
    <x v="5"/>
    <s v="Long Range"/>
    <n v="79465"/>
    <n v="100.9"/>
    <n v="373"/>
    <n v="183"/>
    <s v="Van"/>
    <n v="5"/>
    <s v="Sweden"/>
    <s v="Premium"/>
    <n v="9072"/>
    <n v="4"/>
    <n v="5"/>
    <n v="720906480"/>
  </r>
  <r>
    <x v="7"/>
    <s v="ID. Buzz"/>
    <x v="5"/>
    <s v="Long Range"/>
    <n v="97039.06"/>
    <n v="100.7"/>
    <n v="357"/>
    <n v="191"/>
    <s v="Coupe"/>
    <n v="4"/>
    <s v="Germany"/>
    <s v="Premium"/>
    <n v="224398"/>
    <n v="3.79"/>
    <n v="3"/>
    <n v="21775370985.880001"/>
  </r>
  <r>
    <x v="12"/>
    <s v="Blazer EV"/>
    <x v="5"/>
    <s v="Premium"/>
    <n v="80502.600000000006"/>
    <n v="78.599999999999994"/>
    <n v="262"/>
    <n v="176"/>
    <s v="Sedan"/>
    <n v="3"/>
    <s v="US"/>
    <s v="Premium"/>
    <n v="14992"/>
    <n v="3.62"/>
    <n v="4"/>
    <n v="1206894979.2"/>
  </r>
  <r>
    <x v="2"/>
    <s v="Model 3"/>
    <x v="5"/>
    <s v="Long Range"/>
    <n v="31639.64"/>
    <n v="77.2"/>
    <n v="287"/>
    <n v="172"/>
    <s v="Coupe"/>
    <n v="5"/>
    <s v="US"/>
    <s v="Budget"/>
    <n v="146342"/>
    <n v="4"/>
    <n v="4"/>
    <n v="4630208196.8800001"/>
  </r>
  <r>
    <x v="3"/>
    <s v="Atto 3"/>
    <x v="5"/>
    <s v="Performance"/>
    <n v="81358.02"/>
    <n v="82.4"/>
    <n v="282"/>
    <n v="195"/>
    <s v="Sedan"/>
    <n v="4"/>
    <s v="China"/>
    <s v="Premium"/>
    <n v="108251"/>
    <n v="3.65"/>
    <n v="4"/>
    <n v="8807087023.0200005"/>
  </r>
  <r>
    <x v="3"/>
    <s v="Dolphin"/>
    <x v="5"/>
    <s v="Base"/>
    <n v="73207.320000000007"/>
    <n v="69.3"/>
    <n v="232"/>
    <n v="152"/>
    <s v="Hatchback"/>
    <n v="4"/>
    <s v="China"/>
    <s v="Premium"/>
    <n v="205374"/>
    <n v="3.21"/>
    <n v="4"/>
    <n v="15034880137.680002"/>
  </r>
  <r>
    <x v="13"/>
    <s v="EQE"/>
    <x v="5"/>
    <s v="Premium"/>
    <n v="112650.99"/>
    <n v="53.9"/>
    <n v="165"/>
    <n v="148"/>
    <s v="SUV"/>
    <n v="4"/>
    <s v="Germany"/>
    <s v="Luxury"/>
    <n v="79068"/>
    <n v="3.36"/>
    <n v="6"/>
    <n v="8907088477.3199997"/>
  </r>
  <r>
    <x v="2"/>
    <s v="Model S"/>
    <x v="5"/>
    <s v="Standard"/>
    <n v="58831.27"/>
    <n v="45"/>
    <n v="150"/>
    <n v="147"/>
    <s v="Sedan"/>
    <n v="5"/>
    <s v="US"/>
    <s v="Mid-range"/>
    <n v="150860"/>
    <n v="3.42"/>
    <n v="5"/>
    <n v="8875285392.1999989"/>
  </r>
  <r>
    <x v="7"/>
    <s v="ID.3"/>
    <x v="5"/>
    <s v="Long Range"/>
    <n v="70858.100000000006"/>
    <n v="90.5"/>
    <n v="274"/>
    <n v="163"/>
    <s v="Truck"/>
    <n v="5"/>
    <s v="Germany"/>
    <s v="Premium"/>
    <n v="251846"/>
    <n v="3.59"/>
    <n v="4"/>
    <n v="17845329052.600002"/>
  </r>
  <r>
    <x v="3"/>
    <s v="Yuan Plus"/>
    <x v="5"/>
    <s v="Base"/>
    <n v="73712.39"/>
    <n v="44.1"/>
    <n v="173"/>
    <n v="126"/>
    <s v="Sedan"/>
    <n v="4"/>
    <s v="China"/>
    <s v="Premium"/>
    <n v="243890"/>
    <n v="3.08"/>
    <n v="4"/>
    <n v="17977714797.099998"/>
  </r>
  <r>
    <x v="6"/>
    <s v="Ioniq"/>
    <x v="5"/>
    <s v="Standard"/>
    <n v="65291.37"/>
    <n v="83.7"/>
    <n v="283"/>
    <n v="150"/>
    <s v="Van"/>
    <n v="5"/>
    <s v="South Korea"/>
    <s v="Premium"/>
    <n v="99183"/>
    <n v="3.55"/>
    <n v="3"/>
    <n v="6475793950.71"/>
  </r>
  <r>
    <x v="2"/>
    <s v="Cybertruck"/>
    <x v="5"/>
    <s v="Base"/>
    <n v="64862.04"/>
    <n v="68.099999999999994"/>
    <n v="237"/>
    <n v="145"/>
    <s v="Truck"/>
    <n v="5"/>
    <s v="US"/>
    <s v="Mid-range"/>
    <n v="237113"/>
    <n v="3.85"/>
    <n v="5"/>
    <n v="15379632890.52"/>
  </r>
  <r>
    <x v="13"/>
    <s v="EQS"/>
    <x v="5"/>
    <s v="Standard"/>
    <n v="131964.76"/>
    <n v="47"/>
    <n v="157"/>
    <n v="160"/>
    <s v="Coupe"/>
    <n v="4"/>
    <s v="Germany"/>
    <s v="Luxury"/>
    <n v="62952"/>
    <n v="3.64"/>
    <n v="6"/>
    <n v="8307445571.5200005"/>
  </r>
  <r>
    <x v="3"/>
    <s v="Seagull"/>
    <x v="5"/>
    <s v="Standard"/>
    <n v="37099.25"/>
    <n v="64.7"/>
    <n v="205"/>
    <n v="171"/>
    <s v="Hatchback"/>
    <n v="5"/>
    <s v="China"/>
    <s v="Mid-range"/>
    <n v="163441"/>
    <n v="3.69"/>
    <n v="4"/>
    <n v="6063538519.25"/>
  </r>
  <r>
    <x v="4"/>
    <s v="Q4 e-tron"/>
    <x v="5"/>
    <s v="Standard"/>
    <n v="55204.45"/>
    <n v="65.400000000000006"/>
    <n v="223"/>
    <n v="164"/>
    <s v="Hatchback"/>
    <n v="4"/>
    <s v="Germany"/>
    <s v="Mid-range"/>
    <n v="48087"/>
    <n v="3.24"/>
    <n v="7"/>
    <n v="2654616387.1500001"/>
  </r>
  <r>
    <x v="8"/>
    <s v="E-Transit"/>
    <x v="5"/>
    <s v="Standard"/>
    <n v="63604.01"/>
    <n v="40"/>
    <n v="150"/>
    <n v="148"/>
    <s v="Hatchback"/>
    <n v="4"/>
    <s v="US"/>
    <s v="Mid-range"/>
    <n v="36824"/>
    <n v="3.23"/>
    <n v="4"/>
    <n v="2342154064.2400002"/>
  </r>
  <r>
    <x v="13"/>
    <s v="EQS"/>
    <x v="5"/>
    <s v="Standard"/>
    <n v="99348.31"/>
    <n v="48.9"/>
    <n v="189"/>
    <n v="150"/>
    <s v="Coupe"/>
    <n v="4"/>
    <s v="Germany"/>
    <s v="Premium"/>
    <n v="79812"/>
    <n v="3.77"/>
    <n v="7"/>
    <n v="7929187317.7200003"/>
  </r>
  <r>
    <x v="13"/>
    <s v="EQC"/>
    <x v="5"/>
    <s v="Base"/>
    <n v="124226.17"/>
    <n v="74.2"/>
    <n v="253"/>
    <n v="164"/>
    <s v="SUV"/>
    <n v="4"/>
    <s v="Germany"/>
    <s v="Luxury"/>
    <n v="40173"/>
    <n v="3.67"/>
    <n v="8"/>
    <n v="4990537927.4099998"/>
  </r>
  <r>
    <x v="12"/>
    <s v="Blazer EV"/>
    <x v="5"/>
    <s v="Base"/>
    <n v="34616.61"/>
    <n v="73.900000000000006"/>
    <n v="287"/>
    <n v="167"/>
    <s v="Coupe"/>
    <n v="4"/>
    <s v="US"/>
    <s v="Budget"/>
    <n v="24423"/>
    <n v="3.83"/>
    <n v="4"/>
    <n v="845441466.02999997"/>
  </r>
  <r>
    <x v="13"/>
    <s v="EQS"/>
    <x v="5"/>
    <s v="Long Range"/>
    <n v="183986.43"/>
    <n v="100.6"/>
    <n v="365"/>
    <n v="193"/>
    <s v="Hatchback"/>
    <n v="5"/>
    <s v="Germany"/>
    <s v="Luxury"/>
    <n v="50432"/>
    <n v="4.09"/>
    <n v="5"/>
    <n v="9278803637.7600002"/>
  </r>
  <r>
    <x v="2"/>
    <s v="Cybertruck"/>
    <x v="5"/>
    <s v="Performance"/>
    <n v="56352.74"/>
    <n v="82.9"/>
    <n v="297"/>
    <n v="200"/>
    <s v="Truck"/>
    <n v="4"/>
    <s v="US"/>
    <s v="Mid-range"/>
    <n v="197115"/>
    <n v="3.86"/>
    <n v="5"/>
    <n v="11107970345.1"/>
  </r>
  <r>
    <x v="12"/>
    <s v="Blazer EV"/>
    <x v="5"/>
    <s v="Base"/>
    <n v="63436.73"/>
    <n v="52.8"/>
    <n v="186"/>
    <n v="130"/>
    <s v="Truck"/>
    <n v="5"/>
    <s v="US"/>
    <s v="Mid-range"/>
    <n v="13397"/>
    <n v="3.49"/>
    <n v="4"/>
    <n v="849861871.81000006"/>
  </r>
  <r>
    <x v="9"/>
    <s v="i5"/>
    <x v="5"/>
    <s v="Base"/>
    <n v="84667.26"/>
    <n v="78.3"/>
    <n v="258"/>
    <n v="141"/>
    <s v="Truck"/>
    <n v="3"/>
    <s v="Germany"/>
    <s v="Premium"/>
    <n v="39763"/>
    <n v="3.26"/>
    <n v="6"/>
    <n v="3366624259.3799996"/>
  </r>
  <r>
    <x v="9"/>
    <s v="iX"/>
    <x v="5"/>
    <s v="Standard"/>
    <n v="92031.99"/>
    <n v="74.599999999999994"/>
    <n v="257"/>
    <n v="166"/>
    <s v="Sedan"/>
    <n v="5"/>
    <s v="Germany"/>
    <s v="Premium"/>
    <n v="29936"/>
    <n v="3.7"/>
    <n v="7"/>
    <n v="2755069652.6400003"/>
  </r>
  <r>
    <x v="8"/>
    <s v="Explorer EV"/>
    <x v="5"/>
    <s v="Premium"/>
    <n v="66422.789999999994"/>
    <n v="77.900000000000006"/>
    <n v="263"/>
    <n v="149"/>
    <s v="Van"/>
    <n v="5"/>
    <s v="US"/>
    <s v="Premium"/>
    <n v="56669"/>
    <n v="3.69"/>
    <n v="4"/>
    <n v="3764113086.5099998"/>
  </r>
  <r>
    <x v="2"/>
    <s v="Cybertruck"/>
    <x v="5"/>
    <s v="Premium"/>
    <n v="52220.2"/>
    <n v="69.099999999999994"/>
    <n v="211"/>
    <n v="172"/>
    <s v="Truck"/>
    <n v="5"/>
    <s v="US"/>
    <s v="Mid-range"/>
    <n v="119997"/>
    <n v="3.75"/>
    <n v="5"/>
    <n v="6266267339.3999996"/>
  </r>
  <r>
    <x v="12"/>
    <s v="Equinox EV"/>
    <x v="5"/>
    <s v="Long Range"/>
    <n v="84366.720000000001"/>
    <n v="76.7"/>
    <n v="244"/>
    <n v="185"/>
    <s v="SUV"/>
    <n v="4"/>
    <s v="US"/>
    <s v="Premium"/>
    <n v="6773"/>
    <n v="3.64"/>
    <n v="4"/>
    <n v="571415794.56000006"/>
  </r>
  <r>
    <x v="5"/>
    <s v="EV9"/>
    <x v="5"/>
    <s v="Long Range"/>
    <n v="93514.06"/>
    <n v="80.2"/>
    <n v="278"/>
    <n v="179"/>
    <s v="SUV"/>
    <n v="5"/>
    <s v="South Korea"/>
    <s v="Premium"/>
    <n v="120989"/>
    <n v="3.34"/>
    <n v="4"/>
    <n v="11314172605.34"/>
  </r>
  <r>
    <x v="2"/>
    <s v="Model S"/>
    <x v="5"/>
    <s v="Standard"/>
    <n v="67256.69"/>
    <n v="74.099999999999994"/>
    <n v="249"/>
    <n v="156"/>
    <s v="Truck"/>
    <n v="5"/>
    <s v="US"/>
    <s v="Premium"/>
    <n v="149284"/>
    <n v="3.76"/>
    <n v="5"/>
    <n v="10040347709.960001"/>
  </r>
  <r>
    <x v="14"/>
    <s v="EL6"/>
    <x v="5"/>
    <s v="Standard"/>
    <n v="65308.05"/>
    <n v="45.9"/>
    <n v="171"/>
    <n v="156"/>
    <s v="Sedan"/>
    <n v="5"/>
    <s v="China"/>
    <s v="Premium"/>
    <n v="19253"/>
    <n v="3.04"/>
    <n v="4"/>
    <n v="1257375886.6500001"/>
  </r>
  <r>
    <x v="2"/>
    <s v="Model Y"/>
    <x v="5"/>
    <s v="Premium"/>
    <n v="154034.20000000001"/>
    <n v="80.599999999999994"/>
    <n v="277"/>
    <n v="146"/>
    <s v="Hatchback"/>
    <n v="5"/>
    <s v="US"/>
    <s v="Luxury"/>
    <n v="428866"/>
    <n v="3.69"/>
    <n v="6"/>
    <n v="66060031217.200005"/>
  </r>
  <r>
    <x v="3"/>
    <s v="Seagull"/>
    <x v="5"/>
    <s v="Standard"/>
    <n v="26964.92"/>
    <n v="56.1"/>
    <n v="166"/>
    <n v="165"/>
    <s v="Van"/>
    <n v="5"/>
    <s v="China"/>
    <s v="Budget"/>
    <n v="131090"/>
    <n v="3.27"/>
    <n v="3"/>
    <n v="3534831362.7999997"/>
  </r>
  <r>
    <x v="5"/>
    <s v="EV9"/>
    <x v="5"/>
    <s v="Long Range"/>
    <n v="74000.570000000007"/>
    <n v="102.9"/>
    <n v="371"/>
    <n v="187"/>
    <s v="SUV"/>
    <n v="5"/>
    <s v="South Korea"/>
    <s v="Premium"/>
    <n v="137133"/>
    <n v="3.72"/>
    <n v="3"/>
    <n v="10147920165.810001"/>
  </r>
  <r>
    <x v="3"/>
    <s v="Atto 3"/>
    <x v="5"/>
    <s v="Premium"/>
    <n v="81058.7"/>
    <n v="78.3"/>
    <n v="260"/>
    <n v="160"/>
    <s v="Van"/>
    <n v="4"/>
    <s v="China"/>
    <s v="Premium"/>
    <n v="230802"/>
    <n v="3.44"/>
    <n v="4"/>
    <n v="18708510077.399998"/>
  </r>
  <r>
    <x v="2"/>
    <s v="Model 3"/>
    <x v="5"/>
    <s v="Performance"/>
    <n v="112635.62"/>
    <n v="91.1"/>
    <n v="305"/>
    <n v="195"/>
    <s v="Truck"/>
    <n v="5"/>
    <s v="US"/>
    <s v="Luxury"/>
    <n v="126461"/>
    <n v="4.1399999999999997"/>
    <n v="5"/>
    <n v="14244013140.82"/>
  </r>
  <r>
    <x v="2"/>
    <s v="Model X"/>
    <x v="5"/>
    <s v="Performance"/>
    <n v="92160.09"/>
    <n v="115.6"/>
    <n v="400"/>
    <n v="200"/>
    <s v="Sedan"/>
    <n v="4"/>
    <s v="US"/>
    <s v="Premium"/>
    <n v="139912"/>
    <n v="4.17"/>
    <n v="6"/>
    <n v="12894302512.08"/>
  </r>
  <r>
    <x v="9"/>
    <s v="i3"/>
    <x v="5"/>
    <s v="Standard"/>
    <n v="69070.75"/>
    <n v="82"/>
    <n v="304"/>
    <n v="143"/>
    <s v="Van"/>
    <n v="4"/>
    <s v="Germany"/>
    <s v="Premium"/>
    <n v="73019"/>
    <n v="3.53"/>
    <n v="5"/>
    <n v="5043477094.25"/>
  </r>
  <r>
    <x v="3"/>
    <s v="Yuan Plus"/>
    <x v="5"/>
    <s v="Standard"/>
    <n v="28078.09"/>
    <n v="44.7"/>
    <n v="150"/>
    <n v="156"/>
    <s v="Sedan"/>
    <n v="3"/>
    <s v="China"/>
    <s v="Budget"/>
    <n v="207345"/>
    <n v="3.08"/>
    <n v="5"/>
    <n v="5821851571.0500002"/>
  </r>
  <r>
    <x v="7"/>
    <s v="ID. Buzz"/>
    <x v="5"/>
    <s v="Standard"/>
    <n v="34913.449999999997"/>
    <n v="57.9"/>
    <n v="187"/>
    <n v="145"/>
    <s v="Hatchback"/>
    <n v="5"/>
    <s v="Germany"/>
    <s v="Budget"/>
    <n v="204604"/>
    <n v="3.5"/>
    <n v="4"/>
    <n v="7143431523.7999992"/>
  </r>
  <r>
    <x v="3"/>
    <s v="Yuan Plus"/>
    <x v="5"/>
    <s v="Performance"/>
    <n v="113906.34"/>
    <n v="84.5"/>
    <n v="315"/>
    <n v="200"/>
    <s v="Truck"/>
    <n v="3"/>
    <s v="China"/>
    <s v="Luxury"/>
    <n v="193570"/>
    <n v="3.68"/>
    <n v="5"/>
    <n v="22048850233.799999"/>
  </r>
  <r>
    <x v="2"/>
    <s v="Model S"/>
    <x v="5"/>
    <s v="Long Range"/>
    <n v="67690.460000000006"/>
    <n v="92.6"/>
    <n v="317"/>
    <n v="179"/>
    <s v="Hatchback"/>
    <n v="4"/>
    <s v="US"/>
    <s v="Premium"/>
    <n v="187975"/>
    <n v="3.94"/>
    <n v="4"/>
    <n v="12724114218.500002"/>
  </r>
  <r>
    <x v="7"/>
    <s v="ID. Buzz"/>
    <x v="5"/>
    <s v="Standard"/>
    <n v="71667.28"/>
    <n v="81.5"/>
    <n v="282"/>
    <n v="156"/>
    <s v="Van"/>
    <n v="3"/>
    <s v="Germany"/>
    <s v="Premium"/>
    <n v="285418"/>
    <n v="3.48"/>
    <n v="4"/>
    <n v="20455131723.040001"/>
  </r>
  <r>
    <x v="14"/>
    <s v="EC6"/>
    <x v="5"/>
    <s v="Premium"/>
    <n v="103197.25"/>
    <n v="46.4"/>
    <n v="161"/>
    <n v="163"/>
    <s v="Van"/>
    <n v="4"/>
    <s v="China"/>
    <s v="Luxury"/>
    <n v="20886"/>
    <n v="3.24"/>
    <n v="5"/>
    <n v="2155377763.5"/>
  </r>
  <r>
    <x v="9"/>
    <s v="i7"/>
    <x v="5"/>
    <s v="Performance"/>
    <n v="150935.25"/>
    <n v="119.6"/>
    <n v="423"/>
    <n v="200"/>
    <s v="Hatchback"/>
    <n v="5"/>
    <s v="Germany"/>
    <s v="Luxury"/>
    <n v="49006"/>
    <n v="3.99"/>
    <n v="6"/>
    <n v="7396732861.5"/>
  </r>
  <r>
    <x v="3"/>
    <s v="Seagull"/>
    <x v="5"/>
    <s v="Long Range"/>
    <n v="32710.87"/>
    <n v="88.5"/>
    <n v="321"/>
    <n v="192"/>
    <s v="Truck"/>
    <n v="5"/>
    <s v="China"/>
    <s v="Budget"/>
    <n v="169948"/>
    <n v="3.62"/>
    <n v="4"/>
    <n v="5559146934.7600002"/>
  </r>
  <r>
    <x v="3"/>
    <s v="Max"/>
    <x v="5"/>
    <s v="Performance"/>
    <n v="118077.25"/>
    <n v="109.3"/>
    <n v="391"/>
    <n v="191"/>
    <s v="Sedan"/>
    <n v="5"/>
    <s v="China"/>
    <s v="Luxury"/>
    <n v="103364"/>
    <n v="3.72"/>
    <n v="4"/>
    <n v="12204936869"/>
  </r>
  <r>
    <x v="2"/>
    <s v="Model Y"/>
    <x v="5"/>
    <s v="Standard"/>
    <n v="92379.520000000004"/>
    <n v="84.7"/>
    <n v="300"/>
    <n v="130"/>
    <s v="Sedan"/>
    <n v="4"/>
    <s v="US"/>
    <s v="Premium"/>
    <n v="461008"/>
    <n v="3.78"/>
    <n v="6"/>
    <n v="42587697756.160004"/>
  </r>
  <r>
    <x v="1"/>
    <s v="Ronin"/>
    <x v="5"/>
    <s v="Premium"/>
    <n v="106306.01"/>
    <n v="80.2"/>
    <n v="270"/>
    <n v="140"/>
    <s v="Van"/>
    <n v="5"/>
    <s v="US"/>
    <s v="Luxury"/>
    <n v="8757"/>
    <n v="3.62"/>
    <n v="4"/>
    <n v="930921729.56999993"/>
  </r>
  <r>
    <x v="13"/>
    <s v="GLE EV"/>
    <x v="5"/>
    <s v="Premium"/>
    <n v="111590.33"/>
    <n v="69.8"/>
    <n v="216"/>
    <n v="161"/>
    <s v="SUV"/>
    <n v="4"/>
    <s v="Germany"/>
    <s v="Luxury"/>
    <n v="58457"/>
    <n v="3.3"/>
    <n v="8"/>
    <n v="6523235920.8100004"/>
  </r>
  <r>
    <x v="8"/>
    <s v="F-150 Lightning"/>
    <x v="5"/>
    <s v="Premium"/>
    <n v="79279.61"/>
    <n v="59.6"/>
    <n v="194"/>
    <n v="139"/>
    <s v="Truck"/>
    <n v="5"/>
    <s v="US"/>
    <s v="Premium"/>
    <n v="67161"/>
    <n v="3.21"/>
    <n v="3"/>
    <n v="5324497887.21"/>
  </r>
  <r>
    <x v="2"/>
    <s v="Model S"/>
    <x v="5"/>
    <s v="Base"/>
    <n v="41533.410000000003"/>
    <n v="81.099999999999994"/>
    <n v="287"/>
    <n v="145"/>
    <s v="Hatchback"/>
    <n v="4"/>
    <s v="US"/>
    <s v="Mid-range"/>
    <n v="205263"/>
    <n v="3.88"/>
    <n v="5"/>
    <n v="8525272336.8300009"/>
  </r>
  <r>
    <x v="2"/>
    <s v="Model S"/>
    <x v="5"/>
    <s v="Premium"/>
    <n v="131664.51"/>
    <n v="56.1"/>
    <n v="197"/>
    <n v="167"/>
    <s v="SUV"/>
    <n v="5"/>
    <s v="US"/>
    <s v="Luxury"/>
    <n v="124407"/>
    <n v="3.58"/>
    <n v="4"/>
    <n v="16379986695.570002"/>
  </r>
  <r>
    <x v="5"/>
    <s v="EV9"/>
    <x v="5"/>
    <s v="Base"/>
    <n v="31082.43"/>
    <n v="50.7"/>
    <n v="177"/>
    <n v="143"/>
    <s v="SUV"/>
    <n v="5"/>
    <s v="South Korea"/>
    <s v="Budget"/>
    <n v="76695"/>
    <n v="3.1"/>
    <n v="3"/>
    <n v="2383866968.8499999"/>
  </r>
  <r>
    <x v="3"/>
    <s v="Seagull"/>
    <x v="5"/>
    <s v="Premium"/>
    <n v="111062.23"/>
    <n v="40.6"/>
    <n v="162"/>
    <n v="136"/>
    <s v="Truck"/>
    <n v="4"/>
    <s v="China"/>
    <s v="Luxury"/>
    <n v="149002"/>
    <n v="3.28"/>
    <n v="5"/>
    <n v="16548494394.459999"/>
  </r>
  <r>
    <x v="8"/>
    <s v="Explorer EV"/>
    <x v="5"/>
    <s v="Premium"/>
    <n v="56654.61"/>
    <n v="62.9"/>
    <n v="233"/>
    <n v="156"/>
    <s v="Van"/>
    <n v="5"/>
    <s v="US"/>
    <s v="Mid-range"/>
    <n v="41791"/>
    <n v="3.47"/>
    <n v="3"/>
    <n v="2367652806.5100002"/>
  </r>
  <r>
    <x v="7"/>
    <s v="ID. Buzz"/>
    <x v="5"/>
    <s v="Standard"/>
    <n v="85586.86"/>
    <n v="50.5"/>
    <n v="179"/>
    <n v="160"/>
    <s v="Truck"/>
    <n v="3"/>
    <s v="Germany"/>
    <s v="Premium"/>
    <n v="259718"/>
    <n v="3"/>
    <n v="5"/>
    <n v="22228448105.48"/>
  </r>
  <r>
    <x v="8"/>
    <s v="E-Transit"/>
    <x v="5"/>
    <s v="Standard"/>
    <n v="32151.97"/>
    <n v="58.3"/>
    <n v="176"/>
    <n v="169"/>
    <s v="Hatchback"/>
    <n v="4"/>
    <s v="US"/>
    <s v="Budget"/>
    <n v="25887"/>
    <n v="3.14"/>
    <n v="4"/>
    <n v="832318047.38999999"/>
  </r>
  <r>
    <x v="2"/>
    <s v="Model X"/>
    <x v="5"/>
    <s v="Performance"/>
    <n v="99111.24"/>
    <n v="103.7"/>
    <n v="345"/>
    <n v="182"/>
    <s v="Truck"/>
    <n v="5"/>
    <s v="US"/>
    <s v="Premium"/>
    <n v="160176"/>
    <n v="4.04"/>
    <n v="5"/>
    <n v="15875241978.240002"/>
  </r>
  <r>
    <x v="6"/>
    <s v="Kona Electric"/>
    <x v="5"/>
    <s v="Base"/>
    <n v="46056.18"/>
    <n v="74.8"/>
    <n v="259"/>
    <n v="153"/>
    <s v="Sedan"/>
    <n v="5"/>
    <s v="South Korea"/>
    <s v="Mid-range"/>
    <n v="143815"/>
    <n v="3.55"/>
    <n v="5"/>
    <n v="6623569526.6999998"/>
  </r>
  <r>
    <x v="5"/>
    <s v="Picanto EV"/>
    <x v="5"/>
    <s v="Performance"/>
    <n v="88002.42"/>
    <n v="95.9"/>
    <n v="334"/>
    <n v="200"/>
    <s v="SUV"/>
    <n v="5"/>
    <s v="South Korea"/>
    <s v="Premium"/>
    <n v="60132"/>
    <n v="3.63"/>
    <n v="4"/>
    <n v="5291761519.4399996"/>
  </r>
  <r>
    <x v="12"/>
    <s v="Equinox EV"/>
    <x v="5"/>
    <s v="Base"/>
    <n v="57562.96"/>
    <n v="48"/>
    <n v="172"/>
    <n v="154"/>
    <s v="SUV"/>
    <n v="5"/>
    <s v="US"/>
    <s v="Mid-range"/>
    <n v="18527"/>
    <n v="3.44"/>
    <n v="5"/>
    <n v="1066468959.92"/>
  </r>
  <r>
    <x v="2"/>
    <s v="Model 3"/>
    <x v="5"/>
    <s v="Standard"/>
    <n v="39764.730000000003"/>
    <n v="62.8"/>
    <n v="218"/>
    <n v="135"/>
    <s v="Truck"/>
    <n v="5"/>
    <s v="US"/>
    <s v="Mid-range"/>
    <n v="177083"/>
    <n v="3.7"/>
    <n v="6"/>
    <n v="7041657682.5900002"/>
  </r>
  <r>
    <x v="3"/>
    <s v="Dolphin"/>
    <x v="5"/>
    <s v="Long Range"/>
    <n v="23723.54"/>
    <n v="84.2"/>
    <n v="308"/>
    <n v="185"/>
    <s v="Truck"/>
    <n v="4"/>
    <s v="China"/>
    <s v="Budget"/>
    <n v="224275"/>
    <n v="3.65"/>
    <n v="4"/>
    <n v="5320596933.5"/>
  </r>
  <r>
    <x v="2"/>
    <s v="Model Y"/>
    <x v="5"/>
    <s v="Long Range"/>
    <n v="71009.25"/>
    <n v="81"/>
    <n v="305"/>
    <n v="162"/>
    <s v="Van"/>
    <n v="4"/>
    <s v="US"/>
    <s v="Premium"/>
    <n v="465765"/>
    <n v="3.91"/>
    <n v="4"/>
    <n v="33073623326.25"/>
  </r>
  <r>
    <x v="7"/>
    <s v="ID.5"/>
    <x v="5"/>
    <s v="Base"/>
    <n v="36800.160000000003"/>
    <n v="48.1"/>
    <n v="169"/>
    <n v="152"/>
    <s v="SUV"/>
    <n v="5"/>
    <s v="Germany"/>
    <s v="Mid-range"/>
    <n v="290748"/>
    <n v="3.43"/>
    <n v="3"/>
    <n v="10699572919.68"/>
  </r>
  <r>
    <x v="2"/>
    <s v="Cybertruck"/>
    <x v="5"/>
    <s v="Premium"/>
    <n v="81977.77"/>
    <n v="68.400000000000006"/>
    <n v="192"/>
    <n v="155"/>
    <s v="Truck"/>
    <n v="5"/>
    <s v="US"/>
    <s v="Premium"/>
    <n v="146854"/>
    <n v="3.53"/>
    <n v="5"/>
    <n v="12038763435.58"/>
  </r>
  <r>
    <x v="2"/>
    <s v="Model S"/>
    <x v="5"/>
    <s v="Performance"/>
    <n v="94641.12"/>
    <n v="111.8"/>
    <n v="362"/>
    <n v="200"/>
    <s v="SUV"/>
    <n v="4"/>
    <s v="US"/>
    <s v="Premium"/>
    <n v="235320"/>
    <n v="4.03"/>
    <n v="6"/>
    <n v="22270948358.399998"/>
  </r>
  <r>
    <x v="14"/>
    <s v="EC6"/>
    <x v="5"/>
    <s v="Standard"/>
    <n v="73079.97"/>
    <n v="50.5"/>
    <n v="174"/>
    <n v="143"/>
    <s v="Coupe"/>
    <n v="4"/>
    <s v="China"/>
    <s v="Premium"/>
    <n v="11643"/>
    <n v="3.03"/>
    <n v="4"/>
    <n v="850870090.71000004"/>
  </r>
  <r>
    <x v="2"/>
    <s v="Model S"/>
    <x v="5"/>
    <s v="Base"/>
    <n v="106992.78"/>
    <n v="50.9"/>
    <n v="162"/>
    <n v="152"/>
    <s v="Coupe"/>
    <n v="5"/>
    <s v="US"/>
    <s v="Luxury"/>
    <n v="178229"/>
    <n v="3.58"/>
    <n v="5"/>
    <n v="19069216186.619999"/>
  </r>
  <r>
    <x v="12"/>
    <s v="Bolt EUV"/>
    <x v="5"/>
    <s v="Long Range"/>
    <n v="51965.01"/>
    <n v="75.8"/>
    <n v="297"/>
    <n v="177"/>
    <s v="Coupe"/>
    <n v="5"/>
    <s v="US"/>
    <s v="Mid-range"/>
    <n v="28326"/>
    <n v="3.65"/>
    <n v="5"/>
    <n v="1471960873.26"/>
  </r>
  <r>
    <x v="13"/>
    <s v="EQC"/>
    <x v="5"/>
    <s v="Long Range"/>
    <n v="136371.95000000001"/>
    <n v="98.8"/>
    <n v="323"/>
    <n v="180"/>
    <s v="Coupe"/>
    <n v="4"/>
    <s v="Germany"/>
    <s v="Luxury"/>
    <n v="34019"/>
    <n v="4.25"/>
    <n v="6"/>
    <n v="4639237367.0500002"/>
  </r>
  <r>
    <x v="8"/>
    <s v="Explorer EV"/>
    <x v="5"/>
    <s v="Base"/>
    <n v="45556.75"/>
    <n v="57.9"/>
    <n v="221"/>
    <n v="153"/>
    <s v="Coupe"/>
    <n v="5"/>
    <s v="US"/>
    <s v="Mid-range"/>
    <n v="46977"/>
    <n v="3.32"/>
    <n v="5"/>
    <n v="2140119444.75"/>
  </r>
  <r>
    <x v="6"/>
    <s v="i30"/>
    <x v="5"/>
    <s v="Standard"/>
    <n v="66375.02"/>
    <n v="59.8"/>
    <n v="232"/>
    <n v="143"/>
    <s v="Coupe"/>
    <n v="4"/>
    <s v="South Korea"/>
    <s v="Premium"/>
    <n v="125248"/>
    <n v="3.22"/>
    <n v="3"/>
    <n v="8313338504.96"/>
  </r>
  <r>
    <x v="12"/>
    <s v="Bolt EUV"/>
    <x v="5"/>
    <s v="Performance"/>
    <n v="68553.58"/>
    <n v="80.599999999999994"/>
    <n v="282"/>
    <n v="193"/>
    <s v="SUV"/>
    <n v="5"/>
    <s v="US"/>
    <s v="Premium"/>
    <n v="27343"/>
    <n v="3.55"/>
    <n v="4"/>
    <n v="1874460537.9400001"/>
  </r>
  <r>
    <x v="3"/>
    <s v="Seagull"/>
    <x v="5"/>
    <s v="Long Range"/>
    <n v="57737.75"/>
    <n v="106.1"/>
    <n v="383"/>
    <n v="189"/>
    <s v="Coupe"/>
    <n v="4"/>
    <s v="China"/>
    <s v="Mid-range"/>
    <n v="108943"/>
    <n v="4.12"/>
    <n v="4"/>
    <n v="6290123698.25"/>
  </r>
  <r>
    <x v="8"/>
    <s v="E-Transit"/>
    <x v="5"/>
    <s v="Long Range"/>
    <n v="54602.2"/>
    <n v="96"/>
    <n v="344"/>
    <n v="181"/>
    <s v="Van"/>
    <n v="3"/>
    <s v="US"/>
    <s v="Mid-range"/>
    <n v="50891"/>
    <n v="3.53"/>
    <n v="4"/>
    <n v="2778760560.1999998"/>
  </r>
  <r>
    <x v="5"/>
    <s v="Sportage EV"/>
    <x v="5"/>
    <s v="Long Range"/>
    <n v="76787.3"/>
    <n v="75.400000000000006"/>
    <n v="275"/>
    <n v="171"/>
    <s v="SUV"/>
    <n v="4"/>
    <s v="South Korea"/>
    <s v="Premium"/>
    <n v="116634"/>
    <n v="3.71"/>
    <n v="3"/>
    <n v="8956009948.2000008"/>
  </r>
  <r>
    <x v="16"/>
    <s v="SU7"/>
    <x v="5"/>
    <s v="Premium"/>
    <n v="55513.599999999999"/>
    <n v="48.7"/>
    <n v="150"/>
    <n v="162"/>
    <s v="Sedan"/>
    <n v="4"/>
    <s v="China"/>
    <s v="Mid-range"/>
    <n v="22327"/>
    <n v="3.32"/>
    <n v="4"/>
    <n v="1239452147.2"/>
  </r>
  <r>
    <x v="9"/>
    <s v="i4"/>
    <x v="5"/>
    <s v="Base"/>
    <n v="84529.75"/>
    <n v="77.3"/>
    <n v="276"/>
    <n v="176"/>
    <s v="Hatchback"/>
    <n v="4"/>
    <s v="Germany"/>
    <s v="Premium"/>
    <n v="25679"/>
    <n v="3.71"/>
    <n v="7"/>
    <n v="2170639450.25"/>
  </r>
  <r>
    <x v="2"/>
    <s v="Model S"/>
    <x v="5"/>
    <s v="Base"/>
    <n v="97308.1"/>
    <n v="56.4"/>
    <n v="188"/>
    <n v="153"/>
    <s v="SUV"/>
    <n v="4"/>
    <s v="US"/>
    <s v="Premium"/>
    <n v="239872"/>
    <n v="3.7"/>
    <n v="5"/>
    <n v="23341488563.200001"/>
  </r>
  <r>
    <x v="2"/>
    <s v="Model X"/>
    <x v="5"/>
    <s v="Premium"/>
    <n v="35653.980000000003"/>
    <n v="52"/>
    <n v="162"/>
    <n v="146"/>
    <s v="Truck"/>
    <n v="4"/>
    <s v="US"/>
    <s v="Mid-range"/>
    <n v="228295"/>
    <n v="3.58"/>
    <n v="4"/>
    <n v="8139625364.1000004"/>
  </r>
  <r>
    <x v="6"/>
    <s v="Ioniq 6"/>
    <x v="5"/>
    <s v="Long Range"/>
    <n v="80040.399999999994"/>
    <n v="81.099999999999994"/>
    <n v="284"/>
    <n v="181"/>
    <s v="Truck"/>
    <n v="5"/>
    <s v="South Korea"/>
    <s v="Premium"/>
    <n v="146157"/>
    <n v="3.67"/>
    <n v="4"/>
    <n v="11698464742.799999"/>
  </r>
  <r>
    <x v="12"/>
    <s v="Equinox EV"/>
    <x v="5"/>
    <s v="Base"/>
    <n v="64750.83"/>
    <n v="60.4"/>
    <n v="230"/>
    <n v="137"/>
    <s v="SUV"/>
    <n v="4"/>
    <s v="US"/>
    <s v="Mid-range"/>
    <n v="23069"/>
    <n v="3.62"/>
    <n v="5"/>
    <n v="1493736897.27"/>
  </r>
  <r>
    <x v="15"/>
    <s v="Taycan"/>
    <x v="5"/>
    <s v="Premium"/>
    <n v="111303.96"/>
    <n v="67.099999999999994"/>
    <n v="242"/>
    <n v="145"/>
    <s v="Van"/>
    <n v="5"/>
    <s v="Germany"/>
    <s v="Luxury"/>
    <n v="5234"/>
    <n v="3.75"/>
    <n v="6"/>
    <n v="582564926.63999999"/>
  </r>
  <r>
    <x v="13"/>
    <s v="EQE"/>
    <x v="5"/>
    <s v="Premium"/>
    <n v="198768.13"/>
    <n v="55.6"/>
    <n v="194"/>
    <n v="170"/>
    <s v="SUV"/>
    <n v="5"/>
    <s v="Germany"/>
    <s v="Luxury"/>
    <n v="77200"/>
    <n v="3.68"/>
    <n v="6"/>
    <n v="15344899636"/>
  </r>
  <r>
    <x v="7"/>
    <s v="ID. Buzz"/>
    <x v="5"/>
    <s v="Premium"/>
    <n v="116578.08"/>
    <n v="55.4"/>
    <n v="182"/>
    <n v="147"/>
    <s v="Van"/>
    <n v="3"/>
    <s v="Germany"/>
    <s v="Luxury"/>
    <n v="202014"/>
    <n v="3.21"/>
    <n v="3"/>
    <n v="23550404253.119999"/>
  </r>
  <r>
    <x v="4"/>
    <s v="e-tron"/>
    <x v="5"/>
    <s v="Standard"/>
    <n v="77807.960000000006"/>
    <n v="46.7"/>
    <n v="186"/>
    <n v="131"/>
    <s v="Van"/>
    <n v="5"/>
    <s v="Germany"/>
    <s v="Premium"/>
    <n v="67104"/>
    <n v="3.14"/>
    <n v="5"/>
    <n v="5221225347.8400002"/>
  </r>
  <r>
    <x v="7"/>
    <s v="ID.4"/>
    <x v="5"/>
    <s v="Base"/>
    <n v="78903.539999999994"/>
    <n v="67.099999999999994"/>
    <n v="237"/>
    <n v="169"/>
    <s v="Van"/>
    <n v="5"/>
    <s v="Germany"/>
    <s v="Premium"/>
    <n v="283626"/>
    <n v="3.43"/>
    <n v="4"/>
    <n v="22379095436.039997"/>
  </r>
  <r>
    <x v="4"/>
    <s v="Q4 e-tron"/>
    <x v="5"/>
    <s v="Standard"/>
    <n v="119850.54"/>
    <n v="74.400000000000006"/>
    <n v="257"/>
    <n v="160"/>
    <s v="Sedan"/>
    <n v="5"/>
    <s v="Germany"/>
    <s v="Luxury"/>
    <n v="48973"/>
    <n v="3.68"/>
    <n v="6"/>
    <n v="5869440495.4200001"/>
  </r>
  <r>
    <x v="3"/>
    <s v="Atto 3"/>
    <x v="5"/>
    <s v="Premium"/>
    <n v="45553.77"/>
    <n v="71.900000000000006"/>
    <n v="240"/>
    <n v="134"/>
    <s v="SUV"/>
    <n v="5"/>
    <s v="China"/>
    <s v="Mid-range"/>
    <n v="119429"/>
    <n v="3.24"/>
    <n v="5"/>
    <n v="5440441197.3299999"/>
  </r>
  <r>
    <x v="3"/>
    <s v="Atto 3"/>
    <x v="5"/>
    <s v="Premium"/>
    <n v="26326.68"/>
    <n v="42.7"/>
    <n v="150"/>
    <n v="152"/>
    <s v="Van"/>
    <n v="4"/>
    <s v="China"/>
    <s v="Budget"/>
    <n v="129109"/>
    <n v="3.09"/>
    <n v="4"/>
    <n v="3399011328.1199999"/>
  </r>
  <r>
    <x v="2"/>
    <s v="Model 3"/>
    <x v="5"/>
    <s v="Premium"/>
    <n v="130541.56"/>
    <n v="71.2"/>
    <n v="238"/>
    <n v="152"/>
    <s v="Hatchback"/>
    <n v="4"/>
    <s v="US"/>
    <s v="Luxury"/>
    <n v="190536"/>
    <n v="3.76"/>
    <n v="5"/>
    <n v="24872866676.16"/>
  </r>
  <r>
    <x v="1"/>
    <s v="Ronin"/>
    <x v="5"/>
    <s v="Base"/>
    <n v="60986.5"/>
    <n v="42.7"/>
    <n v="150"/>
    <n v="137"/>
    <s v="Van"/>
    <n v="5"/>
    <s v="US"/>
    <s v="Mid-range"/>
    <n v="2488"/>
    <n v="3.18"/>
    <n v="4"/>
    <n v="151734412"/>
  </r>
  <r>
    <x v="3"/>
    <s v="Leaf 50X"/>
    <x v="5"/>
    <s v="Premium"/>
    <n v="96175.42"/>
    <n v="50.5"/>
    <n v="159"/>
    <n v="164"/>
    <s v="Hatchback"/>
    <n v="3"/>
    <s v="China"/>
    <s v="Premium"/>
    <n v="232340"/>
    <n v="3.27"/>
    <n v="5"/>
    <n v="22345397082.799999"/>
  </r>
  <r>
    <x v="9"/>
    <s v="i7"/>
    <x v="5"/>
    <s v="Performance"/>
    <n v="162797.03"/>
    <n v="103.1"/>
    <n v="369"/>
    <n v="193"/>
    <s v="Van"/>
    <n v="5"/>
    <s v="Germany"/>
    <s v="Luxury"/>
    <n v="27119"/>
    <n v="3.48"/>
    <n v="6"/>
    <n v="4414892656.5699997"/>
  </r>
  <r>
    <x v="8"/>
    <s v="Explorer EV"/>
    <x v="5"/>
    <s v="Premium"/>
    <n v="59495.32"/>
    <n v="76.8"/>
    <n v="282"/>
    <n v="161"/>
    <s v="Truck"/>
    <n v="5"/>
    <s v="US"/>
    <s v="Mid-range"/>
    <n v="62617"/>
    <n v="3.81"/>
    <n v="5"/>
    <n v="3725418452.4400001"/>
  </r>
  <r>
    <x v="1"/>
    <s v="Ocean"/>
    <x v="5"/>
    <s v="Long Range"/>
    <n v="66660.45"/>
    <n v="93.7"/>
    <n v="290"/>
    <n v="186"/>
    <s v="Coupe"/>
    <n v="5"/>
    <s v="US"/>
    <s v="Premium"/>
    <n v="12789"/>
    <n v="3.33"/>
    <n v="4"/>
    <n v="852520495.04999995"/>
  </r>
  <r>
    <x v="6"/>
    <s v="i30"/>
    <x v="5"/>
    <s v="Long Range"/>
    <n v="70681.91"/>
    <n v="86.7"/>
    <n v="309"/>
    <n v="176"/>
    <s v="SUV"/>
    <n v="4"/>
    <s v="South Korea"/>
    <s v="Premium"/>
    <n v="50014"/>
    <n v="3.59"/>
    <n v="4"/>
    <n v="3535085046.7400002"/>
  </r>
  <r>
    <x v="13"/>
    <s v="EQS"/>
    <x v="5"/>
    <s v="Performance"/>
    <n v="94342.22"/>
    <n v="95.8"/>
    <n v="324"/>
    <n v="192"/>
    <s v="SUV"/>
    <n v="4"/>
    <s v="Germany"/>
    <s v="Premium"/>
    <n v="56423"/>
    <n v="3.88"/>
    <n v="7"/>
    <n v="5323071079.0600004"/>
  </r>
  <r>
    <x v="2"/>
    <s v="Model X"/>
    <x v="5"/>
    <s v="Long Range"/>
    <n v="100199.56"/>
    <n v="90.8"/>
    <n v="321"/>
    <n v="171"/>
    <s v="Hatchback"/>
    <n v="4"/>
    <s v="US"/>
    <s v="Luxury"/>
    <n v="197625"/>
    <n v="3.78"/>
    <n v="5"/>
    <n v="19801938045"/>
  </r>
  <r>
    <x v="2"/>
    <s v="Model Y"/>
    <x v="5"/>
    <s v="Performance"/>
    <n v="135068.35"/>
    <n v="116.4"/>
    <n v="393"/>
    <n v="193"/>
    <s v="Sedan"/>
    <n v="5"/>
    <s v="US"/>
    <s v="Luxury"/>
    <n v="419874"/>
    <n v="4.32"/>
    <n v="6"/>
    <n v="56711688387.900002"/>
  </r>
  <r>
    <x v="2"/>
    <s v="Model Y"/>
    <x v="5"/>
    <s v="Standard"/>
    <n v="28188.639999999999"/>
    <n v="40.299999999999997"/>
    <n v="150"/>
    <n v="141"/>
    <s v="SUV"/>
    <n v="3"/>
    <s v="US"/>
    <s v="Budget"/>
    <n v="412935"/>
    <n v="3.53"/>
    <n v="4"/>
    <n v="11640076058.4"/>
  </r>
  <r>
    <x v="3"/>
    <s v="Yuan Plus"/>
    <x v="5"/>
    <s v="Standard"/>
    <n v="32633.03"/>
    <n v="80"/>
    <n v="279"/>
    <n v="144"/>
    <s v="Truck"/>
    <n v="5"/>
    <s v="China"/>
    <s v="Budget"/>
    <n v="106393"/>
    <n v="3.6"/>
    <n v="5"/>
    <n v="3471925960.79"/>
  </r>
  <r>
    <x v="2"/>
    <s v="Model S"/>
    <x v="5"/>
    <s v="Performance"/>
    <n v="61791.69"/>
    <n v="82"/>
    <n v="283"/>
    <n v="200"/>
    <s v="Sedan"/>
    <n v="5"/>
    <s v="US"/>
    <s v="Mid-range"/>
    <n v="214239"/>
    <n v="3.64"/>
    <n v="6"/>
    <n v="13238189873.91"/>
  </r>
  <r>
    <x v="6"/>
    <s v="Ioniq 5"/>
    <x v="5"/>
    <s v="Performance"/>
    <n v="97448.38"/>
    <n v="102"/>
    <n v="335"/>
    <n v="187"/>
    <s v="Coupe"/>
    <n v="3"/>
    <s v="South Korea"/>
    <s v="Premium"/>
    <n v="81695"/>
    <n v="3.65"/>
    <n v="3"/>
    <n v="7961045404.1000004"/>
  </r>
  <r>
    <x v="14"/>
    <s v="ET6"/>
    <x v="5"/>
    <s v="Base"/>
    <n v="75082.66"/>
    <n v="69"/>
    <n v="236"/>
    <n v="173"/>
    <s v="Sedan"/>
    <n v="5"/>
    <s v="China"/>
    <s v="Premium"/>
    <n v="6090"/>
    <n v="3.63"/>
    <n v="4"/>
    <n v="457253399.40000004"/>
  </r>
  <r>
    <x v="2"/>
    <s v="Model Y"/>
    <x v="5"/>
    <s v="Premium"/>
    <n v="56042.12"/>
    <n v="66.900000000000006"/>
    <n v="222"/>
    <n v="139"/>
    <s v="Coupe"/>
    <n v="4"/>
    <s v="US"/>
    <s v="Mid-range"/>
    <n v="439817"/>
    <n v="3.53"/>
    <n v="4"/>
    <n v="24648277092.040001"/>
  </r>
  <r>
    <x v="2"/>
    <s v="Model Y"/>
    <x v="5"/>
    <s v="Base"/>
    <n v="102064.68"/>
    <n v="49.3"/>
    <n v="183"/>
    <n v="163"/>
    <s v="SUV"/>
    <n v="5"/>
    <s v="US"/>
    <s v="Luxury"/>
    <n v="469259"/>
    <n v="3.73"/>
    <n v="4"/>
    <n v="47894769672.119995"/>
  </r>
  <r>
    <x v="11"/>
    <s v="R3"/>
    <x v="5"/>
    <s v="Long Range"/>
    <n v="105185.41"/>
    <n v="109.2"/>
    <n v="352"/>
    <n v="187"/>
    <s v="Hatchback"/>
    <n v="4"/>
    <s v="US"/>
    <s v="Luxury"/>
    <n v="20140"/>
    <n v="3.46"/>
    <n v="5"/>
    <n v="2118434157.4000001"/>
  </r>
  <r>
    <x v="2"/>
    <s v="Model X"/>
    <x v="5"/>
    <s v="Premium"/>
    <n v="155604.37"/>
    <n v="46.7"/>
    <n v="150"/>
    <n v="177"/>
    <s v="Van"/>
    <n v="4"/>
    <s v="US"/>
    <s v="Luxury"/>
    <n v="240825"/>
    <n v="3.17"/>
    <n v="6"/>
    <n v="37473422405.25"/>
  </r>
  <r>
    <x v="9"/>
    <s v="i4"/>
    <x v="5"/>
    <s v="Premium"/>
    <n v="134002.07"/>
    <n v="78.3"/>
    <n v="245"/>
    <n v="132"/>
    <s v="Coupe"/>
    <n v="5"/>
    <s v="Germany"/>
    <s v="Luxury"/>
    <n v="54751"/>
    <n v="3.42"/>
    <n v="8"/>
    <n v="7336747334.5700006"/>
  </r>
  <r>
    <x v="13"/>
    <s v="EQE"/>
    <x v="5"/>
    <s v="Base"/>
    <n v="125283.58"/>
    <n v="75.599999999999994"/>
    <n v="264"/>
    <n v="138"/>
    <s v="Truck"/>
    <n v="4"/>
    <s v="Germany"/>
    <s v="Luxury"/>
    <n v="50741"/>
    <n v="4.1900000000000004"/>
    <n v="7"/>
    <n v="6357014132.7799997"/>
  </r>
  <r>
    <x v="2"/>
    <s v="Model 3"/>
    <x v="5"/>
    <s v="Premium"/>
    <n v="127858.88"/>
    <n v="71.8"/>
    <n v="285"/>
    <n v="142"/>
    <s v="SUV"/>
    <n v="5"/>
    <s v="US"/>
    <s v="Luxury"/>
    <n v="125874"/>
    <n v="3.89"/>
    <n v="4"/>
    <n v="16094108661.120001"/>
  </r>
  <r>
    <x v="2"/>
    <s v="Cybertruck"/>
    <x v="5"/>
    <s v="Standard"/>
    <n v="114028.98"/>
    <n v="65.3"/>
    <n v="249"/>
    <n v="137"/>
    <s v="Truck"/>
    <n v="5"/>
    <s v="US"/>
    <s v="Luxury"/>
    <n v="169238"/>
    <n v="3.54"/>
    <n v="4"/>
    <n v="19298036517.239998"/>
  </r>
  <r>
    <x v="1"/>
    <s v="Ocean"/>
    <x v="5"/>
    <s v="Standard"/>
    <n v="47756.59"/>
    <n v="60.7"/>
    <n v="225"/>
    <n v="158"/>
    <s v="Sedan"/>
    <n v="4"/>
    <s v="US"/>
    <s v="Mid-range"/>
    <n v="6983"/>
    <n v="3.23"/>
    <n v="3"/>
    <n v="333484267.96999997"/>
  </r>
  <r>
    <x v="6"/>
    <s v="i30"/>
    <x v="5"/>
    <s v="Standard"/>
    <n v="33127.96"/>
    <n v="41.6"/>
    <n v="164"/>
    <n v="129"/>
    <s v="SUV"/>
    <n v="5"/>
    <s v="South Korea"/>
    <s v="Budget"/>
    <n v="138439"/>
    <n v="3.06"/>
    <n v="5"/>
    <n v="4586201654.4399996"/>
  </r>
  <r>
    <x v="5"/>
    <s v="Niro EV"/>
    <x v="5"/>
    <s v="Premium"/>
    <n v="52664.7"/>
    <n v="45"/>
    <n v="151"/>
    <n v="133"/>
    <s v="SUV"/>
    <n v="5"/>
    <s v="South Korea"/>
    <s v="Mid-range"/>
    <n v="62015"/>
    <n v="3.3"/>
    <n v="3"/>
    <n v="3266001370.5"/>
  </r>
  <r>
    <x v="11"/>
    <s v="R2"/>
    <x v="5"/>
    <s v="Premium"/>
    <n v="100224.89"/>
    <n v="43.2"/>
    <n v="157"/>
    <n v="137"/>
    <s v="Sedan"/>
    <n v="4"/>
    <s v="US"/>
    <s v="Luxury"/>
    <n v="10726"/>
    <n v="3"/>
    <n v="6"/>
    <n v="1075012170.1400001"/>
  </r>
  <r>
    <x v="9"/>
    <s v="i4"/>
    <x v="5"/>
    <s v="Base"/>
    <n v="66795.11"/>
    <n v="65"/>
    <n v="246"/>
    <n v="171"/>
    <s v="Coupe"/>
    <n v="5"/>
    <s v="Germany"/>
    <s v="Premium"/>
    <n v="50876"/>
    <n v="3.34"/>
    <n v="6"/>
    <n v="3398268016.3600001"/>
  </r>
  <r>
    <x v="9"/>
    <s v="i3"/>
    <x v="5"/>
    <s v="Long Range"/>
    <n v="102396.37"/>
    <n v="96.6"/>
    <n v="340"/>
    <n v="184"/>
    <s v="Hatchback"/>
    <n v="5"/>
    <s v="Germany"/>
    <s v="Luxury"/>
    <n v="35285"/>
    <n v="3.65"/>
    <n v="5"/>
    <n v="3613055915.4499998"/>
  </r>
  <r>
    <x v="3"/>
    <s v="Seagull"/>
    <x v="5"/>
    <s v="Long Range"/>
    <n v="53276.57"/>
    <n v="102.1"/>
    <n v="367"/>
    <n v="177"/>
    <s v="Coupe"/>
    <n v="4"/>
    <s v="China"/>
    <s v="Mid-range"/>
    <n v="242908"/>
    <n v="4.26"/>
    <n v="3"/>
    <n v="12941305065.559999"/>
  </r>
  <r>
    <x v="9"/>
    <s v="i5"/>
    <x v="5"/>
    <s v="Base"/>
    <n v="102104.07"/>
    <n v="55.1"/>
    <n v="174"/>
    <n v="165"/>
    <s v="SUV"/>
    <n v="3"/>
    <s v="Germany"/>
    <s v="Luxury"/>
    <n v="30235"/>
    <n v="3.27"/>
    <n v="6"/>
    <n v="3087116556.4500003"/>
  </r>
  <r>
    <x v="7"/>
    <s v="ID.3"/>
    <x v="5"/>
    <s v="Standard"/>
    <n v="62840.41"/>
    <n v="71.400000000000006"/>
    <n v="268"/>
    <n v="159"/>
    <s v="Hatchback"/>
    <n v="5"/>
    <s v="Germany"/>
    <s v="Mid-range"/>
    <n v="242781"/>
    <n v="3.79"/>
    <n v="4"/>
    <n v="15256457580.210001"/>
  </r>
  <r>
    <x v="2"/>
    <s v="Model S"/>
    <x v="5"/>
    <s v="Premium"/>
    <n v="84149.31"/>
    <n v="75.3"/>
    <n v="252"/>
    <n v="143"/>
    <s v="Sedan"/>
    <n v="4"/>
    <s v="US"/>
    <s v="Premium"/>
    <n v="224851"/>
    <n v="3.64"/>
    <n v="6"/>
    <n v="18921056502.810001"/>
  </r>
  <r>
    <x v="9"/>
    <s v="iX"/>
    <x v="5"/>
    <s v="Standard"/>
    <n v="71216.91"/>
    <n v="62.4"/>
    <n v="239"/>
    <n v="171"/>
    <s v="Van"/>
    <n v="4"/>
    <s v="Germany"/>
    <s v="Premium"/>
    <n v="70121"/>
    <n v="3.47"/>
    <n v="7"/>
    <n v="4993800946.1100006"/>
  </r>
  <r>
    <x v="7"/>
    <s v="ID. Buzz"/>
    <x v="5"/>
    <s v="Standard"/>
    <n v="87726.28"/>
    <n v="40.6"/>
    <n v="161"/>
    <n v="133"/>
    <s v="Van"/>
    <n v="5"/>
    <s v="Germany"/>
    <s v="Premium"/>
    <n v="253183"/>
    <n v="3.49"/>
    <n v="3"/>
    <n v="22210802749.239998"/>
  </r>
  <r>
    <x v="4"/>
    <s v="Q6 e-tron"/>
    <x v="5"/>
    <s v="Performance"/>
    <n v="99175.33"/>
    <n v="93.3"/>
    <n v="334"/>
    <n v="185"/>
    <s v="Coupe"/>
    <n v="5"/>
    <s v="Germany"/>
    <s v="Premium"/>
    <n v="77677"/>
    <n v="3.68"/>
    <n v="6"/>
    <n v="7703642108.4099998"/>
  </r>
  <r>
    <x v="7"/>
    <s v="ID. Aero"/>
    <x v="5"/>
    <s v="Standard"/>
    <n v="87997.46"/>
    <n v="42.5"/>
    <n v="150"/>
    <n v="129"/>
    <s v="SUV"/>
    <n v="4"/>
    <s v="Germany"/>
    <s v="Premium"/>
    <n v="228031"/>
    <n v="3.16"/>
    <n v="4"/>
    <n v="20066148801.260002"/>
  </r>
  <r>
    <x v="3"/>
    <s v="Leaf 50X"/>
    <x v="5"/>
    <s v="Base"/>
    <n v="25853.85"/>
    <n v="83.7"/>
    <n v="278"/>
    <n v="157"/>
    <s v="Truck"/>
    <n v="5"/>
    <s v="China"/>
    <s v="Budget"/>
    <n v="106382"/>
    <n v="3.56"/>
    <n v="4"/>
    <n v="2750384270.6999998"/>
  </r>
  <r>
    <x v="9"/>
    <s v="i3"/>
    <x v="5"/>
    <s v="Long Range"/>
    <n v="66806.73"/>
    <n v="104.8"/>
    <n v="353"/>
    <n v="170"/>
    <s v="Coupe"/>
    <n v="4"/>
    <s v="Germany"/>
    <s v="Premium"/>
    <n v="37357"/>
    <n v="3.74"/>
    <n v="7"/>
    <n v="2495699012.6099997"/>
  </r>
  <r>
    <x v="8"/>
    <s v="F-150 Lightning"/>
    <x v="5"/>
    <s v="Long Range"/>
    <n v="69759.03"/>
    <n v="87.5"/>
    <n v="324"/>
    <n v="162"/>
    <s v="Truck"/>
    <n v="4"/>
    <s v="US"/>
    <s v="Premium"/>
    <n v="57497"/>
    <n v="3.67"/>
    <n v="4"/>
    <n v="4010934947.9099998"/>
  </r>
  <r>
    <x v="2"/>
    <s v="Model X"/>
    <x v="5"/>
    <s v="Long Range"/>
    <n v="119926.96"/>
    <n v="80.900000000000006"/>
    <n v="277"/>
    <n v="177"/>
    <s v="Van"/>
    <n v="4"/>
    <s v="US"/>
    <s v="Luxury"/>
    <n v="137895"/>
    <n v="4.12"/>
    <n v="5"/>
    <n v="16537328149.200001"/>
  </r>
  <r>
    <x v="7"/>
    <s v="ID.3"/>
    <x v="5"/>
    <s v="Base"/>
    <n v="73427.05"/>
    <n v="43.7"/>
    <n v="150"/>
    <n v="164"/>
    <s v="Hatchback"/>
    <n v="4"/>
    <s v="Germany"/>
    <s v="Premium"/>
    <n v="258880"/>
    <n v="3.26"/>
    <n v="4"/>
    <n v="19008794704"/>
  </r>
  <r>
    <x v="7"/>
    <s v="ID. Aero"/>
    <x v="5"/>
    <s v="Long Range"/>
    <n v="61721.97"/>
    <n v="88.9"/>
    <n v="293"/>
    <n v="174"/>
    <s v="SUV"/>
    <n v="4"/>
    <s v="Germany"/>
    <s v="Mid-range"/>
    <n v="292808"/>
    <n v="3.65"/>
    <n v="3"/>
    <n v="18072686591.760002"/>
  </r>
  <r>
    <x v="7"/>
    <s v="ID.4"/>
    <x v="5"/>
    <s v="Base"/>
    <n v="70848.39"/>
    <n v="47.9"/>
    <n v="178"/>
    <n v="160"/>
    <s v="Hatchback"/>
    <n v="4"/>
    <s v="Germany"/>
    <s v="Premium"/>
    <n v="282558"/>
    <n v="3.33"/>
    <n v="4"/>
    <n v="20018779381.619999"/>
  </r>
  <r>
    <x v="2"/>
    <s v="Model Y"/>
    <x v="5"/>
    <s v="Long Range"/>
    <n v="139788.5"/>
    <n v="103.7"/>
    <n v="335"/>
    <n v="164"/>
    <s v="Coupe"/>
    <n v="4"/>
    <s v="US"/>
    <s v="Luxury"/>
    <n v="402120"/>
    <n v="3.78"/>
    <n v="5"/>
    <n v="56211751620"/>
  </r>
  <r>
    <x v="9"/>
    <s v="i3"/>
    <x v="5"/>
    <s v="Premium"/>
    <n v="108403.17"/>
    <n v="84.9"/>
    <n v="286"/>
    <n v="165"/>
    <s v="Truck"/>
    <n v="5"/>
    <s v="Germany"/>
    <s v="Luxury"/>
    <n v="60610"/>
    <n v="3.5"/>
    <n v="8"/>
    <n v="6570316133.6999998"/>
  </r>
  <r>
    <x v="3"/>
    <s v="Atto 3"/>
    <x v="5"/>
    <s v="Long Range"/>
    <n v="28903.55"/>
    <n v="96.2"/>
    <n v="330"/>
    <n v="180"/>
    <s v="Hatchback"/>
    <n v="4"/>
    <s v="China"/>
    <s v="Budget"/>
    <n v="225650"/>
    <n v="3.6"/>
    <n v="3"/>
    <n v="6522086057.5"/>
  </r>
  <r>
    <x v="7"/>
    <s v="ID. Buzz"/>
    <x v="5"/>
    <s v="Premium"/>
    <n v="88650.96"/>
    <n v="83.9"/>
    <n v="297"/>
    <n v="146"/>
    <s v="Sedan"/>
    <n v="4"/>
    <s v="Germany"/>
    <s v="Premium"/>
    <n v="243258"/>
    <n v="3.56"/>
    <n v="5"/>
    <n v="21565055227.68"/>
  </r>
  <r>
    <x v="8"/>
    <s v="Explorer EV"/>
    <x v="5"/>
    <s v="Base"/>
    <n v="31999.38"/>
    <n v="73.5"/>
    <n v="219"/>
    <n v="163"/>
    <s v="Truck"/>
    <n v="4"/>
    <s v="US"/>
    <s v="Budget"/>
    <n v="25220"/>
    <n v="3.43"/>
    <n v="4"/>
    <n v="807024363.60000002"/>
  </r>
  <r>
    <x v="8"/>
    <s v="E-Transit"/>
    <x v="5"/>
    <s v="Long Range"/>
    <n v="97440.5"/>
    <n v="95"/>
    <n v="331"/>
    <n v="173"/>
    <s v="Coupe"/>
    <n v="4"/>
    <s v="US"/>
    <s v="Premium"/>
    <n v="26936"/>
    <n v="3.72"/>
    <n v="4"/>
    <n v="2624657308"/>
  </r>
  <r>
    <x v="2"/>
    <s v="Model X"/>
    <x v="5"/>
    <s v="Premium"/>
    <n v="133807.79999999999"/>
    <n v="41.7"/>
    <n v="150"/>
    <n v="161"/>
    <s v="Truck"/>
    <n v="4"/>
    <s v="US"/>
    <s v="Luxury"/>
    <n v="225294"/>
    <n v="3.41"/>
    <n v="5"/>
    <n v="30146094493.199997"/>
  </r>
  <r>
    <x v="2"/>
    <s v="Model S"/>
    <x v="5"/>
    <s v="Long Range"/>
    <n v="43022.879999999997"/>
    <n v="101.7"/>
    <n v="396"/>
    <n v="178"/>
    <s v="Coupe"/>
    <n v="5"/>
    <s v="US"/>
    <s v="Mid-range"/>
    <n v="177801"/>
    <n v="4.2"/>
    <n v="6"/>
    <n v="7649511086.8799992"/>
  </r>
  <r>
    <x v="9"/>
    <s v="i5"/>
    <x v="5"/>
    <s v="Long Range"/>
    <n v="119539.21"/>
    <n v="109.1"/>
    <n v="391"/>
    <n v="183"/>
    <s v="Sedan"/>
    <n v="3"/>
    <s v="Germany"/>
    <s v="Luxury"/>
    <n v="49676"/>
    <n v="3.74"/>
    <n v="6"/>
    <n v="5938229795.96"/>
  </r>
  <r>
    <x v="4"/>
    <s v="e-tron"/>
    <x v="5"/>
    <s v="Base"/>
    <n v="71446.39"/>
    <n v="60.1"/>
    <n v="202"/>
    <n v="150"/>
    <s v="Sedan"/>
    <n v="5"/>
    <s v="Germany"/>
    <s v="Premium"/>
    <n v="60589"/>
    <n v="3.47"/>
    <n v="5"/>
    <n v="4328865323.71"/>
  </r>
  <r>
    <x v="3"/>
    <s v="Atto 3"/>
    <x v="5"/>
    <s v="Base"/>
    <n v="61646.7"/>
    <n v="48.1"/>
    <n v="150"/>
    <n v="145"/>
    <s v="Truck"/>
    <n v="4"/>
    <s v="China"/>
    <s v="Mid-range"/>
    <n v="115977"/>
    <n v="3.16"/>
    <n v="4"/>
    <n v="7149599325.8999996"/>
  </r>
  <r>
    <x v="2"/>
    <s v="Model 3"/>
    <x v="5"/>
    <s v="Long Range"/>
    <n v="112948.48"/>
    <n v="78.099999999999994"/>
    <n v="261"/>
    <n v="169"/>
    <s v="Truck"/>
    <n v="5"/>
    <s v="US"/>
    <s v="Luxury"/>
    <n v="130244"/>
    <n v="3.47"/>
    <n v="4"/>
    <n v="14710861829.119999"/>
  </r>
  <r>
    <x v="6"/>
    <s v="Kona Electric"/>
    <x v="5"/>
    <s v="Performance"/>
    <n v="91101"/>
    <n v="93.1"/>
    <n v="300"/>
    <n v="193"/>
    <s v="Van"/>
    <n v="5"/>
    <s v="South Korea"/>
    <s v="Premium"/>
    <n v="95350"/>
    <n v="3.54"/>
    <n v="4"/>
    <n v="8686480350"/>
  </r>
  <r>
    <x v="3"/>
    <s v="Atto 3"/>
    <x v="5"/>
    <s v="Long Range"/>
    <n v="104231.93"/>
    <n v="79.599999999999994"/>
    <n v="254"/>
    <n v="186"/>
    <s v="Van"/>
    <n v="4"/>
    <s v="China"/>
    <s v="Luxury"/>
    <n v="190907"/>
    <n v="3.49"/>
    <n v="4"/>
    <n v="19898605060.509998"/>
  </r>
  <r>
    <x v="8"/>
    <s v="Mustang Mach-E"/>
    <x v="5"/>
    <s v="Standard"/>
    <n v="68547.740000000005"/>
    <n v="40.5"/>
    <n v="153"/>
    <n v="168"/>
    <s v="Coupe"/>
    <n v="5"/>
    <s v="US"/>
    <s v="Premium"/>
    <n v="25642"/>
    <n v="3.34"/>
    <n v="5"/>
    <n v="1757701149.0800002"/>
  </r>
  <r>
    <x v="5"/>
    <s v="EV6"/>
    <x v="5"/>
    <s v="Long Range"/>
    <n v="46513"/>
    <n v="99"/>
    <n v="349"/>
    <n v="182"/>
    <s v="Truck"/>
    <n v="4"/>
    <s v="South Korea"/>
    <s v="Mid-range"/>
    <n v="124966"/>
    <n v="3.94"/>
    <n v="4"/>
    <n v="5812543558"/>
  </r>
  <r>
    <x v="12"/>
    <s v="Bolt EV"/>
    <x v="5"/>
    <s v="Base"/>
    <n v="34507.25"/>
    <n v="66.400000000000006"/>
    <n v="230"/>
    <n v="167"/>
    <s v="Truck"/>
    <n v="5"/>
    <s v="US"/>
    <s v="Budget"/>
    <n v="18832"/>
    <n v="3.2"/>
    <n v="4"/>
    <n v="649840532"/>
  </r>
  <r>
    <x v="2"/>
    <s v="Model X"/>
    <x v="5"/>
    <s v="Base"/>
    <n v="30686.17"/>
    <n v="65.2"/>
    <n v="245"/>
    <n v="138"/>
    <s v="Sedan"/>
    <n v="5"/>
    <s v="US"/>
    <s v="Budget"/>
    <n v="248383"/>
    <n v="3.55"/>
    <n v="4"/>
    <n v="7621922963.1099997"/>
  </r>
  <r>
    <x v="9"/>
    <s v="i3"/>
    <x v="5"/>
    <s v="Standard"/>
    <n v="75699.03"/>
    <n v="67.400000000000006"/>
    <n v="240"/>
    <n v="172"/>
    <s v="Sedan"/>
    <n v="5"/>
    <s v="Germany"/>
    <s v="Premium"/>
    <n v="23009"/>
    <n v="3.46"/>
    <n v="6"/>
    <n v="1741758981.27"/>
  </r>
  <r>
    <x v="2"/>
    <s v="Model S"/>
    <x v="5"/>
    <s v="Premium"/>
    <n v="102510.62"/>
    <n v="40.799999999999997"/>
    <n v="150"/>
    <n v="140"/>
    <s v="Coupe"/>
    <n v="4"/>
    <s v="US"/>
    <s v="Luxury"/>
    <n v="206373"/>
    <n v="3.59"/>
    <n v="6"/>
    <n v="21155424181.259998"/>
  </r>
  <r>
    <x v="12"/>
    <s v="Bolt EUV"/>
    <x v="5"/>
    <s v="Long Range"/>
    <n v="74596.820000000007"/>
    <n v="94.2"/>
    <n v="323"/>
    <n v="178"/>
    <s v="Truck"/>
    <n v="4"/>
    <s v="US"/>
    <s v="Premium"/>
    <n v="14842"/>
    <n v="3.62"/>
    <n v="5"/>
    <n v="1107166002.4400001"/>
  </r>
  <r>
    <x v="2"/>
    <s v="Model S"/>
    <x v="5"/>
    <s v="Base"/>
    <n v="93767.76"/>
    <n v="58.4"/>
    <n v="202"/>
    <n v="133"/>
    <s v="Sedan"/>
    <n v="4"/>
    <s v="US"/>
    <s v="Premium"/>
    <n v="129076"/>
    <n v="3.36"/>
    <n v="4"/>
    <n v="12103167389.76"/>
  </r>
  <r>
    <x v="9"/>
    <s v="iX"/>
    <x v="5"/>
    <s v="Premium"/>
    <n v="133858.15"/>
    <n v="74.7"/>
    <n v="287"/>
    <n v="169"/>
    <s v="SUV"/>
    <n v="5"/>
    <s v="Germany"/>
    <s v="Luxury"/>
    <n v="27376"/>
    <n v="3.39"/>
    <n v="8"/>
    <n v="3664500714.3999996"/>
  </r>
  <r>
    <x v="3"/>
    <s v="Leaf 50X"/>
    <x v="5"/>
    <s v="Premium"/>
    <n v="71227.02"/>
    <n v="54.5"/>
    <n v="216"/>
    <n v="174"/>
    <s v="Sedan"/>
    <n v="4"/>
    <s v="China"/>
    <s v="Premium"/>
    <n v="114165"/>
    <n v="3.2"/>
    <n v="3"/>
    <n v="8131632738.3000002"/>
  </r>
  <r>
    <x v="9"/>
    <s v="i4"/>
    <x v="5"/>
    <s v="Standard"/>
    <n v="84568.67"/>
    <n v="83.7"/>
    <n v="285"/>
    <n v="143"/>
    <s v="Sedan"/>
    <n v="4"/>
    <s v="Germany"/>
    <s v="Premium"/>
    <n v="62828"/>
    <n v="3.51"/>
    <n v="5"/>
    <n v="5313280398.7600002"/>
  </r>
  <r>
    <x v="5"/>
    <s v="Niro EV"/>
    <x v="5"/>
    <s v="Performance"/>
    <n v="52082.5"/>
    <n v="92.9"/>
    <n v="337"/>
    <n v="200"/>
    <s v="Hatchback"/>
    <n v="5"/>
    <s v="South Korea"/>
    <s v="Mid-range"/>
    <n v="99623"/>
    <n v="3.84"/>
    <n v="4"/>
    <n v="5188614897.5"/>
  </r>
  <r>
    <x v="9"/>
    <s v="iX"/>
    <x v="5"/>
    <s v="Long Range"/>
    <n v="135695.35"/>
    <n v="105.1"/>
    <n v="363"/>
    <n v="192"/>
    <s v="Hatchback"/>
    <n v="4"/>
    <s v="Germany"/>
    <s v="Luxury"/>
    <n v="36974"/>
    <n v="3.78"/>
    <n v="6"/>
    <n v="5017199870.9000006"/>
  </r>
  <r>
    <x v="5"/>
    <s v="Niro EV"/>
    <x v="5"/>
    <s v="Premium"/>
    <n v="65977.95"/>
    <n v="56"/>
    <n v="198"/>
    <n v="130"/>
    <s v="Coupe"/>
    <n v="4"/>
    <s v="South Korea"/>
    <s v="Premium"/>
    <n v="91348"/>
    <n v="3.44"/>
    <n v="5"/>
    <n v="6026953776.5999994"/>
  </r>
  <r>
    <x v="12"/>
    <s v="Bolt EUV"/>
    <x v="5"/>
    <s v="Standard"/>
    <n v="36433.269999999997"/>
    <n v="44.4"/>
    <n v="150"/>
    <n v="161"/>
    <s v="Hatchback"/>
    <n v="5"/>
    <s v="US"/>
    <s v="Mid-range"/>
    <n v="27128"/>
    <n v="3.23"/>
    <n v="3"/>
    <n v="988361748.55999994"/>
  </r>
  <r>
    <x v="12"/>
    <s v="Equinox EV"/>
    <x v="5"/>
    <s v="Long Range"/>
    <n v="49790.46"/>
    <n v="91.9"/>
    <n v="322"/>
    <n v="180"/>
    <s v="SUV"/>
    <n v="5"/>
    <s v="US"/>
    <s v="Mid-range"/>
    <n v="29595"/>
    <n v="3.76"/>
    <n v="4"/>
    <n v="1473548663.7"/>
  </r>
  <r>
    <x v="2"/>
    <s v="Model S"/>
    <x v="5"/>
    <s v="Premium"/>
    <n v="135056.97"/>
    <n v="63"/>
    <n v="231"/>
    <n v="135"/>
    <s v="SUV"/>
    <n v="5"/>
    <s v="US"/>
    <s v="Luxury"/>
    <n v="107596"/>
    <n v="3.88"/>
    <n v="5"/>
    <n v="14531589744.120001"/>
  </r>
  <r>
    <x v="2"/>
    <s v="Model 3"/>
    <x v="5"/>
    <s v="Base"/>
    <n v="50205.39"/>
    <n v="40.299999999999997"/>
    <n v="150"/>
    <n v="169"/>
    <s v="Van"/>
    <n v="3"/>
    <s v="US"/>
    <s v="Mid-range"/>
    <n v="169041"/>
    <n v="3.2"/>
    <n v="4"/>
    <n v="8486769330.9899998"/>
  </r>
  <r>
    <x v="3"/>
    <s v="Max"/>
    <x v="5"/>
    <s v="Base"/>
    <n v="24481.15"/>
    <n v="41.9"/>
    <n v="150"/>
    <n v="137"/>
    <s v="Sedan"/>
    <n v="3"/>
    <s v="China"/>
    <s v="Budget"/>
    <n v="176238"/>
    <n v="3.06"/>
    <n v="3"/>
    <n v="4314508913.6999998"/>
  </r>
  <r>
    <x v="2"/>
    <s v="Cybertruck"/>
    <x v="5"/>
    <s v="Base"/>
    <n v="88007.74"/>
    <n v="64.2"/>
    <n v="223"/>
    <n v="171"/>
    <s v="Truck"/>
    <n v="4"/>
    <s v="US"/>
    <s v="Premium"/>
    <n v="102752"/>
    <n v="3.5"/>
    <n v="6"/>
    <n v="9042971300.4800014"/>
  </r>
  <r>
    <x v="8"/>
    <s v="Explorer EV"/>
    <x v="5"/>
    <s v="Performance"/>
    <n v="75193.899999999994"/>
    <n v="76.099999999999994"/>
    <n v="227"/>
    <n v="193"/>
    <s v="Sedan"/>
    <n v="4"/>
    <s v="US"/>
    <s v="Premium"/>
    <n v="31804"/>
    <n v="3.45"/>
    <n v="3"/>
    <n v="2391466795.5999999"/>
  </r>
  <r>
    <x v="5"/>
    <s v="Niro EV"/>
    <x v="5"/>
    <s v="Performance"/>
    <n v="111745.56"/>
    <n v="82.5"/>
    <n v="289"/>
    <n v="183"/>
    <s v="Truck"/>
    <n v="4"/>
    <s v="South Korea"/>
    <s v="Luxury"/>
    <n v="96875"/>
    <n v="3.43"/>
    <n v="3"/>
    <n v="10825351125"/>
  </r>
  <r>
    <x v="9"/>
    <s v="i5"/>
    <x v="5"/>
    <s v="Standard"/>
    <n v="69328.91"/>
    <n v="57.6"/>
    <n v="225"/>
    <n v="142"/>
    <s v="SUV"/>
    <n v="5"/>
    <s v="Germany"/>
    <s v="Premium"/>
    <n v="73975"/>
    <n v="3.26"/>
    <n v="8"/>
    <n v="5128606117.25"/>
  </r>
  <r>
    <x v="3"/>
    <s v="Seagull"/>
    <x v="5"/>
    <s v="Long Range"/>
    <n v="79832.09"/>
    <n v="92"/>
    <n v="328"/>
    <n v="171"/>
    <s v="SUV"/>
    <n v="5"/>
    <s v="China"/>
    <s v="Premium"/>
    <n v="242291"/>
    <n v="3.55"/>
    <n v="4"/>
    <n v="19342596918.189999"/>
  </r>
  <r>
    <x v="5"/>
    <s v="EV6"/>
    <x v="5"/>
    <s v="Premium"/>
    <n v="61993.33"/>
    <n v="49.9"/>
    <n v="183"/>
    <n v="168"/>
    <s v="Sedan"/>
    <n v="4"/>
    <s v="South Korea"/>
    <s v="Mid-range"/>
    <n v="65237"/>
    <n v="3.14"/>
    <n v="4"/>
    <n v="4044258869.21"/>
  </r>
  <r>
    <x v="12"/>
    <s v="Blazer EV"/>
    <x v="5"/>
    <s v="Long Range"/>
    <n v="34424.61"/>
    <n v="103.6"/>
    <n v="370"/>
    <n v="163"/>
    <s v="Sedan"/>
    <n v="4"/>
    <s v="US"/>
    <s v="Budget"/>
    <n v="20827"/>
    <n v="3.59"/>
    <n v="4"/>
    <n v="716961352.47000003"/>
  </r>
  <r>
    <x v="6"/>
    <s v="Kona Electric"/>
    <x v="5"/>
    <s v="Standard"/>
    <n v="53515.28"/>
    <n v="50.9"/>
    <n v="176"/>
    <n v="147"/>
    <s v="Hatchback"/>
    <n v="5"/>
    <s v="South Korea"/>
    <s v="Mid-range"/>
    <n v="93480"/>
    <n v="3.41"/>
    <n v="4"/>
    <n v="5002608374.3999996"/>
  </r>
  <r>
    <x v="0"/>
    <s v="bZ4X"/>
    <x v="5"/>
    <s v="Standard"/>
    <n v="46568.71"/>
    <n v="69.2"/>
    <n v="216"/>
    <n v="165"/>
    <s v="SUV"/>
    <n v="5"/>
    <s v="Japan"/>
    <s v="Mid-range"/>
    <n v="1982"/>
    <n v="3.52"/>
    <n v="4"/>
    <n v="92299183.219999999"/>
  </r>
  <r>
    <x v="2"/>
    <s v="Model X"/>
    <x v="5"/>
    <s v="Base"/>
    <n v="95625.9"/>
    <n v="64.099999999999994"/>
    <n v="229"/>
    <n v="138"/>
    <s v="Coupe"/>
    <n v="5"/>
    <s v="US"/>
    <s v="Premium"/>
    <n v="233990"/>
    <n v="3.63"/>
    <n v="5"/>
    <n v="22375504341"/>
  </r>
  <r>
    <x v="7"/>
    <s v="ID. Buzz"/>
    <x v="5"/>
    <s v="Standard"/>
    <n v="48208.86"/>
    <n v="79"/>
    <n v="288"/>
    <n v="152"/>
    <s v="Sedan"/>
    <n v="5"/>
    <s v="Germany"/>
    <s v="Mid-range"/>
    <n v="272524"/>
    <n v="3.48"/>
    <n v="3"/>
    <n v="13138071362.639999"/>
  </r>
  <r>
    <x v="7"/>
    <s v="ID.4"/>
    <x v="5"/>
    <s v="Standard"/>
    <n v="76084.88"/>
    <n v="51.2"/>
    <n v="165"/>
    <n v="149"/>
    <s v="Hatchback"/>
    <n v="4"/>
    <s v="Germany"/>
    <s v="Premium"/>
    <n v="264457"/>
    <n v="3.12"/>
    <n v="3"/>
    <n v="20121179110.16"/>
  </r>
  <r>
    <x v="5"/>
    <s v="EV9"/>
    <x v="5"/>
    <s v="Long Range"/>
    <n v="39329.81"/>
    <n v="94"/>
    <n v="300"/>
    <n v="189"/>
    <s v="SUV"/>
    <n v="5"/>
    <s v="South Korea"/>
    <s v="Mid-range"/>
    <n v="139592"/>
    <n v="3.62"/>
    <n v="4"/>
    <n v="5490126837.5199995"/>
  </r>
  <r>
    <x v="6"/>
    <s v="Kona Electric"/>
    <x v="5"/>
    <s v="Performance"/>
    <n v="83020.490000000005"/>
    <n v="119.5"/>
    <n v="412"/>
    <n v="188"/>
    <s v="Sedan"/>
    <n v="4"/>
    <s v="South Korea"/>
    <s v="Premium"/>
    <n v="65013"/>
    <n v="3.72"/>
    <n v="4"/>
    <n v="5397411116.3699999"/>
  </r>
  <r>
    <x v="12"/>
    <s v="Bolt EV"/>
    <x v="5"/>
    <s v="Long Range"/>
    <n v="37683.39"/>
    <n v="98.3"/>
    <n v="363"/>
    <n v="166"/>
    <s v="Truck"/>
    <n v="4"/>
    <s v="US"/>
    <s v="Mid-range"/>
    <n v="20559"/>
    <n v="3.37"/>
    <n v="4"/>
    <n v="774732815.00999999"/>
  </r>
  <r>
    <x v="2"/>
    <s v="Model Y"/>
    <x v="5"/>
    <s v="Premium"/>
    <n v="40474.28"/>
    <n v="53.8"/>
    <n v="163"/>
    <n v="148"/>
    <s v="SUV"/>
    <n v="4"/>
    <s v="US"/>
    <s v="Mid-range"/>
    <n v="484636"/>
    <n v="3.69"/>
    <n v="5"/>
    <n v="19615293162.079998"/>
  </r>
  <r>
    <x v="12"/>
    <s v="Bolt EUV"/>
    <x v="5"/>
    <s v="Premium"/>
    <n v="47998.86"/>
    <n v="60.9"/>
    <n v="202"/>
    <n v="159"/>
    <s v="Van"/>
    <n v="5"/>
    <s v="US"/>
    <s v="Mid-range"/>
    <n v="2175"/>
    <n v="3.23"/>
    <n v="4"/>
    <n v="104397520.5"/>
  </r>
  <r>
    <x v="3"/>
    <s v="Qin"/>
    <x v="5"/>
    <s v="Premium"/>
    <n v="101756.01"/>
    <n v="70.7"/>
    <n v="259"/>
    <n v="139"/>
    <s v="Coupe"/>
    <n v="5"/>
    <s v="China"/>
    <s v="Luxury"/>
    <n v="207780"/>
    <n v="3.62"/>
    <n v="3"/>
    <n v="21142863757.799999"/>
  </r>
  <r>
    <x v="11"/>
    <s v="R3"/>
    <x v="5"/>
    <s v="Standard"/>
    <n v="79722.649999999994"/>
    <n v="80.900000000000006"/>
    <n v="261"/>
    <n v="173"/>
    <s v="SUV"/>
    <n v="5"/>
    <s v="US"/>
    <s v="Premium"/>
    <n v="28225"/>
    <n v="3.26"/>
    <n v="5"/>
    <n v="2250171796.25"/>
  </r>
  <r>
    <x v="6"/>
    <s v="Ioniq 5"/>
    <x v="5"/>
    <s v="Premium"/>
    <n v="65433.15"/>
    <n v="41.9"/>
    <n v="150"/>
    <n v="179"/>
    <s v="Sedan"/>
    <n v="5"/>
    <s v="South Korea"/>
    <s v="Premium"/>
    <n v="78985"/>
    <n v="3.32"/>
    <n v="5"/>
    <n v="5168237352.75"/>
  </r>
  <r>
    <x v="7"/>
    <s v="ID.5"/>
    <x v="5"/>
    <s v="Standard"/>
    <n v="60858.6"/>
    <n v="63.9"/>
    <n v="242"/>
    <n v="165"/>
    <s v="Sedan"/>
    <n v="4"/>
    <s v="Germany"/>
    <s v="Mid-range"/>
    <n v="280770"/>
    <n v="3.65"/>
    <n v="3"/>
    <n v="17087269122"/>
  </r>
  <r>
    <x v="13"/>
    <s v="EQG"/>
    <x v="5"/>
    <s v="Premium"/>
    <n v="128362.44"/>
    <n v="46.9"/>
    <n v="168"/>
    <n v="141"/>
    <s v="Coupe"/>
    <n v="4"/>
    <s v="Germany"/>
    <s v="Luxury"/>
    <n v="79528"/>
    <n v="3.66"/>
    <n v="8"/>
    <n v="10208408128.32"/>
  </r>
  <r>
    <x v="2"/>
    <s v="Model 3"/>
    <x v="5"/>
    <s v="Standard"/>
    <n v="103423.57"/>
    <n v="67.2"/>
    <n v="226"/>
    <n v="149"/>
    <s v="Hatchback"/>
    <n v="5"/>
    <s v="US"/>
    <s v="Luxury"/>
    <n v="136780"/>
    <n v="3.7"/>
    <n v="4"/>
    <n v="14146275904.6"/>
  </r>
  <r>
    <x v="7"/>
    <s v="ID.3"/>
    <x v="5"/>
    <s v="Long Range"/>
    <n v="46681.91"/>
    <n v="83.1"/>
    <n v="285"/>
    <n v="181"/>
    <s v="Coupe"/>
    <n v="5"/>
    <s v="Germany"/>
    <s v="Mid-range"/>
    <n v="243592"/>
    <n v="3.37"/>
    <n v="5"/>
    <n v="11371339820.720001"/>
  </r>
  <r>
    <x v="2"/>
    <s v="Model Y"/>
    <x v="5"/>
    <s v="Base"/>
    <n v="38868.67"/>
    <n v="48"/>
    <n v="150"/>
    <n v="171"/>
    <s v="Coupe"/>
    <n v="4"/>
    <s v="US"/>
    <s v="Mid-range"/>
    <n v="420151"/>
    <n v="3.64"/>
    <n v="4"/>
    <n v="16330710569.17"/>
  </r>
  <r>
    <x v="3"/>
    <s v="Seagull"/>
    <x v="5"/>
    <s v="Standard"/>
    <n v="53845.68"/>
    <n v="43.7"/>
    <n v="161"/>
    <n v="125"/>
    <s v="Hatchback"/>
    <n v="4"/>
    <s v="China"/>
    <s v="Mid-range"/>
    <n v="196975"/>
    <n v="3.39"/>
    <n v="4"/>
    <n v="10606252818"/>
  </r>
  <r>
    <x v="13"/>
    <s v="EQG"/>
    <x v="5"/>
    <s v="Premium"/>
    <n v="153235.91"/>
    <n v="48.7"/>
    <n v="182"/>
    <n v="133"/>
    <s v="Sedan"/>
    <n v="5"/>
    <s v="Germany"/>
    <s v="Luxury"/>
    <n v="44720"/>
    <n v="3.56"/>
    <n v="7"/>
    <n v="6852709895.1999998"/>
  </r>
  <r>
    <x v="2"/>
    <s v="Model X"/>
    <x v="5"/>
    <s v="Premium"/>
    <n v="60275.05"/>
    <n v="61.4"/>
    <n v="220"/>
    <n v="143"/>
    <s v="SUV"/>
    <n v="4"/>
    <s v="US"/>
    <s v="Mid-range"/>
    <n v="226355"/>
    <n v="3.72"/>
    <n v="6"/>
    <n v="13643558942.75"/>
  </r>
  <r>
    <x v="13"/>
    <s v="EQC"/>
    <x v="5"/>
    <s v="Premium"/>
    <n v="202973.51"/>
    <n v="74.099999999999994"/>
    <n v="259"/>
    <n v="152"/>
    <s v="Sedan"/>
    <n v="5"/>
    <s v="Germany"/>
    <s v="Luxury"/>
    <n v="22987"/>
    <n v="3.81"/>
    <n v="8"/>
    <n v="4665752074.3699999"/>
  </r>
  <r>
    <x v="8"/>
    <s v="Explorer EV"/>
    <x v="5"/>
    <s v="Long Range"/>
    <n v="69671.759999999995"/>
    <n v="106.4"/>
    <n v="373"/>
    <n v="161"/>
    <s v="Coupe"/>
    <n v="5"/>
    <s v="US"/>
    <s v="Premium"/>
    <n v="49288"/>
    <n v="3.95"/>
    <n v="4"/>
    <n v="3433981706.8799996"/>
  </r>
  <r>
    <x v="6"/>
    <s v="Ioniq 5"/>
    <x v="5"/>
    <s v="Standard"/>
    <n v="63434.69"/>
    <n v="78"/>
    <n v="279"/>
    <n v="124"/>
    <s v="Truck"/>
    <n v="5"/>
    <s v="South Korea"/>
    <s v="Mid-range"/>
    <n v="133046"/>
    <n v="3.73"/>
    <n v="4"/>
    <n v="8439731765.7400007"/>
  </r>
  <r>
    <x v="7"/>
    <s v="ID.5"/>
    <x v="5"/>
    <s v="Long Range"/>
    <n v="101757.37"/>
    <n v="83.1"/>
    <n v="278"/>
    <n v="176"/>
    <s v="Sedan"/>
    <n v="4"/>
    <s v="Germany"/>
    <s v="Luxury"/>
    <n v="269645"/>
    <n v="3.59"/>
    <n v="5"/>
    <n v="27438366033.649998"/>
  </r>
  <r>
    <x v="0"/>
    <s v="bZ4X"/>
    <x v="5"/>
    <s v="Standard"/>
    <n v="48846.720000000001"/>
    <n v="75.400000000000006"/>
    <n v="274"/>
    <n v="159"/>
    <s v="Coupe"/>
    <n v="5"/>
    <s v="Japan"/>
    <s v="Mid-range"/>
    <n v="21759"/>
    <n v="3.51"/>
    <n v="5"/>
    <n v="1062855780.48"/>
  </r>
  <r>
    <x v="2"/>
    <s v="Model 3"/>
    <x v="5"/>
    <s v="Performance"/>
    <n v="133323.67000000001"/>
    <n v="89.5"/>
    <n v="316"/>
    <n v="200"/>
    <s v="Hatchback"/>
    <n v="4"/>
    <s v="US"/>
    <s v="Luxury"/>
    <n v="119703"/>
    <n v="4.0199999999999996"/>
    <n v="6"/>
    <n v="15959243270.010002"/>
  </r>
  <r>
    <x v="9"/>
    <s v="i3"/>
    <x v="5"/>
    <s v="Standard"/>
    <n v="61490.61"/>
    <n v="40.299999999999997"/>
    <n v="150"/>
    <n v="144"/>
    <s v="Coupe"/>
    <n v="4"/>
    <s v="Germany"/>
    <s v="Mid-range"/>
    <n v="75130"/>
    <n v="3.39"/>
    <n v="5"/>
    <n v="4619789529.3000002"/>
  </r>
  <r>
    <x v="9"/>
    <s v="i3"/>
    <x v="5"/>
    <s v="Premium"/>
    <n v="113220.74"/>
    <n v="50.2"/>
    <n v="167"/>
    <n v="146"/>
    <s v="Truck"/>
    <n v="3"/>
    <s v="Germany"/>
    <s v="Luxury"/>
    <n v="36980"/>
    <n v="3.17"/>
    <n v="6"/>
    <n v="4186902965.2000003"/>
  </r>
  <r>
    <x v="2"/>
    <s v="Model X"/>
    <x v="5"/>
    <s v="Standard"/>
    <n v="86049.94"/>
    <n v="67.900000000000006"/>
    <n v="210"/>
    <n v="146"/>
    <s v="Hatchback"/>
    <n v="5"/>
    <s v="US"/>
    <s v="Premium"/>
    <n v="244820"/>
    <n v="3.64"/>
    <n v="6"/>
    <n v="21066746310.799999"/>
  </r>
  <r>
    <x v="17"/>
    <s v="C40 Recharge"/>
    <x v="5"/>
    <s v="Base"/>
    <n v="87551.42"/>
    <n v="42.1"/>
    <n v="150"/>
    <n v="156"/>
    <s v="Truck"/>
    <n v="4"/>
    <s v="Sweden"/>
    <s v="Premium"/>
    <n v="28712"/>
    <n v="3"/>
    <n v="3"/>
    <n v="2513776371.04"/>
  </r>
  <r>
    <x v="2"/>
    <s v="Model X"/>
    <x v="5"/>
    <s v="Standard"/>
    <n v="108924.8"/>
    <n v="75"/>
    <n v="251"/>
    <n v="171"/>
    <s v="Hatchback"/>
    <n v="5"/>
    <s v="US"/>
    <s v="Luxury"/>
    <n v="104109"/>
    <n v="3.74"/>
    <n v="6"/>
    <n v="11340052003.200001"/>
  </r>
  <r>
    <x v="2"/>
    <s v="Model 3"/>
    <x v="5"/>
    <s v="Base"/>
    <n v="91015.05"/>
    <n v="61.8"/>
    <n v="227"/>
    <n v="141"/>
    <s v="SUV"/>
    <n v="5"/>
    <s v="US"/>
    <s v="Premium"/>
    <n v="229357"/>
    <n v="3.56"/>
    <n v="5"/>
    <n v="20874938822.850002"/>
  </r>
  <r>
    <x v="12"/>
    <s v="Bolt EUV"/>
    <x v="5"/>
    <s v="Performance"/>
    <n v="44784.34"/>
    <n v="93.2"/>
    <n v="321"/>
    <n v="182"/>
    <s v="Hatchback"/>
    <n v="5"/>
    <s v="US"/>
    <s v="Mid-range"/>
    <n v="7434"/>
    <n v="3.72"/>
    <n v="4"/>
    <n v="332926783.56"/>
  </r>
  <r>
    <x v="2"/>
    <s v="Model 3"/>
    <x v="5"/>
    <s v="Long Range"/>
    <n v="84994.49"/>
    <n v="96.6"/>
    <n v="315"/>
    <n v="161"/>
    <s v="Sedan"/>
    <n v="4"/>
    <s v="US"/>
    <s v="Premium"/>
    <n v="246722"/>
    <n v="3.99"/>
    <n v="5"/>
    <n v="20970010561.780003"/>
  </r>
  <r>
    <x v="9"/>
    <s v="i4"/>
    <x v="5"/>
    <s v="Long Range"/>
    <n v="88308.2"/>
    <n v="95.5"/>
    <n v="308"/>
    <n v="174"/>
    <s v="Hatchback"/>
    <n v="4"/>
    <s v="Germany"/>
    <s v="Premium"/>
    <n v="31503"/>
    <n v="3.49"/>
    <n v="6"/>
    <n v="2781973224.5999999"/>
  </r>
  <r>
    <x v="7"/>
    <s v="ID.5"/>
    <x v="5"/>
    <s v="Base"/>
    <n v="76426.720000000001"/>
    <n v="83.1"/>
    <n v="339"/>
    <n v="155"/>
    <s v="Van"/>
    <n v="4"/>
    <s v="Germany"/>
    <s v="Premium"/>
    <n v="248734"/>
    <n v="3.73"/>
    <n v="4"/>
    <n v="19009923772.48"/>
  </r>
  <r>
    <x v="13"/>
    <s v="EQG"/>
    <x v="5"/>
    <s v="Long Range"/>
    <n v="111628.51"/>
    <n v="84.7"/>
    <n v="274"/>
    <n v="166"/>
    <s v="SUV"/>
    <n v="4"/>
    <s v="Germany"/>
    <s v="Luxury"/>
    <n v="76984"/>
    <n v="3.74"/>
    <n v="6"/>
    <n v="8593609213.8400002"/>
  </r>
  <r>
    <x v="8"/>
    <s v="F-150 Lightning"/>
    <x v="5"/>
    <s v="Base"/>
    <n v="34802.06"/>
    <n v="47.6"/>
    <n v="150"/>
    <n v="146"/>
    <s v="Truck"/>
    <n v="4"/>
    <s v="US"/>
    <s v="Budget"/>
    <n v="51835"/>
    <n v="3.13"/>
    <n v="4"/>
    <n v="1803964780.0999999"/>
  </r>
  <r>
    <x v="6"/>
    <s v="Kona Electric"/>
    <x v="5"/>
    <s v="Long Range"/>
    <n v="43459.69"/>
    <n v="83.7"/>
    <n v="302"/>
    <n v="192"/>
    <s v="Truck"/>
    <n v="5"/>
    <s v="South Korea"/>
    <s v="Mid-range"/>
    <n v="114002"/>
    <n v="3.56"/>
    <n v="3"/>
    <n v="4954491579.3800001"/>
  </r>
  <r>
    <x v="19"/>
    <s v="Gravity"/>
    <x v="5"/>
    <s v="Performance"/>
    <n v="166388.92000000001"/>
    <n v="75.900000000000006"/>
    <n v="281"/>
    <n v="195"/>
    <s v="Van"/>
    <n v="5"/>
    <s v="US"/>
    <s v="Luxury"/>
    <n v="27265"/>
    <n v="3.3"/>
    <n v="5"/>
    <n v="4536593903.8000002"/>
  </r>
  <r>
    <x v="2"/>
    <s v="Model S"/>
    <x v="5"/>
    <s v="Base"/>
    <n v="30387.16"/>
    <n v="46.7"/>
    <n v="183"/>
    <n v="130"/>
    <s v="Hatchback"/>
    <n v="5"/>
    <s v="US"/>
    <s v="Budget"/>
    <n v="225676"/>
    <n v="3.51"/>
    <n v="6"/>
    <n v="6857652720.1599998"/>
  </r>
  <r>
    <x v="6"/>
    <s v="Ioniq"/>
    <x v="5"/>
    <s v="Premium"/>
    <n v="78178.94"/>
    <n v="79.400000000000006"/>
    <n v="290"/>
    <n v="169"/>
    <s v="SUV"/>
    <n v="5"/>
    <s v="South Korea"/>
    <s v="Premium"/>
    <n v="93827"/>
    <n v="3.71"/>
    <n v="4"/>
    <n v="7335295403.3800001"/>
  </r>
  <r>
    <x v="7"/>
    <s v="ID.5"/>
    <x v="5"/>
    <s v="Base"/>
    <n v="32608.87"/>
    <n v="54"/>
    <n v="178"/>
    <n v="169"/>
    <s v="Truck"/>
    <n v="3"/>
    <s v="Germany"/>
    <s v="Budget"/>
    <n v="223686"/>
    <n v="3.31"/>
    <n v="3"/>
    <n v="7294147694.8199997"/>
  </r>
  <r>
    <x v="4"/>
    <s v="Q6 e-tron"/>
    <x v="5"/>
    <s v="Standard"/>
    <n v="97077.65"/>
    <n v="52.8"/>
    <n v="197"/>
    <n v="132"/>
    <s v="Hatchback"/>
    <n v="5"/>
    <s v="Germany"/>
    <s v="Premium"/>
    <n v="69050"/>
    <n v="3.19"/>
    <n v="6"/>
    <n v="6703211732.5"/>
  </r>
  <r>
    <x v="0"/>
    <s v="bZ4X"/>
    <x v="5"/>
    <s v="Long Range"/>
    <n v="75339.45"/>
    <n v="86.8"/>
    <n v="325"/>
    <n v="184"/>
    <s v="Hatchback"/>
    <n v="5"/>
    <s v="Japan"/>
    <s v="Premium"/>
    <n v="12682"/>
    <n v="3.5"/>
    <n v="3"/>
    <n v="955454904.89999998"/>
  </r>
  <r>
    <x v="8"/>
    <s v="Mustang Mach-E"/>
    <x v="5"/>
    <s v="Performance"/>
    <n v="72824.56"/>
    <n v="94.6"/>
    <n v="347"/>
    <n v="180"/>
    <s v="Van"/>
    <n v="3"/>
    <s v="US"/>
    <s v="Premium"/>
    <n v="45964"/>
    <n v="3.7"/>
    <n v="4"/>
    <n v="3347308075.8399997"/>
  </r>
  <r>
    <x v="3"/>
    <s v="Atto 3"/>
    <x v="5"/>
    <s v="Long Range"/>
    <n v="26097.55"/>
    <n v="99"/>
    <n v="367"/>
    <n v="176"/>
    <s v="Truck"/>
    <n v="5"/>
    <s v="China"/>
    <s v="Budget"/>
    <n v="233286"/>
    <n v="3.51"/>
    <n v="5"/>
    <n v="6088193049.3000002"/>
  </r>
  <r>
    <x v="4"/>
    <s v="Q4 e-tron"/>
    <x v="5"/>
    <s v="Standard"/>
    <n v="63113.08"/>
    <n v="44"/>
    <n v="150"/>
    <n v="146"/>
    <s v="Van"/>
    <n v="4"/>
    <s v="Germany"/>
    <s v="Mid-range"/>
    <n v="79880"/>
    <n v="3.21"/>
    <n v="7"/>
    <n v="5041472830.4000006"/>
  </r>
  <r>
    <x v="4"/>
    <s v="Q4 e-tron"/>
    <x v="5"/>
    <s v="Premium"/>
    <n v="154475.14000000001"/>
    <n v="69.7"/>
    <n v="246"/>
    <n v="161"/>
    <s v="Sedan"/>
    <n v="5"/>
    <s v="Germany"/>
    <s v="Luxury"/>
    <n v="20728"/>
    <n v="3.43"/>
    <n v="5"/>
    <n v="3201960701.9200001"/>
  </r>
  <r>
    <x v="2"/>
    <s v="Model Y"/>
    <x v="5"/>
    <s v="Performance"/>
    <n v="51114.48"/>
    <n v="78.3"/>
    <n v="274"/>
    <n v="190"/>
    <s v="SUV"/>
    <n v="5"/>
    <s v="US"/>
    <s v="Mid-range"/>
    <n v="484952"/>
    <n v="4.03"/>
    <n v="6"/>
    <n v="24788069304.960003"/>
  </r>
  <r>
    <x v="2"/>
    <s v="Model 3"/>
    <x v="5"/>
    <s v="Base"/>
    <n v="70038.710000000006"/>
    <n v="65.7"/>
    <n v="235"/>
    <n v="149"/>
    <s v="Sedan"/>
    <n v="5"/>
    <s v="US"/>
    <s v="Premium"/>
    <n v="164008"/>
    <n v="3.74"/>
    <n v="6"/>
    <n v="11486908749.68"/>
  </r>
  <r>
    <x v="3"/>
    <s v="Qin"/>
    <x v="5"/>
    <s v="Standard"/>
    <n v="52251.33"/>
    <n v="63.4"/>
    <n v="238"/>
    <n v="161"/>
    <s v="Van"/>
    <n v="5"/>
    <s v="China"/>
    <s v="Mid-range"/>
    <n v="174435"/>
    <n v="3.19"/>
    <n v="3"/>
    <n v="9114460748.5500011"/>
  </r>
  <r>
    <x v="8"/>
    <s v="Explorer EV"/>
    <x v="5"/>
    <s v="Base"/>
    <n v="67752.89"/>
    <n v="58.7"/>
    <n v="237"/>
    <n v="162"/>
    <s v="Truck"/>
    <n v="5"/>
    <s v="US"/>
    <s v="Premium"/>
    <n v="21665"/>
    <n v="3.61"/>
    <n v="5"/>
    <n v="1467866361.8499999"/>
  </r>
  <r>
    <x v="9"/>
    <s v="i5"/>
    <x v="5"/>
    <s v="Base"/>
    <n v="48714.2"/>
    <n v="45.4"/>
    <n v="161"/>
    <n v="136"/>
    <s v="Van"/>
    <n v="4"/>
    <s v="Germany"/>
    <s v="Mid-range"/>
    <n v="75073"/>
    <n v="3.18"/>
    <n v="6"/>
    <n v="3657121136.5999999"/>
  </r>
  <r>
    <x v="2"/>
    <s v="Model Y"/>
    <x v="5"/>
    <s v="Long Range"/>
    <n v="68461.67"/>
    <n v="80.8"/>
    <n v="305"/>
    <n v="183"/>
    <s v="Coupe"/>
    <n v="4"/>
    <s v="US"/>
    <s v="Premium"/>
    <n v="443244"/>
    <n v="3.91"/>
    <n v="4"/>
    <n v="30345224457.48"/>
  </r>
  <r>
    <x v="9"/>
    <s v="iX"/>
    <x v="5"/>
    <s v="Standard"/>
    <n v="66272.639999999999"/>
    <n v="70.2"/>
    <n v="263"/>
    <n v="144"/>
    <s v="Sedan"/>
    <n v="4"/>
    <s v="Germany"/>
    <s v="Premium"/>
    <n v="66889"/>
    <n v="3.62"/>
    <n v="6"/>
    <n v="4432910616.96"/>
  </r>
  <r>
    <x v="8"/>
    <s v="F-150 Lightning"/>
    <x v="5"/>
    <s v="Standard"/>
    <n v="68957.58"/>
    <n v="70.099999999999994"/>
    <n v="262"/>
    <n v="142"/>
    <s v="Truck"/>
    <n v="5"/>
    <s v="US"/>
    <s v="Premium"/>
    <n v="69276"/>
    <n v="3.36"/>
    <n v="5"/>
    <n v="4777105312.0799999"/>
  </r>
  <r>
    <x v="2"/>
    <s v="Model Y"/>
    <x v="5"/>
    <s v="Base"/>
    <n v="114587.9"/>
    <n v="67.3"/>
    <n v="242"/>
    <n v="120"/>
    <s v="Coupe"/>
    <n v="3"/>
    <s v="US"/>
    <s v="Luxury"/>
    <n v="458139"/>
    <n v="3.77"/>
    <n v="5"/>
    <n v="52497185918.099998"/>
  </r>
  <r>
    <x v="1"/>
    <s v="Ocean"/>
    <x v="5"/>
    <s v="Premium"/>
    <n v="54042"/>
    <n v="69.8"/>
    <n v="254"/>
    <n v="157"/>
    <s v="Truck"/>
    <n v="4"/>
    <s v="US"/>
    <s v="Mid-range"/>
    <n v="17793"/>
    <n v="3.42"/>
    <n v="5"/>
    <n v="961569306"/>
  </r>
  <r>
    <x v="3"/>
    <s v="Atto 3"/>
    <x v="5"/>
    <s v="Premium"/>
    <n v="34873.269999999997"/>
    <n v="63.6"/>
    <n v="236"/>
    <n v="149"/>
    <s v="Coupe"/>
    <n v="4"/>
    <s v="China"/>
    <s v="Budget"/>
    <n v="145087"/>
    <n v="3.26"/>
    <n v="4"/>
    <n v="5059658124.4899998"/>
  </r>
  <r>
    <x v="8"/>
    <s v="Explorer EV"/>
    <x v="5"/>
    <s v="Standard"/>
    <n v="47275.39"/>
    <n v="64.900000000000006"/>
    <n v="242"/>
    <n v="166"/>
    <s v="Coupe"/>
    <n v="3"/>
    <s v="US"/>
    <s v="Mid-range"/>
    <n v="20597"/>
    <n v="3.51"/>
    <n v="5"/>
    <n v="973731207.83000004"/>
  </r>
  <r>
    <x v="7"/>
    <s v="ID.5"/>
    <x v="5"/>
    <s v="Long Range"/>
    <n v="95115.92"/>
    <n v="83"/>
    <n v="275"/>
    <n v="170"/>
    <s v="Sedan"/>
    <n v="3"/>
    <s v="Germany"/>
    <s v="Premium"/>
    <n v="223250"/>
    <n v="3.54"/>
    <n v="4"/>
    <n v="21234629140"/>
  </r>
  <r>
    <x v="3"/>
    <s v="Qin"/>
    <x v="5"/>
    <s v="Premium"/>
    <n v="33846.449999999997"/>
    <n v="52.4"/>
    <n v="171"/>
    <n v="138"/>
    <s v="Truck"/>
    <n v="5"/>
    <s v="China"/>
    <s v="Budget"/>
    <n v="220677"/>
    <n v="3.2"/>
    <n v="5"/>
    <n v="7469133046.6499996"/>
  </r>
  <r>
    <x v="2"/>
    <s v="Cybertruck"/>
    <x v="5"/>
    <s v="Premium"/>
    <n v="98891.22"/>
    <n v="78.900000000000006"/>
    <n v="301"/>
    <n v="143"/>
    <s v="Truck"/>
    <n v="4"/>
    <s v="US"/>
    <s v="Premium"/>
    <n v="113008"/>
    <n v="3.85"/>
    <n v="4"/>
    <n v="11175498989.76"/>
  </r>
  <r>
    <x v="2"/>
    <s v="Model 3"/>
    <x v="5"/>
    <s v="Premium"/>
    <n v="129475.2"/>
    <n v="46.6"/>
    <n v="150"/>
    <n v="144"/>
    <s v="SUV"/>
    <n v="4"/>
    <s v="US"/>
    <s v="Luxury"/>
    <n v="225901"/>
    <n v="3.6"/>
    <n v="5"/>
    <n v="29248577155.200001"/>
  </r>
  <r>
    <x v="5"/>
    <s v="Picanto EV"/>
    <x v="5"/>
    <s v="Premium"/>
    <n v="80721.440000000002"/>
    <n v="72.900000000000006"/>
    <n v="256"/>
    <n v="144"/>
    <s v="Hatchback"/>
    <n v="3"/>
    <s v="South Korea"/>
    <s v="Premium"/>
    <n v="130227"/>
    <n v="3.54"/>
    <n v="4"/>
    <n v="10512110966.880001"/>
  </r>
  <r>
    <x v="2"/>
    <s v="Model Y"/>
    <x v="5"/>
    <s v="Long Range"/>
    <n v="113868.37"/>
    <n v="86.6"/>
    <n v="301"/>
    <n v="185"/>
    <s v="Sedan"/>
    <n v="4"/>
    <s v="US"/>
    <s v="Luxury"/>
    <n v="455459"/>
    <n v="3.98"/>
    <n v="5"/>
    <n v="51862373931.829994"/>
  </r>
  <r>
    <x v="11"/>
    <s v="R3"/>
    <x v="5"/>
    <s v="Base"/>
    <n v="78088.2"/>
    <n v="42.4"/>
    <n v="150"/>
    <n v="161"/>
    <s v="Hatchback"/>
    <n v="3"/>
    <s v="US"/>
    <s v="Premium"/>
    <n v="26875"/>
    <n v="3.25"/>
    <n v="5"/>
    <n v="2098620375"/>
  </r>
  <r>
    <x v="3"/>
    <s v="Qin"/>
    <x v="5"/>
    <s v="Performance"/>
    <n v="101418.24000000001"/>
    <n v="74.3"/>
    <n v="239"/>
    <n v="200"/>
    <s v="Hatchback"/>
    <n v="3"/>
    <s v="China"/>
    <s v="Luxury"/>
    <n v="115025"/>
    <n v="3.58"/>
    <n v="4"/>
    <n v="11665633056"/>
  </r>
  <r>
    <x v="7"/>
    <s v="ID.3"/>
    <x v="5"/>
    <s v="Base"/>
    <n v="66620.77"/>
    <n v="53.1"/>
    <n v="196"/>
    <n v="132"/>
    <s v="Coupe"/>
    <n v="5"/>
    <s v="Germany"/>
    <s v="Premium"/>
    <n v="206717"/>
    <n v="3.56"/>
    <n v="4"/>
    <n v="13771645712.09"/>
  </r>
  <r>
    <x v="5"/>
    <s v="Niro EV"/>
    <x v="5"/>
    <s v="Performance"/>
    <n v="110498.55"/>
    <n v="107.7"/>
    <n v="407"/>
    <n v="200"/>
    <s v="SUV"/>
    <n v="4"/>
    <s v="South Korea"/>
    <s v="Luxury"/>
    <n v="55383"/>
    <n v="3.92"/>
    <n v="4"/>
    <n v="6119741194.6500006"/>
  </r>
  <r>
    <x v="14"/>
    <s v="EL8"/>
    <x v="5"/>
    <s v="Premium"/>
    <n v="104953.65"/>
    <n v="69"/>
    <n v="237"/>
    <n v="132"/>
    <s v="Sedan"/>
    <n v="5"/>
    <s v="China"/>
    <s v="Luxury"/>
    <n v="26944"/>
    <n v="3.47"/>
    <n v="3"/>
    <n v="2827871145.5999999"/>
  </r>
  <r>
    <x v="2"/>
    <s v="Model S"/>
    <x v="5"/>
    <s v="Long Range"/>
    <n v="120338.19"/>
    <n v="101.1"/>
    <n v="324"/>
    <n v="178"/>
    <s v="Truck"/>
    <n v="4"/>
    <s v="US"/>
    <s v="Luxury"/>
    <n v="236717"/>
    <n v="4.0599999999999996"/>
    <n v="5"/>
    <n v="28486095322.23"/>
  </r>
  <r>
    <x v="2"/>
    <s v="Model Y"/>
    <x v="5"/>
    <s v="Long Range"/>
    <n v="147345.82"/>
    <n v="89.5"/>
    <n v="311"/>
    <n v="191"/>
    <s v="Van"/>
    <n v="5"/>
    <s v="US"/>
    <s v="Luxury"/>
    <n v="458246"/>
    <n v="3.66"/>
    <n v="5"/>
    <n v="67520632631.720001"/>
  </r>
  <r>
    <x v="4"/>
    <s v="e-tron GT"/>
    <x v="5"/>
    <s v="Base"/>
    <n v="69716.210000000006"/>
    <n v="72.8"/>
    <n v="250"/>
    <n v="145"/>
    <s v="SUV"/>
    <n v="5"/>
    <s v="Germany"/>
    <s v="Premium"/>
    <n v="21802"/>
    <n v="3.43"/>
    <n v="5"/>
    <n v="1519952810.4200001"/>
  </r>
  <r>
    <x v="9"/>
    <s v="i7"/>
    <x v="5"/>
    <s v="Premium"/>
    <n v="88626.17"/>
    <n v="42.7"/>
    <n v="150"/>
    <n v="129"/>
    <s v="Coupe"/>
    <n v="4"/>
    <s v="Germany"/>
    <s v="Premium"/>
    <n v="40644"/>
    <n v="3.5"/>
    <n v="7"/>
    <n v="3602122053.48"/>
  </r>
  <r>
    <x v="12"/>
    <s v="Equinox EV"/>
    <x v="5"/>
    <s v="Long Range"/>
    <n v="58372.94"/>
    <n v="95.2"/>
    <n v="341"/>
    <n v="159"/>
    <s v="SUV"/>
    <n v="5"/>
    <s v="US"/>
    <s v="Mid-range"/>
    <n v="5246"/>
    <n v="3.78"/>
    <n v="5"/>
    <n v="306224443.24000001"/>
  </r>
  <r>
    <x v="6"/>
    <s v="Ioniq 5"/>
    <x v="5"/>
    <s v="Premium"/>
    <n v="64470.9"/>
    <n v="46.6"/>
    <n v="166"/>
    <n v="172"/>
    <s v="Sedan"/>
    <n v="4"/>
    <s v="South Korea"/>
    <s v="Mid-range"/>
    <n v="90740"/>
    <n v="3.34"/>
    <n v="4"/>
    <n v="5850089466"/>
  </r>
  <r>
    <x v="12"/>
    <s v="Silverado EV"/>
    <x v="5"/>
    <s v="Premium"/>
    <n v="70759.08"/>
    <n v="83.3"/>
    <n v="278"/>
    <n v="157"/>
    <s v="Coupe"/>
    <n v="4"/>
    <s v="US"/>
    <s v="Premium"/>
    <n v="11923"/>
    <n v="3.61"/>
    <n v="4"/>
    <n v="843660510.84000003"/>
  </r>
  <r>
    <x v="8"/>
    <s v="Explorer EV"/>
    <x v="5"/>
    <s v="Standard"/>
    <n v="57566.92"/>
    <n v="54.3"/>
    <n v="184"/>
    <n v="140"/>
    <s v="SUV"/>
    <n v="4"/>
    <s v="US"/>
    <s v="Mid-range"/>
    <n v="64630"/>
    <n v="3.23"/>
    <n v="5"/>
    <n v="3720550039.5999999"/>
  </r>
  <r>
    <x v="6"/>
    <s v="Ioniq 5"/>
    <x v="5"/>
    <s v="Standard"/>
    <n v="37110.33"/>
    <n v="75.5"/>
    <n v="266"/>
    <n v="130"/>
    <s v="Hatchback"/>
    <n v="5"/>
    <s v="South Korea"/>
    <s v="Mid-range"/>
    <n v="143597"/>
    <n v="3.54"/>
    <n v="4"/>
    <n v="5328932057.0100002"/>
  </r>
  <r>
    <x v="13"/>
    <s v="EQE"/>
    <x v="5"/>
    <s v="Performance"/>
    <n v="103655.43"/>
    <n v="79.599999999999994"/>
    <n v="307"/>
    <n v="197"/>
    <s v="Van"/>
    <n v="4"/>
    <s v="Germany"/>
    <s v="Luxury"/>
    <n v="54248"/>
    <n v="3.94"/>
    <n v="8"/>
    <n v="5623099766.6399994"/>
  </r>
  <r>
    <x v="5"/>
    <s v="Picanto EV"/>
    <x v="5"/>
    <s v="Base"/>
    <n v="28245.98"/>
    <n v="68.8"/>
    <n v="222"/>
    <n v="171"/>
    <s v="Sedan"/>
    <n v="4"/>
    <s v="South Korea"/>
    <s v="Budget"/>
    <n v="75515"/>
    <n v="3.26"/>
    <n v="4"/>
    <n v="2132995179.7"/>
  </r>
  <r>
    <x v="5"/>
    <s v="Niro EV"/>
    <x v="5"/>
    <s v="Base"/>
    <n v="55056.42"/>
    <n v="81"/>
    <n v="274"/>
    <n v="160"/>
    <s v="Coupe"/>
    <n v="4"/>
    <s v="South Korea"/>
    <s v="Mid-range"/>
    <n v="118841"/>
    <n v="3.38"/>
    <n v="3"/>
    <n v="6542960009.2200003"/>
  </r>
  <r>
    <x v="9"/>
    <s v="iX"/>
    <x v="5"/>
    <s v="Base"/>
    <n v="76098.899999999994"/>
    <n v="67.8"/>
    <n v="221"/>
    <n v="150"/>
    <s v="SUV"/>
    <n v="5"/>
    <s v="Germany"/>
    <s v="Premium"/>
    <n v="36766"/>
    <n v="3.35"/>
    <n v="8"/>
    <n v="2797852157.3999996"/>
  </r>
  <r>
    <x v="2"/>
    <s v="Cybertruck"/>
    <x v="5"/>
    <s v="Base"/>
    <n v="55743.68"/>
    <n v="46.8"/>
    <n v="183"/>
    <n v="168"/>
    <s v="Truck"/>
    <n v="4"/>
    <s v="US"/>
    <s v="Mid-range"/>
    <n v="237895"/>
    <n v="3.33"/>
    <n v="5"/>
    <n v="13261142753.6"/>
  </r>
  <r>
    <x v="6"/>
    <s v="i30"/>
    <x v="5"/>
    <s v="Performance"/>
    <n v="72352.97"/>
    <n v="86.6"/>
    <n v="289"/>
    <n v="200"/>
    <s v="Van"/>
    <n v="3"/>
    <s v="South Korea"/>
    <s v="Premium"/>
    <n v="107166"/>
    <n v="3.51"/>
    <n v="4"/>
    <n v="7753778383.0200005"/>
  </r>
  <r>
    <x v="3"/>
    <s v="Dolphin"/>
    <x v="5"/>
    <s v="Base"/>
    <n v="64952.61"/>
    <n v="79.2"/>
    <n v="299"/>
    <n v="144"/>
    <s v="Coupe"/>
    <n v="5"/>
    <s v="China"/>
    <s v="Mid-range"/>
    <n v="246706"/>
    <n v="3.79"/>
    <n v="4"/>
    <n v="16024198602.66"/>
  </r>
  <r>
    <x v="2"/>
    <s v="Model 3"/>
    <x v="5"/>
    <s v="Premium"/>
    <n v="109716.37"/>
    <n v="72.900000000000006"/>
    <n v="254"/>
    <n v="140"/>
    <s v="Truck"/>
    <n v="5"/>
    <s v="US"/>
    <s v="Luxury"/>
    <n v="176733"/>
    <n v="3.77"/>
    <n v="4"/>
    <n v="19390503219.209999"/>
  </r>
  <r>
    <x v="3"/>
    <s v="Leaf 50X"/>
    <x v="5"/>
    <s v="Long Range"/>
    <n v="51480.21"/>
    <n v="84.7"/>
    <n v="320"/>
    <n v="158"/>
    <s v="Hatchback"/>
    <n v="5"/>
    <s v="China"/>
    <s v="Mid-range"/>
    <n v="132415"/>
    <n v="3.44"/>
    <n v="5"/>
    <n v="6816752007.1499996"/>
  </r>
  <r>
    <x v="7"/>
    <s v="ID.3"/>
    <x v="5"/>
    <s v="Standard"/>
    <n v="53934.12"/>
    <n v="54.5"/>
    <n v="187"/>
    <n v="143"/>
    <s v="Sedan"/>
    <n v="5"/>
    <s v="Germany"/>
    <s v="Mid-range"/>
    <n v="220093"/>
    <n v="3.36"/>
    <n v="3"/>
    <n v="11870522273.16"/>
  </r>
  <r>
    <x v="2"/>
    <s v="Cybertruck"/>
    <x v="5"/>
    <s v="Premium"/>
    <n v="113505.79"/>
    <n v="80.7"/>
    <n v="286"/>
    <n v="155"/>
    <s v="Truck"/>
    <n v="4"/>
    <s v="US"/>
    <s v="Luxury"/>
    <n v="162101"/>
    <n v="3.9"/>
    <n v="5"/>
    <n v="18399402064.789997"/>
  </r>
  <r>
    <x v="2"/>
    <s v="Cybertruck"/>
    <x v="5"/>
    <s v="Long Range"/>
    <n v="118632.47"/>
    <n v="86.9"/>
    <n v="300"/>
    <n v="168"/>
    <s v="Truck"/>
    <n v="5"/>
    <s v="US"/>
    <s v="Luxury"/>
    <n v="209669"/>
    <n v="3.98"/>
    <n v="5"/>
    <n v="24873551352.43"/>
  </r>
  <r>
    <x v="2"/>
    <s v="Model S"/>
    <x v="5"/>
    <s v="Base"/>
    <n v="66113.759999999995"/>
    <n v="42.6"/>
    <n v="168"/>
    <n v="137"/>
    <s v="Sedan"/>
    <n v="4"/>
    <s v="US"/>
    <s v="Premium"/>
    <n v="185813"/>
    <n v="3.27"/>
    <n v="5"/>
    <n v="12284796086.879999"/>
  </r>
  <r>
    <x v="2"/>
    <s v="Model S"/>
    <x v="5"/>
    <s v="Performance"/>
    <n v="169177.37"/>
    <n v="89.9"/>
    <n v="303"/>
    <n v="200"/>
    <s v="SUV"/>
    <n v="4"/>
    <s v="US"/>
    <s v="Luxury"/>
    <n v="130032"/>
    <n v="3.68"/>
    <n v="6"/>
    <n v="21998471775.84"/>
  </r>
  <r>
    <x v="3"/>
    <s v="Atto 3"/>
    <x v="5"/>
    <s v="Base"/>
    <n v="39603.870000000003"/>
    <n v="75.099999999999994"/>
    <n v="266"/>
    <n v="158"/>
    <s v="Van"/>
    <n v="5"/>
    <s v="China"/>
    <s v="Mid-range"/>
    <n v="195375"/>
    <n v="3.46"/>
    <n v="4"/>
    <n v="7737606101.250001"/>
  </r>
  <r>
    <x v="2"/>
    <s v="Model 3"/>
    <x v="5"/>
    <s v="Standard"/>
    <n v="27829.58"/>
    <n v="72.900000000000006"/>
    <n v="249"/>
    <n v="177"/>
    <s v="Van"/>
    <n v="4"/>
    <s v="US"/>
    <s v="Budget"/>
    <n v="110913"/>
    <n v="3.78"/>
    <n v="6"/>
    <n v="3086662206.54"/>
  </r>
  <r>
    <x v="9"/>
    <s v="i3"/>
    <x v="5"/>
    <s v="Standard"/>
    <n v="104401.84"/>
    <n v="73.3"/>
    <n v="250"/>
    <n v="178"/>
    <s v="Coupe"/>
    <n v="5"/>
    <s v="Germany"/>
    <s v="Luxury"/>
    <n v="64517"/>
    <n v="3.56"/>
    <n v="5"/>
    <n v="6735693511.2799997"/>
  </r>
  <r>
    <x v="8"/>
    <s v="F-150 Lightning"/>
    <x v="5"/>
    <s v="Performance"/>
    <n v="55789.82"/>
    <n v="103.1"/>
    <n v="355"/>
    <n v="200"/>
    <s v="Truck"/>
    <n v="3"/>
    <s v="US"/>
    <s v="Mid-range"/>
    <n v="58686"/>
    <n v="4"/>
    <n v="4"/>
    <n v="3274081376.52"/>
  </r>
  <r>
    <x v="5"/>
    <s v="Picanto EV"/>
    <x v="5"/>
    <s v="Base"/>
    <n v="48934.98"/>
    <n v="67"/>
    <n v="228"/>
    <n v="154"/>
    <s v="Coupe"/>
    <n v="5"/>
    <s v="South Korea"/>
    <s v="Mid-range"/>
    <n v="106640"/>
    <n v="3.38"/>
    <n v="4"/>
    <n v="5218426267.2000008"/>
  </r>
  <r>
    <x v="5"/>
    <s v="Sportage EV"/>
    <x v="5"/>
    <s v="Premium"/>
    <n v="89200.56"/>
    <n v="62.2"/>
    <n v="211"/>
    <n v="149"/>
    <s v="SUV"/>
    <n v="4"/>
    <s v="South Korea"/>
    <s v="Premium"/>
    <n v="55676"/>
    <n v="3"/>
    <n v="5"/>
    <n v="4966330378.5599995"/>
  </r>
  <r>
    <x v="9"/>
    <s v="iX"/>
    <x v="5"/>
    <s v="Long Range"/>
    <n v="133417.07"/>
    <n v="99.6"/>
    <n v="348"/>
    <n v="178"/>
    <s v="Van"/>
    <n v="4"/>
    <s v="Germany"/>
    <s v="Luxury"/>
    <n v="53580"/>
    <n v="3.85"/>
    <n v="8"/>
    <n v="7148486610.6000004"/>
  </r>
  <r>
    <x v="8"/>
    <s v="Explorer EV"/>
    <x v="5"/>
    <s v="Performance"/>
    <n v="63490.76"/>
    <n v="108"/>
    <n v="370"/>
    <n v="196"/>
    <s v="Sedan"/>
    <n v="4"/>
    <s v="US"/>
    <s v="Mid-range"/>
    <n v="37708"/>
    <n v="3.81"/>
    <n v="4"/>
    <n v="2394109578.0799999"/>
  </r>
  <r>
    <x v="3"/>
    <s v="Leaf 50X"/>
    <x v="5"/>
    <s v="Premium"/>
    <n v="109495.59"/>
    <n v="62.3"/>
    <n v="209"/>
    <n v="147"/>
    <s v="Hatchback"/>
    <n v="4"/>
    <s v="China"/>
    <s v="Luxury"/>
    <n v="180168"/>
    <n v="3.53"/>
    <n v="4"/>
    <n v="19727601459.119999"/>
  </r>
  <r>
    <x v="12"/>
    <s v="Silverado EV"/>
    <x v="5"/>
    <s v="Base"/>
    <n v="62818"/>
    <n v="73.599999999999994"/>
    <n v="282"/>
    <n v="140"/>
    <s v="Hatchback"/>
    <n v="5"/>
    <s v="US"/>
    <s v="Mid-range"/>
    <n v="4921"/>
    <n v="3.66"/>
    <n v="4"/>
    <n v="309127378"/>
  </r>
  <r>
    <x v="7"/>
    <s v="ID.3"/>
    <x v="5"/>
    <s v="Performance"/>
    <n v="46781.599999999999"/>
    <n v="118.1"/>
    <n v="405"/>
    <n v="200"/>
    <s v="Truck"/>
    <n v="5"/>
    <s v="Germany"/>
    <s v="Mid-range"/>
    <n v="268903"/>
    <n v="3.86"/>
    <n v="5"/>
    <n v="12579712584.799999"/>
  </r>
  <r>
    <x v="5"/>
    <s v="EV6"/>
    <x v="5"/>
    <s v="Performance"/>
    <n v="117355.84"/>
    <n v="92.1"/>
    <n v="333"/>
    <n v="191"/>
    <s v="Coupe"/>
    <n v="4"/>
    <s v="South Korea"/>
    <s v="Luxury"/>
    <n v="136386"/>
    <n v="3.73"/>
    <n v="4"/>
    <n v="16005693594.24"/>
  </r>
  <r>
    <x v="16"/>
    <s v="SU7"/>
    <x v="5"/>
    <s v="Base"/>
    <n v="55836.28"/>
    <n v="53.9"/>
    <n v="182"/>
    <n v="137"/>
    <s v="SUV"/>
    <n v="4"/>
    <s v="China"/>
    <s v="Mid-range"/>
    <n v="22178"/>
    <n v="3.55"/>
    <n v="5"/>
    <n v="1238337017.8399999"/>
  </r>
  <r>
    <x v="11"/>
    <s v="R2"/>
    <x v="5"/>
    <s v="Long Range"/>
    <n v="102186.85"/>
    <n v="81"/>
    <n v="292"/>
    <n v="180"/>
    <s v="Hatchback"/>
    <n v="5"/>
    <s v="US"/>
    <s v="Luxury"/>
    <n v="2112"/>
    <n v="3.37"/>
    <n v="4"/>
    <n v="215818627.20000002"/>
  </r>
  <r>
    <x v="9"/>
    <s v="i4"/>
    <x v="5"/>
    <s v="Long Range"/>
    <n v="101731.56"/>
    <n v="98.6"/>
    <n v="360"/>
    <n v="183"/>
    <s v="Truck"/>
    <n v="4"/>
    <s v="Germany"/>
    <s v="Luxury"/>
    <n v="41594"/>
    <n v="3.71"/>
    <n v="7"/>
    <n v="4231422506.6399999"/>
  </r>
  <r>
    <x v="8"/>
    <s v="F-150 Lightning"/>
    <x v="5"/>
    <s v="Premium"/>
    <n v="53246.45"/>
    <n v="42.9"/>
    <n v="171"/>
    <n v="137"/>
    <s v="Truck"/>
    <n v="4"/>
    <s v="US"/>
    <s v="Mid-range"/>
    <n v="30016"/>
    <n v="3.29"/>
    <n v="3"/>
    <n v="1598245443.1999998"/>
  </r>
  <r>
    <x v="2"/>
    <s v="Model S"/>
    <x v="5"/>
    <s v="Premium"/>
    <n v="176582.51"/>
    <n v="50.4"/>
    <n v="188"/>
    <n v="153"/>
    <s v="SUV"/>
    <n v="4"/>
    <s v="US"/>
    <s v="Luxury"/>
    <n v="199834"/>
    <n v="3.74"/>
    <n v="4"/>
    <n v="35287189303.340004"/>
  </r>
  <r>
    <x v="7"/>
    <s v="ID. Aero"/>
    <x v="5"/>
    <s v="Performance"/>
    <n v="86735.2"/>
    <n v="77.5"/>
    <n v="296"/>
    <n v="188"/>
    <s v="Van"/>
    <n v="5"/>
    <s v="Germany"/>
    <s v="Premium"/>
    <n v="261533"/>
    <n v="3.15"/>
    <n v="3"/>
    <n v="22684117061.599998"/>
  </r>
  <r>
    <x v="2"/>
    <s v="Cybertruck"/>
    <x v="5"/>
    <s v="Base"/>
    <n v="98106.32"/>
    <n v="49.7"/>
    <n v="172"/>
    <n v="143"/>
    <s v="Truck"/>
    <n v="4"/>
    <s v="US"/>
    <s v="Premium"/>
    <n v="221459"/>
    <n v="3.6"/>
    <n v="5"/>
    <n v="21726527520.880001"/>
  </r>
  <r>
    <x v="13"/>
    <s v="GLE EV"/>
    <x v="5"/>
    <s v="Premium"/>
    <n v="92407.64"/>
    <n v="58"/>
    <n v="199"/>
    <n v="167"/>
    <s v="Sedan"/>
    <n v="4"/>
    <s v="Germany"/>
    <s v="Premium"/>
    <n v="22464"/>
    <n v="3.52"/>
    <n v="5"/>
    <n v="2075845224.96"/>
  </r>
  <r>
    <x v="6"/>
    <s v="Kona Electric"/>
    <x v="5"/>
    <s v="Long Range"/>
    <n v="92989.48"/>
    <n v="91"/>
    <n v="315"/>
    <n v="166"/>
    <s v="SUV"/>
    <n v="5"/>
    <s v="South Korea"/>
    <s v="Premium"/>
    <n v="132728"/>
    <n v="3.62"/>
    <n v="4"/>
    <n v="12342307701.439999"/>
  </r>
  <r>
    <x v="13"/>
    <s v="EQG"/>
    <x v="5"/>
    <s v="Long Range"/>
    <n v="102050.83"/>
    <n v="92.4"/>
    <n v="312"/>
    <n v="178"/>
    <s v="Coupe"/>
    <n v="5"/>
    <s v="Germany"/>
    <s v="Luxury"/>
    <n v="26785"/>
    <n v="3.93"/>
    <n v="7"/>
    <n v="2733431481.5500002"/>
  </r>
  <r>
    <x v="8"/>
    <s v="Mustang Mach-E"/>
    <x v="5"/>
    <s v="Long Range"/>
    <n v="62237.09"/>
    <n v="86.7"/>
    <n v="299"/>
    <n v="166"/>
    <s v="Sedan"/>
    <n v="5"/>
    <s v="US"/>
    <s v="Mid-range"/>
    <n v="34572"/>
    <n v="3.49"/>
    <n v="4"/>
    <n v="2151660675.48"/>
  </r>
  <r>
    <x v="2"/>
    <s v="Cybertruck"/>
    <x v="5"/>
    <s v="Long Range"/>
    <n v="45726.22"/>
    <n v="92.1"/>
    <n v="327"/>
    <n v="161"/>
    <s v="Truck"/>
    <n v="5"/>
    <s v="US"/>
    <s v="Mid-range"/>
    <n v="240212"/>
    <n v="3.99"/>
    <n v="5"/>
    <n v="10983986758.639999"/>
  </r>
  <r>
    <x v="2"/>
    <s v="Model Y"/>
    <x v="5"/>
    <s v="Long Range"/>
    <n v="107944.96000000001"/>
    <n v="81"/>
    <n v="289"/>
    <n v="162"/>
    <s v="Hatchback"/>
    <n v="4"/>
    <s v="US"/>
    <s v="Luxury"/>
    <n v="410789"/>
    <n v="3.91"/>
    <n v="5"/>
    <n v="44342602173.440002"/>
  </r>
  <r>
    <x v="8"/>
    <s v="E-Transit"/>
    <x v="5"/>
    <s v="Base"/>
    <n v="61660.35"/>
    <n v="67.900000000000006"/>
    <n v="221"/>
    <n v="167"/>
    <s v="Coupe"/>
    <n v="4"/>
    <s v="US"/>
    <s v="Mid-range"/>
    <n v="27087"/>
    <n v="3.6"/>
    <n v="5"/>
    <n v="1670193900.45"/>
  </r>
  <r>
    <x v="2"/>
    <s v="Model 3"/>
    <x v="5"/>
    <s v="Standard"/>
    <n v="72436.36"/>
    <n v="83"/>
    <n v="289"/>
    <n v="147"/>
    <s v="Van"/>
    <n v="3"/>
    <s v="US"/>
    <s v="Premium"/>
    <n v="139369"/>
    <n v="3.74"/>
    <n v="5"/>
    <n v="10095383056.84"/>
  </r>
  <r>
    <x v="5"/>
    <s v="EV9"/>
    <x v="5"/>
    <s v="Long Range"/>
    <n v="49012.19"/>
    <n v="102.8"/>
    <n v="368"/>
    <n v="185"/>
    <s v="SUV"/>
    <n v="5"/>
    <s v="South Korea"/>
    <s v="Mid-range"/>
    <n v="114969"/>
    <n v="3.93"/>
    <n v="4"/>
    <n v="5634882472.1100006"/>
  </r>
  <r>
    <x v="2"/>
    <s v="Model 3"/>
    <x v="5"/>
    <s v="Long Range"/>
    <n v="49281.26"/>
    <n v="90.6"/>
    <n v="325"/>
    <n v="167"/>
    <s v="Truck"/>
    <n v="3"/>
    <s v="US"/>
    <s v="Mid-range"/>
    <n v="224804"/>
    <n v="4.0999999999999996"/>
    <n v="6"/>
    <n v="11078624373.040001"/>
  </r>
  <r>
    <x v="3"/>
    <s v="Qin"/>
    <x v="5"/>
    <s v="Premium"/>
    <n v="47547.88"/>
    <n v="67.400000000000006"/>
    <n v="246"/>
    <n v="156"/>
    <s v="Coupe"/>
    <n v="4"/>
    <s v="China"/>
    <s v="Mid-range"/>
    <n v="214113"/>
    <n v="3.41"/>
    <n v="4"/>
    <n v="10180619230.439999"/>
  </r>
  <r>
    <x v="2"/>
    <s v="Model S"/>
    <x v="6"/>
    <s v="Long Range"/>
    <n v="134165.81"/>
    <n v="103.2"/>
    <n v="347"/>
    <n v="187"/>
    <s v="Sedan"/>
    <n v="4"/>
    <s v="US"/>
    <s v="Luxury"/>
    <n v="211478"/>
    <n v="3.78"/>
    <n v="4"/>
    <n v="28373117167.18"/>
  </r>
  <r>
    <x v="7"/>
    <s v="ID. Aero"/>
    <x v="6"/>
    <s v="Standard"/>
    <n v="59824.88"/>
    <n v="70.900000000000006"/>
    <n v="263"/>
    <n v="167"/>
    <s v="Sedan"/>
    <n v="3"/>
    <s v="Germany"/>
    <s v="Mid-range"/>
    <n v="293709"/>
    <n v="3.28"/>
    <n v="5"/>
    <n v="17571105679.919998"/>
  </r>
  <r>
    <x v="1"/>
    <s v="Ronin"/>
    <x v="6"/>
    <s v="Base"/>
    <n v="50395.94"/>
    <n v="63.9"/>
    <n v="243"/>
    <n v="147"/>
    <s v="Sedan"/>
    <n v="5"/>
    <s v="US"/>
    <s v="Mid-range"/>
    <n v="11950"/>
    <n v="3.48"/>
    <n v="4"/>
    <n v="602231483"/>
  </r>
  <r>
    <x v="8"/>
    <s v="F-150 Lightning"/>
    <x v="6"/>
    <s v="Base"/>
    <n v="52266.720000000001"/>
    <n v="73.400000000000006"/>
    <n v="268"/>
    <n v="137"/>
    <s v="Truck"/>
    <n v="5"/>
    <s v="US"/>
    <s v="Mid-range"/>
    <n v="62843"/>
    <n v="3.72"/>
    <n v="3"/>
    <n v="3284597484.96"/>
  </r>
  <r>
    <x v="3"/>
    <s v="Max"/>
    <x v="6"/>
    <s v="Performance"/>
    <n v="101561.3"/>
    <n v="101.6"/>
    <n v="329"/>
    <n v="200"/>
    <s v="Truck"/>
    <n v="3"/>
    <s v="China"/>
    <s v="Luxury"/>
    <n v="216998"/>
    <n v="3.69"/>
    <n v="3"/>
    <n v="22038598977.400002"/>
  </r>
  <r>
    <x v="12"/>
    <s v="Bolt EUV"/>
    <x v="6"/>
    <s v="Base"/>
    <n v="63696.78"/>
    <n v="78"/>
    <n v="262"/>
    <n v="136"/>
    <s v="Truck"/>
    <n v="5"/>
    <s v="US"/>
    <s v="Mid-range"/>
    <n v="8032"/>
    <n v="3.56"/>
    <n v="3"/>
    <n v="511612536.95999998"/>
  </r>
  <r>
    <x v="12"/>
    <s v="Bolt EUV"/>
    <x v="6"/>
    <s v="Standard"/>
    <n v="71136.28"/>
    <n v="49.6"/>
    <n v="171"/>
    <n v="142"/>
    <s v="Hatchback"/>
    <n v="5"/>
    <s v="US"/>
    <s v="Premium"/>
    <n v="27175"/>
    <n v="3.31"/>
    <n v="4"/>
    <n v="1933128409"/>
  </r>
  <r>
    <x v="2"/>
    <s v="Model 3"/>
    <x v="6"/>
    <s v="Base"/>
    <n v="36489.360000000001"/>
    <n v="45.5"/>
    <n v="150"/>
    <n v="131"/>
    <s v="Van"/>
    <n v="3"/>
    <s v="US"/>
    <s v="Mid-range"/>
    <n v="214895"/>
    <n v="3.58"/>
    <n v="5"/>
    <n v="7841381017.1999998"/>
  </r>
  <r>
    <x v="2"/>
    <s v="Model Y"/>
    <x v="6"/>
    <s v="Standard"/>
    <n v="96644.91"/>
    <n v="76.400000000000006"/>
    <n v="244"/>
    <n v="164"/>
    <s v="Sedan"/>
    <n v="5"/>
    <s v="US"/>
    <s v="Premium"/>
    <n v="408778"/>
    <n v="4.03"/>
    <n v="4"/>
    <n v="39506313019.980003"/>
  </r>
  <r>
    <x v="13"/>
    <s v="GLE EV"/>
    <x v="6"/>
    <s v="Standard"/>
    <n v="68994.81"/>
    <n v="48.5"/>
    <n v="168"/>
    <n v="157"/>
    <s v="Van"/>
    <n v="5"/>
    <s v="Germany"/>
    <s v="Premium"/>
    <n v="79213"/>
    <n v="3.77"/>
    <n v="7"/>
    <n v="5465285884.5299997"/>
  </r>
  <r>
    <x v="8"/>
    <s v="F-150 Lightning"/>
    <x v="6"/>
    <s v="Standard"/>
    <n v="51712.72"/>
    <n v="44.2"/>
    <n v="150"/>
    <n v="160"/>
    <s v="Truck"/>
    <n v="4"/>
    <s v="US"/>
    <s v="Mid-range"/>
    <n v="26384"/>
    <n v="3.09"/>
    <n v="5"/>
    <n v="1364388404.48"/>
  </r>
  <r>
    <x v="4"/>
    <s v="e-tron GT"/>
    <x v="6"/>
    <s v="Performance"/>
    <n v="126813.57"/>
    <n v="114.9"/>
    <n v="393"/>
    <n v="190"/>
    <s v="Sedan"/>
    <n v="5"/>
    <s v="Germany"/>
    <s v="Luxury"/>
    <n v="35466"/>
    <n v="3.84"/>
    <n v="7"/>
    <n v="4497570073.6199999"/>
  </r>
  <r>
    <x v="3"/>
    <s v="Atto 3"/>
    <x v="6"/>
    <s v="Premium"/>
    <n v="102365.27"/>
    <n v="40.6"/>
    <n v="150"/>
    <n v="182"/>
    <s v="Sedan"/>
    <n v="4"/>
    <s v="China"/>
    <s v="Luxury"/>
    <n v="112568"/>
    <n v="3.22"/>
    <n v="4"/>
    <n v="11523053713.360001"/>
  </r>
  <r>
    <x v="8"/>
    <s v="E-Transit"/>
    <x v="6"/>
    <s v="Performance"/>
    <n v="52666.03"/>
    <n v="83.7"/>
    <n v="310"/>
    <n v="197"/>
    <s v="SUV"/>
    <n v="5"/>
    <s v="US"/>
    <s v="Mid-range"/>
    <n v="76169"/>
    <n v="3.67"/>
    <n v="4"/>
    <n v="4011518839.0699997"/>
  </r>
  <r>
    <x v="12"/>
    <s v="Bolt EUV"/>
    <x v="6"/>
    <s v="Long Range"/>
    <n v="70455.09"/>
    <n v="97.8"/>
    <n v="367"/>
    <n v="173"/>
    <s v="Truck"/>
    <n v="4"/>
    <s v="US"/>
    <s v="Premium"/>
    <n v="1598"/>
    <n v="3.6"/>
    <n v="5"/>
    <n v="112587233.81999999"/>
  </r>
  <r>
    <x v="2"/>
    <s v="Cybertruck"/>
    <x v="6"/>
    <s v="Base"/>
    <n v="50614.31"/>
    <n v="85"/>
    <n v="304"/>
    <n v="152"/>
    <s v="Truck"/>
    <n v="5"/>
    <s v="US"/>
    <s v="Mid-range"/>
    <n v="175527"/>
    <n v="4.0199999999999996"/>
    <n v="4"/>
    <n v="8884177991.3699989"/>
  </r>
  <r>
    <x v="4"/>
    <s v="Q4 e-tron"/>
    <x v="6"/>
    <s v="Long Range"/>
    <n v="94110.46"/>
    <n v="90.4"/>
    <n v="323"/>
    <n v="188"/>
    <s v="Sedan"/>
    <n v="4"/>
    <s v="Germany"/>
    <s v="Premium"/>
    <n v="38660"/>
    <n v="3.57"/>
    <n v="8"/>
    <n v="3638310383.6000004"/>
  </r>
  <r>
    <x v="12"/>
    <s v="Silverado EV"/>
    <x v="6"/>
    <s v="Performance"/>
    <n v="65284.93"/>
    <n v="116.3"/>
    <n v="439"/>
    <n v="186"/>
    <s v="Coupe"/>
    <n v="4"/>
    <s v="US"/>
    <s v="Premium"/>
    <n v="25704"/>
    <n v="4.1900000000000004"/>
    <n v="4"/>
    <n v="1678083840.72"/>
  </r>
  <r>
    <x v="9"/>
    <s v="i4"/>
    <x v="6"/>
    <s v="Performance"/>
    <n v="133852.24"/>
    <n v="84.9"/>
    <n v="318"/>
    <n v="200"/>
    <s v="Truck"/>
    <n v="4"/>
    <s v="Germany"/>
    <s v="Luxury"/>
    <n v="50521"/>
    <n v="3.46"/>
    <n v="7"/>
    <n v="6762349017.04"/>
  </r>
  <r>
    <x v="2"/>
    <s v="Model Y"/>
    <x v="6"/>
    <s v="Standard"/>
    <n v="78088.259999999995"/>
    <n v="70.2"/>
    <n v="245"/>
    <n v="130"/>
    <s v="Sedan"/>
    <n v="5"/>
    <s v="US"/>
    <s v="Premium"/>
    <n v="489120"/>
    <n v="3.77"/>
    <n v="5"/>
    <n v="38194529731.199997"/>
  </r>
  <r>
    <x v="2"/>
    <s v="Model 3"/>
    <x v="6"/>
    <s v="Base"/>
    <n v="80808.44"/>
    <n v="42.4"/>
    <n v="154"/>
    <n v="147"/>
    <s v="Coupe"/>
    <n v="5"/>
    <s v="US"/>
    <s v="Premium"/>
    <n v="234368"/>
    <n v="3.52"/>
    <n v="5"/>
    <n v="18938912465.920002"/>
  </r>
  <r>
    <x v="7"/>
    <s v="ID. Buzz"/>
    <x v="6"/>
    <s v="Standard"/>
    <n v="43538.73"/>
    <n v="62.3"/>
    <n v="231"/>
    <n v="165"/>
    <s v="Van"/>
    <n v="4"/>
    <s v="Germany"/>
    <s v="Mid-range"/>
    <n v="228329"/>
    <n v="3.2"/>
    <n v="3"/>
    <n v="9941154682.1700001"/>
  </r>
  <r>
    <x v="19"/>
    <s v="Air"/>
    <x v="6"/>
    <s v="Standard"/>
    <n v="199365.9"/>
    <n v="57.8"/>
    <n v="235"/>
    <n v="138"/>
    <s v="Coupe"/>
    <n v="4"/>
    <s v="US"/>
    <s v="Luxury"/>
    <n v="26890"/>
    <n v="3.19"/>
    <n v="5"/>
    <n v="5360949051"/>
  </r>
  <r>
    <x v="5"/>
    <s v="Niro EV"/>
    <x v="6"/>
    <s v="Premium"/>
    <n v="98299.99"/>
    <n v="73.400000000000006"/>
    <n v="245"/>
    <n v="165"/>
    <s v="Coupe"/>
    <n v="5"/>
    <s v="South Korea"/>
    <s v="Premium"/>
    <n v="126328"/>
    <n v="3.5"/>
    <n v="4"/>
    <n v="12418041136.720001"/>
  </r>
  <r>
    <x v="13"/>
    <s v="EQE"/>
    <x v="6"/>
    <s v="Base"/>
    <n v="59152.02"/>
    <n v="43.6"/>
    <n v="162"/>
    <n v="170"/>
    <s v="SUV"/>
    <n v="4"/>
    <s v="Germany"/>
    <s v="Mid-range"/>
    <n v="57795"/>
    <n v="3.37"/>
    <n v="5"/>
    <n v="3418690995.8999996"/>
  </r>
  <r>
    <x v="12"/>
    <s v="Equinox EV"/>
    <x v="6"/>
    <s v="Performance"/>
    <n v="42539.360000000001"/>
    <n v="109.6"/>
    <n v="371"/>
    <n v="200"/>
    <s v="SUV"/>
    <n v="5"/>
    <s v="US"/>
    <s v="Mid-range"/>
    <n v="18263"/>
    <n v="3.65"/>
    <n v="4"/>
    <n v="776896331.68000007"/>
  </r>
  <r>
    <x v="6"/>
    <s v="Ioniq 5"/>
    <x v="6"/>
    <s v="Premium"/>
    <n v="86930.64"/>
    <n v="49.4"/>
    <n v="177"/>
    <n v="171"/>
    <s v="Sedan"/>
    <n v="4"/>
    <s v="South Korea"/>
    <s v="Premium"/>
    <n v="147601"/>
    <n v="3.5"/>
    <n v="4"/>
    <n v="12831049394.639999"/>
  </r>
  <r>
    <x v="7"/>
    <s v="ID. Buzz"/>
    <x v="6"/>
    <s v="Standard"/>
    <n v="39803.56"/>
    <n v="46.8"/>
    <n v="168"/>
    <n v="156"/>
    <s v="Truck"/>
    <n v="3"/>
    <s v="Germany"/>
    <s v="Mid-range"/>
    <n v="248701"/>
    <n v="3.08"/>
    <n v="5"/>
    <n v="9899185175.5599995"/>
  </r>
  <r>
    <x v="7"/>
    <s v="ID.4"/>
    <x v="6"/>
    <s v="Standard"/>
    <n v="86543.35"/>
    <n v="56.3"/>
    <n v="193"/>
    <n v="152"/>
    <s v="Hatchback"/>
    <n v="4"/>
    <s v="Germany"/>
    <s v="Premium"/>
    <n v="282690"/>
    <n v="3.24"/>
    <n v="3"/>
    <n v="24464939611.5"/>
  </r>
  <r>
    <x v="9"/>
    <s v="i4"/>
    <x v="6"/>
    <s v="Standard"/>
    <n v="72989.13"/>
    <n v="82"/>
    <n v="298"/>
    <n v="146"/>
    <s v="Hatchback"/>
    <n v="5"/>
    <s v="Germany"/>
    <s v="Premium"/>
    <n v="49770"/>
    <n v="3.42"/>
    <n v="8"/>
    <n v="3632669000.1000004"/>
  </r>
  <r>
    <x v="2"/>
    <s v="Model X"/>
    <x v="6"/>
    <s v="Long Range"/>
    <n v="142726.14000000001"/>
    <n v="94.6"/>
    <n v="318"/>
    <n v="176"/>
    <s v="Coupe"/>
    <n v="4"/>
    <s v="US"/>
    <s v="Luxury"/>
    <n v="176985"/>
    <n v="4.2300000000000004"/>
    <n v="5"/>
    <n v="25260385887.900002"/>
  </r>
  <r>
    <x v="5"/>
    <s v="EV9"/>
    <x v="6"/>
    <s v="Base"/>
    <n v="62907.99"/>
    <n v="56"/>
    <n v="184"/>
    <n v="142"/>
    <s v="SUV"/>
    <n v="5"/>
    <s v="South Korea"/>
    <s v="Mid-range"/>
    <n v="93165"/>
    <n v="3.26"/>
    <n v="3"/>
    <n v="5860822888.3499994"/>
  </r>
  <r>
    <x v="2"/>
    <s v="Model 3"/>
    <x v="6"/>
    <s v="Long Range"/>
    <n v="153057.04"/>
    <n v="85.2"/>
    <n v="285"/>
    <n v="186"/>
    <s v="Coupe"/>
    <n v="5"/>
    <s v="US"/>
    <s v="Luxury"/>
    <n v="178740"/>
    <n v="4.0599999999999996"/>
    <n v="5"/>
    <n v="27357415329.600002"/>
  </r>
  <r>
    <x v="3"/>
    <s v="Dolphin"/>
    <x v="6"/>
    <s v="Standard"/>
    <n v="82657.259999999995"/>
    <n v="83.9"/>
    <n v="294"/>
    <n v="153"/>
    <s v="Van"/>
    <n v="5"/>
    <s v="China"/>
    <s v="Premium"/>
    <n v="156944"/>
    <n v="3.54"/>
    <n v="4"/>
    <n v="12972561013.439999"/>
  </r>
  <r>
    <x v="9"/>
    <s v="i4"/>
    <x v="6"/>
    <s v="Standard"/>
    <n v="90499.68"/>
    <n v="42.2"/>
    <n v="167"/>
    <n v="132"/>
    <s v="Coupe"/>
    <n v="3"/>
    <s v="Germany"/>
    <s v="Premium"/>
    <n v="72987"/>
    <n v="3.29"/>
    <n v="7"/>
    <n v="6605300144.1599998"/>
  </r>
  <r>
    <x v="13"/>
    <s v="EQC"/>
    <x v="6"/>
    <s v="Performance"/>
    <n v="108052.79"/>
    <n v="111.2"/>
    <n v="390"/>
    <n v="196"/>
    <s v="Hatchback"/>
    <n v="5"/>
    <s v="Germany"/>
    <s v="Luxury"/>
    <n v="49733"/>
    <n v="4.0199999999999996"/>
    <n v="5"/>
    <n v="5373789405.0699997"/>
  </r>
  <r>
    <x v="3"/>
    <s v="Leaf 50X"/>
    <x v="6"/>
    <s v="Premium"/>
    <n v="60331.49"/>
    <n v="43.6"/>
    <n v="175"/>
    <n v="136"/>
    <s v="Coupe"/>
    <n v="4"/>
    <s v="China"/>
    <s v="Mid-range"/>
    <n v="145412"/>
    <n v="3.34"/>
    <n v="4"/>
    <n v="8772922623.8799992"/>
  </r>
  <r>
    <x v="9"/>
    <s v="iX"/>
    <x v="6"/>
    <s v="Standard"/>
    <n v="111475.63"/>
    <n v="44.2"/>
    <n v="150"/>
    <n v="159"/>
    <s v="Van"/>
    <n v="4"/>
    <s v="Germany"/>
    <s v="Luxury"/>
    <n v="22266"/>
    <n v="3.33"/>
    <n v="5"/>
    <n v="2482116377.5799999"/>
  </r>
  <r>
    <x v="3"/>
    <s v="Atto 3"/>
    <x v="6"/>
    <s v="Long Range"/>
    <n v="67426.929999999993"/>
    <n v="98.7"/>
    <n v="353"/>
    <n v="162"/>
    <s v="Sedan"/>
    <n v="4"/>
    <s v="China"/>
    <s v="Premium"/>
    <n v="102350"/>
    <n v="3.66"/>
    <n v="4"/>
    <n v="6901146285.499999"/>
  </r>
  <r>
    <x v="8"/>
    <s v="E-Transit"/>
    <x v="6"/>
    <s v="Performance"/>
    <n v="48841.01"/>
    <n v="87.7"/>
    <n v="333"/>
    <n v="180"/>
    <s v="Hatchback"/>
    <n v="4"/>
    <s v="US"/>
    <s v="Mid-range"/>
    <n v="32288"/>
    <n v="3.72"/>
    <n v="4"/>
    <n v="1576978530.8800001"/>
  </r>
  <r>
    <x v="5"/>
    <s v="Niro EV"/>
    <x v="6"/>
    <s v="Standard"/>
    <n v="72349.570000000007"/>
    <n v="59.3"/>
    <n v="198"/>
    <n v="149"/>
    <s v="SUV"/>
    <n v="4"/>
    <s v="South Korea"/>
    <s v="Premium"/>
    <n v="69075"/>
    <n v="3.22"/>
    <n v="5"/>
    <n v="4997546547.750001"/>
  </r>
  <r>
    <x v="8"/>
    <s v="Explorer EV"/>
    <x v="6"/>
    <s v="Standard"/>
    <n v="69136.539999999994"/>
    <n v="53.2"/>
    <n v="193"/>
    <n v="161"/>
    <s v="SUV"/>
    <n v="3"/>
    <s v="US"/>
    <s v="Premium"/>
    <n v="61663"/>
    <n v="3.2"/>
    <n v="4"/>
    <n v="4263166466.0199995"/>
  </r>
  <r>
    <x v="15"/>
    <s v="Taycan"/>
    <x v="6"/>
    <s v="Long Range"/>
    <n v="220736.96"/>
    <n v="82.6"/>
    <n v="288"/>
    <n v="161"/>
    <s v="SUV"/>
    <n v="5"/>
    <s v="Germany"/>
    <s v="Luxury"/>
    <n v="5345"/>
    <n v="3.64"/>
    <n v="6"/>
    <n v="1179839051.2"/>
  </r>
  <r>
    <x v="7"/>
    <s v="ID. Aero"/>
    <x v="6"/>
    <s v="Standard"/>
    <n v="36003.86"/>
    <n v="51.5"/>
    <n v="216"/>
    <n v="170"/>
    <s v="Hatchback"/>
    <n v="5"/>
    <s v="Germany"/>
    <s v="Mid-range"/>
    <n v="241049"/>
    <n v="3.54"/>
    <n v="3"/>
    <n v="8678694449.1399994"/>
  </r>
  <r>
    <x v="2"/>
    <s v="Model Y"/>
    <x v="6"/>
    <s v="Standard"/>
    <n v="40006.71"/>
    <n v="63.9"/>
    <n v="241"/>
    <n v="131"/>
    <s v="Truck"/>
    <n v="4"/>
    <s v="US"/>
    <s v="Mid-range"/>
    <n v="488644"/>
    <n v="3.74"/>
    <n v="4"/>
    <n v="19549038801.239998"/>
  </r>
  <r>
    <x v="2"/>
    <s v="Model Y"/>
    <x v="6"/>
    <s v="Base"/>
    <n v="41355.449999999997"/>
    <n v="69.599999999999994"/>
    <n v="247"/>
    <n v="165"/>
    <s v="Van"/>
    <n v="4"/>
    <s v="US"/>
    <s v="Mid-range"/>
    <n v="407336"/>
    <n v="3.8"/>
    <n v="4"/>
    <n v="16845563581.199999"/>
  </r>
  <r>
    <x v="2"/>
    <s v="Model S"/>
    <x v="6"/>
    <s v="Base"/>
    <n v="88832.48"/>
    <n v="49.6"/>
    <n v="157"/>
    <n v="138"/>
    <s v="Coupe"/>
    <n v="5"/>
    <s v="US"/>
    <s v="Premium"/>
    <n v="238605"/>
    <n v="3.46"/>
    <n v="4"/>
    <n v="21195873890.399998"/>
  </r>
  <r>
    <x v="4"/>
    <s v="Q4 e-tron"/>
    <x v="6"/>
    <s v="Long Range"/>
    <n v="71435.350000000006"/>
    <n v="106"/>
    <n v="377"/>
    <n v="176"/>
    <s v="Hatchback"/>
    <n v="3"/>
    <s v="Germany"/>
    <s v="Premium"/>
    <n v="45647"/>
    <n v="3.96"/>
    <n v="6"/>
    <n v="3260809421.4500003"/>
  </r>
  <r>
    <x v="7"/>
    <s v="ID.3"/>
    <x v="6"/>
    <s v="Long Range"/>
    <n v="92636.43"/>
    <n v="109.7"/>
    <n v="373"/>
    <n v="188"/>
    <s v="Truck"/>
    <n v="5"/>
    <s v="Germany"/>
    <s v="Premium"/>
    <n v="243081"/>
    <n v="3.92"/>
    <n v="3"/>
    <n v="22518156040.829998"/>
  </r>
  <r>
    <x v="2"/>
    <s v="Model X"/>
    <x v="6"/>
    <s v="Performance"/>
    <n v="167028.1"/>
    <n v="106.1"/>
    <n v="356"/>
    <n v="186"/>
    <s v="SUV"/>
    <n v="4"/>
    <s v="US"/>
    <s v="Luxury"/>
    <n v="191484"/>
    <n v="4.17"/>
    <n v="5"/>
    <n v="31983208700.400002"/>
  </r>
  <r>
    <x v="13"/>
    <s v="EQC"/>
    <x v="6"/>
    <s v="Base"/>
    <n v="137679.26999999999"/>
    <n v="71.2"/>
    <n v="244"/>
    <n v="136"/>
    <s v="Coupe"/>
    <n v="5"/>
    <s v="Germany"/>
    <s v="Luxury"/>
    <n v="34790"/>
    <n v="3.64"/>
    <n v="7"/>
    <n v="4789861803.2999992"/>
  </r>
  <r>
    <x v="7"/>
    <s v="ID. Buzz"/>
    <x v="6"/>
    <s v="Base"/>
    <n v="46634.879999999997"/>
    <n v="48.4"/>
    <n v="169"/>
    <n v="137"/>
    <s v="Van"/>
    <n v="4"/>
    <s v="Germany"/>
    <s v="Mid-range"/>
    <n v="203221"/>
    <n v="3.33"/>
    <n v="4"/>
    <n v="9477186948.4799995"/>
  </r>
  <r>
    <x v="13"/>
    <s v="EQG"/>
    <x v="6"/>
    <s v="Premium"/>
    <n v="115211.58"/>
    <n v="57.3"/>
    <n v="174"/>
    <n v="161"/>
    <s v="Sedan"/>
    <n v="4"/>
    <s v="Germany"/>
    <s v="Luxury"/>
    <n v="42340"/>
    <n v="3.43"/>
    <n v="6"/>
    <n v="4878058297.1999998"/>
  </r>
  <r>
    <x v="7"/>
    <s v="ID.4"/>
    <x v="6"/>
    <s v="Standard"/>
    <n v="44501.34"/>
    <n v="41.7"/>
    <n v="150"/>
    <n v="135"/>
    <s v="Coupe"/>
    <n v="5"/>
    <s v="Germany"/>
    <s v="Mid-range"/>
    <n v="220387"/>
    <n v="3.14"/>
    <n v="5"/>
    <n v="9807516818.5799999"/>
  </r>
  <r>
    <x v="8"/>
    <s v="Mustang Mach-E"/>
    <x v="6"/>
    <s v="Long Range"/>
    <n v="53193.55"/>
    <n v="98"/>
    <n v="364"/>
    <n v="173"/>
    <s v="Van"/>
    <n v="4"/>
    <s v="US"/>
    <s v="Mid-range"/>
    <n v="23578"/>
    <n v="3.93"/>
    <n v="4"/>
    <n v="1254197521.9000001"/>
  </r>
  <r>
    <x v="18"/>
    <s v="e:Ny1"/>
    <x v="6"/>
    <s v="Performance"/>
    <n v="51309.25"/>
    <n v="118.5"/>
    <n v="410"/>
    <n v="200"/>
    <s v="Sedan"/>
    <n v="5"/>
    <s v="Japan"/>
    <s v="Mid-range"/>
    <n v="6885"/>
    <n v="3.78"/>
    <n v="5"/>
    <n v="353264186.25"/>
  </r>
  <r>
    <x v="9"/>
    <s v="i7"/>
    <x v="6"/>
    <s v="Base"/>
    <n v="48107.44"/>
    <n v="41.6"/>
    <n v="150"/>
    <n v="169"/>
    <s v="SUV"/>
    <n v="4"/>
    <s v="Germany"/>
    <s v="Mid-range"/>
    <n v="49300"/>
    <n v="3.02"/>
    <n v="7"/>
    <n v="2371696792"/>
  </r>
  <r>
    <x v="9"/>
    <s v="i7"/>
    <x v="6"/>
    <s v="Performance"/>
    <n v="116974.41"/>
    <n v="71.900000000000006"/>
    <n v="251"/>
    <n v="190"/>
    <s v="Truck"/>
    <n v="5"/>
    <s v="Germany"/>
    <s v="Luxury"/>
    <n v="50944"/>
    <n v="3.38"/>
    <n v="6"/>
    <n v="5959144343.04"/>
  </r>
  <r>
    <x v="6"/>
    <s v="Ioniq"/>
    <x v="6"/>
    <s v="Long Range"/>
    <n v="78614.710000000006"/>
    <n v="78"/>
    <n v="278"/>
    <n v="159"/>
    <s v="Truck"/>
    <n v="5"/>
    <s v="South Korea"/>
    <s v="Premium"/>
    <n v="126223"/>
    <n v="3.68"/>
    <n v="4"/>
    <n v="9922984540.3299999"/>
  </r>
  <r>
    <x v="13"/>
    <s v="GLE EV"/>
    <x v="6"/>
    <s v="Standard"/>
    <n v="135101.31"/>
    <n v="74.2"/>
    <n v="242"/>
    <n v="181"/>
    <s v="SUV"/>
    <n v="4"/>
    <s v="Germany"/>
    <s v="Luxury"/>
    <n v="54508"/>
    <n v="3.82"/>
    <n v="5"/>
    <n v="7364102205.4799995"/>
  </r>
  <r>
    <x v="3"/>
    <s v="Max"/>
    <x v="6"/>
    <s v="Performance"/>
    <n v="90766.48"/>
    <n v="91"/>
    <n v="318"/>
    <n v="200"/>
    <s v="Sedan"/>
    <n v="4"/>
    <s v="China"/>
    <s v="Premium"/>
    <n v="205278"/>
    <n v="3.53"/>
    <n v="3"/>
    <n v="18632361481.439999"/>
  </r>
  <r>
    <x v="2"/>
    <s v="Model Y"/>
    <x v="6"/>
    <s v="Base"/>
    <n v="111102.01"/>
    <n v="57.5"/>
    <n v="194"/>
    <n v="140"/>
    <s v="Sedan"/>
    <n v="5"/>
    <s v="US"/>
    <s v="Luxury"/>
    <n v="457566"/>
    <n v="3.79"/>
    <n v="5"/>
    <n v="50836502307.659996"/>
  </r>
  <r>
    <x v="2"/>
    <s v="Cybertruck"/>
    <x v="6"/>
    <s v="Base"/>
    <n v="121350.3"/>
    <n v="82.3"/>
    <n v="289"/>
    <n v="130"/>
    <s v="Truck"/>
    <n v="5"/>
    <s v="US"/>
    <s v="Luxury"/>
    <n v="144677"/>
    <n v="3.86"/>
    <n v="6"/>
    <n v="17556597353.100002"/>
  </r>
  <r>
    <x v="5"/>
    <s v="EV9"/>
    <x v="6"/>
    <s v="Long Range"/>
    <n v="37918.559999999998"/>
    <n v="79.900000000000006"/>
    <n v="304"/>
    <n v="182"/>
    <s v="SUV"/>
    <n v="5"/>
    <s v="South Korea"/>
    <s v="Mid-range"/>
    <n v="92798"/>
    <n v="3.66"/>
    <n v="3"/>
    <n v="3518766530.8799996"/>
  </r>
  <r>
    <x v="3"/>
    <s v="Dolphin"/>
    <x v="6"/>
    <s v="Base"/>
    <n v="33590.410000000003"/>
    <n v="74.099999999999994"/>
    <n v="252"/>
    <n v="140"/>
    <s v="Truck"/>
    <n v="4"/>
    <s v="China"/>
    <s v="Budget"/>
    <n v="225478"/>
    <n v="3.58"/>
    <n v="5"/>
    <n v="7573898465.9800005"/>
  </r>
  <r>
    <x v="3"/>
    <s v="Seagull"/>
    <x v="6"/>
    <s v="Standard"/>
    <n v="75687.78"/>
    <n v="57.9"/>
    <n v="223"/>
    <n v="136"/>
    <s v="Sedan"/>
    <n v="3"/>
    <s v="China"/>
    <s v="Premium"/>
    <n v="230330"/>
    <n v="3.4"/>
    <n v="4"/>
    <n v="17433166367.400002"/>
  </r>
  <r>
    <x v="6"/>
    <s v="Ioniq 6"/>
    <x v="6"/>
    <s v="Long Range"/>
    <n v="93179.93"/>
    <n v="102.1"/>
    <n v="351"/>
    <n v="181"/>
    <s v="Sedan"/>
    <n v="4"/>
    <s v="South Korea"/>
    <s v="Premium"/>
    <n v="64997"/>
    <n v="3.42"/>
    <n v="4"/>
    <n v="6056415910.2099991"/>
  </r>
  <r>
    <x v="2"/>
    <s v="Model S"/>
    <x v="6"/>
    <s v="Long Range"/>
    <n v="125990.82"/>
    <n v="75.3"/>
    <n v="272"/>
    <n v="171"/>
    <s v="Hatchback"/>
    <n v="5"/>
    <s v="US"/>
    <s v="Luxury"/>
    <n v="200607"/>
    <n v="3.97"/>
    <n v="4"/>
    <n v="25274640427.740002"/>
  </r>
  <r>
    <x v="3"/>
    <s v="Max"/>
    <x v="6"/>
    <s v="Standard"/>
    <n v="42445.79"/>
    <n v="53"/>
    <n v="173"/>
    <n v="167"/>
    <s v="Coupe"/>
    <n v="4"/>
    <s v="China"/>
    <s v="Mid-range"/>
    <n v="217748"/>
    <n v="3.05"/>
    <n v="5"/>
    <n v="9242485880.9200001"/>
  </r>
  <r>
    <x v="8"/>
    <s v="Explorer EV"/>
    <x v="6"/>
    <s v="Base"/>
    <n v="55828.42"/>
    <n v="47.5"/>
    <n v="163"/>
    <n v="167"/>
    <s v="Hatchback"/>
    <n v="5"/>
    <s v="US"/>
    <s v="Mid-range"/>
    <n v="64449"/>
    <n v="3.39"/>
    <n v="5"/>
    <n v="3598085840.5799999"/>
  </r>
  <r>
    <x v="7"/>
    <s v="ID.3"/>
    <x v="6"/>
    <s v="Standard"/>
    <n v="36867.620000000003"/>
    <n v="42"/>
    <n v="175"/>
    <n v="148"/>
    <s v="Van"/>
    <n v="5"/>
    <s v="Germany"/>
    <s v="Mid-range"/>
    <n v="299992"/>
    <n v="3.38"/>
    <n v="4"/>
    <n v="11059991059.040001"/>
  </r>
  <r>
    <x v="12"/>
    <s v="Blazer EV"/>
    <x v="6"/>
    <s v="Standard"/>
    <n v="47749.35"/>
    <n v="64.3"/>
    <n v="253"/>
    <n v="170"/>
    <s v="Truck"/>
    <n v="5"/>
    <s v="US"/>
    <s v="Mid-range"/>
    <n v="11602"/>
    <n v="3.26"/>
    <n v="4"/>
    <n v="553987958.69999993"/>
  </r>
  <r>
    <x v="9"/>
    <s v="iX"/>
    <x v="6"/>
    <s v="Standard"/>
    <n v="111337.67"/>
    <n v="83.1"/>
    <n v="295"/>
    <n v="167"/>
    <s v="Van"/>
    <n v="4"/>
    <s v="Germany"/>
    <s v="Luxury"/>
    <n v="20689"/>
    <n v="3.65"/>
    <n v="7"/>
    <n v="2303465054.6300001"/>
  </r>
  <r>
    <x v="2"/>
    <s v="Model Y"/>
    <x v="6"/>
    <s v="Base"/>
    <n v="113350.86"/>
    <n v="73.5"/>
    <n v="268"/>
    <n v="155"/>
    <s v="Sedan"/>
    <n v="5"/>
    <s v="US"/>
    <s v="Luxury"/>
    <n v="463970"/>
    <n v="3.62"/>
    <n v="6"/>
    <n v="52591398514.199997"/>
  </r>
  <r>
    <x v="7"/>
    <s v="ID.3"/>
    <x v="6"/>
    <s v="Long Range"/>
    <n v="57231.82"/>
    <n v="83.1"/>
    <n v="283"/>
    <n v="170"/>
    <s v="Van"/>
    <n v="4"/>
    <s v="Germany"/>
    <s v="Mid-range"/>
    <n v="290062"/>
    <n v="3.77"/>
    <n v="4"/>
    <n v="16600776172.84"/>
  </r>
  <r>
    <x v="5"/>
    <s v="Picanto EV"/>
    <x v="6"/>
    <s v="Long Range"/>
    <n v="38689.25"/>
    <n v="93"/>
    <n v="330"/>
    <n v="173"/>
    <s v="SUV"/>
    <n v="3"/>
    <s v="South Korea"/>
    <s v="Mid-range"/>
    <n v="112175"/>
    <n v="3.57"/>
    <n v="4"/>
    <n v="4339966618.75"/>
  </r>
  <r>
    <x v="2"/>
    <s v="Model 3"/>
    <x v="6"/>
    <s v="Standard"/>
    <n v="127646.69"/>
    <n v="65.599999999999994"/>
    <n v="239"/>
    <n v="154"/>
    <s v="SUV"/>
    <n v="4"/>
    <s v="US"/>
    <s v="Luxury"/>
    <n v="120535"/>
    <n v="3.74"/>
    <n v="4"/>
    <n v="15385893779.15"/>
  </r>
  <r>
    <x v="17"/>
    <s v="C40 Recharge"/>
    <x v="6"/>
    <s v="Long Range"/>
    <n v="68234.87"/>
    <n v="75.5"/>
    <n v="251"/>
    <n v="165"/>
    <s v="SUV"/>
    <n v="4"/>
    <s v="Sweden"/>
    <s v="Premium"/>
    <n v="22605"/>
    <n v="3.33"/>
    <n v="3"/>
    <n v="1542449236.3499999"/>
  </r>
  <r>
    <x v="11"/>
    <s v="R1S"/>
    <x v="6"/>
    <s v="Standard"/>
    <n v="87078.44"/>
    <n v="72.099999999999994"/>
    <n v="262"/>
    <n v="150"/>
    <s v="Coupe"/>
    <n v="5"/>
    <s v="US"/>
    <s v="Premium"/>
    <n v="21561"/>
    <n v="3.72"/>
    <n v="5"/>
    <n v="1877498244.8400002"/>
  </r>
  <r>
    <x v="1"/>
    <s v="Ronin"/>
    <x v="6"/>
    <s v="Base"/>
    <n v="89077.35"/>
    <n v="81.7"/>
    <n v="286"/>
    <n v="155"/>
    <s v="Coupe"/>
    <n v="4"/>
    <s v="US"/>
    <s v="Premium"/>
    <n v="28442"/>
    <n v="3.61"/>
    <n v="5"/>
    <n v="2533537988.7000003"/>
  </r>
  <r>
    <x v="2"/>
    <s v="Cybertruck"/>
    <x v="6"/>
    <s v="Base"/>
    <n v="101101.42"/>
    <n v="71.8"/>
    <n v="255"/>
    <n v="163"/>
    <s v="Truck"/>
    <n v="3"/>
    <s v="US"/>
    <s v="Luxury"/>
    <n v="118722"/>
    <n v="3.89"/>
    <n v="5"/>
    <n v="12002962785.24"/>
  </r>
  <r>
    <x v="5"/>
    <s v="EV6"/>
    <x v="6"/>
    <s v="Base"/>
    <n v="65902.95"/>
    <n v="59.6"/>
    <n v="203"/>
    <n v="132"/>
    <s v="Sedan"/>
    <n v="4"/>
    <s v="South Korea"/>
    <s v="Premium"/>
    <n v="95119"/>
    <n v="3.3"/>
    <n v="4"/>
    <n v="6268622701.0500002"/>
  </r>
  <r>
    <x v="9"/>
    <s v="i3"/>
    <x v="6"/>
    <s v="Standard"/>
    <n v="62674.5"/>
    <n v="70.599999999999994"/>
    <n v="211"/>
    <n v="160"/>
    <s v="Coupe"/>
    <n v="3"/>
    <s v="Germany"/>
    <s v="Mid-range"/>
    <n v="61611"/>
    <n v="3.24"/>
    <n v="6"/>
    <n v="3861438619.5"/>
  </r>
  <r>
    <x v="7"/>
    <s v="ID. Buzz"/>
    <x v="6"/>
    <s v="Premium"/>
    <n v="50055.73"/>
    <n v="71.2"/>
    <n v="256"/>
    <n v="140"/>
    <s v="Hatchback"/>
    <n v="5"/>
    <s v="Germany"/>
    <s v="Mid-range"/>
    <n v="296123"/>
    <n v="3.65"/>
    <n v="3"/>
    <n v="14822652934.790001"/>
  </r>
  <r>
    <x v="4"/>
    <s v="e-tron GT"/>
    <x v="6"/>
    <s v="Premium"/>
    <n v="101046.9"/>
    <n v="80.3"/>
    <n v="301"/>
    <n v="174"/>
    <s v="SUV"/>
    <n v="4"/>
    <s v="Germany"/>
    <s v="Luxury"/>
    <n v="68624"/>
    <n v="3.78"/>
    <n v="7"/>
    <n v="6934242465.5999994"/>
  </r>
  <r>
    <x v="3"/>
    <s v="Max"/>
    <x v="6"/>
    <s v="Long Range"/>
    <n v="92693.85"/>
    <n v="89.9"/>
    <n v="310"/>
    <n v="159"/>
    <s v="Truck"/>
    <n v="5"/>
    <s v="China"/>
    <s v="Premium"/>
    <n v="133159"/>
    <n v="3.42"/>
    <n v="4"/>
    <n v="12343020372.150002"/>
  </r>
  <r>
    <x v="3"/>
    <s v="Atto 3"/>
    <x v="6"/>
    <s v="Performance"/>
    <n v="110109.78"/>
    <n v="119.3"/>
    <n v="403"/>
    <n v="200"/>
    <s v="Van"/>
    <n v="4"/>
    <s v="China"/>
    <s v="Luxury"/>
    <n v="116675"/>
    <n v="4.1900000000000004"/>
    <n v="4"/>
    <n v="12847058581.5"/>
  </r>
  <r>
    <x v="12"/>
    <s v="Equinox EV"/>
    <x v="6"/>
    <s v="Premium"/>
    <n v="81491.33"/>
    <n v="73.3"/>
    <n v="257"/>
    <n v="145"/>
    <s v="SUV"/>
    <n v="3"/>
    <s v="US"/>
    <s v="Premium"/>
    <n v="15310"/>
    <n v="3.75"/>
    <n v="4"/>
    <n v="1247632262.3"/>
  </r>
  <r>
    <x v="3"/>
    <s v="Atto 3"/>
    <x v="6"/>
    <s v="Long Range"/>
    <n v="104593.9"/>
    <n v="89.1"/>
    <n v="296"/>
    <n v="172"/>
    <s v="Van"/>
    <n v="5"/>
    <s v="China"/>
    <s v="Luxury"/>
    <n v="219672"/>
    <n v="3.59"/>
    <n v="3"/>
    <n v="22976351200.799999"/>
  </r>
  <r>
    <x v="8"/>
    <s v="F-150 Lightning"/>
    <x v="6"/>
    <s v="Premium"/>
    <n v="95704.24"/>
    <n v="84.6"/>
    <n v="300"/>
    <n v="176"/>
    <s v="Truck"/>
    <n v="5"/>
    <s v="US"/>
    <s v="Premium"/>
    <n v="70819"/>
    <n v="3.48"/>
    <n v="4"/>
    <n v="6777678572.5600004"/>
  </r>
  <r>
    <x v="5"/>
    <s v="EV6"/>
    <x v="6"/>
    <s v="Premium"/>
    <n v="81787.56"/>
    <n v="61.8"/>
    <n v="200"/>
    <n v="173"/>
    <s v="Coupe"/>
    <n v="3"/>
    <s v="South Korea"/>
    <s v="Premium"/>
    <n v="103637"/>
    <n v="3.28"/>
    <n v="4"/>
    <n v="8476217355.7199993"/>
  </r>
  <r>
    <x v="3"/>
    <s v="Max"/>
    <x v="6"/>
    <s v="Standard"/>
    <n v="76922.710000000006"/>
    <n v="71.2"/>
    <n v="254"/>
    <n v="139"/>
    <s v="Truck"/>
    <n v="5"/>
    <s v="China"/>
    <s v="Premium"/>
    <n v="121433"/>
    <n v="3.41"/>
    <n v="4"/>
    <n v="9340955443.4300003"/>
  </r>
  <r>
    <x v="2"/>
    <s v="Model Y"/>
    <x v="6"/>
    <s v="Standard"/>
    <n v="131838.32999999999"/>
    <n v="68.900000000000006"/>
    <n v="241"/>
    <n v="152"/>
    <s v="Sedan"/>
    <n v="5"/>
    <s v="US"/>
    <s v="Luxury"/>
    <n v="410211"/>
    <n v="3.81"/>
    <n v="5"/>
    <n v="54081533187.629997"/>
  </r>
  <r>
    <x v="6"/>
    <s v="Ioniq 5"/>
    <x v="6"/>
    <s v="Standard"/>
    <n v="60217.03"/>
    <n v="73.900000000000006"/>
    <n v="251"/>
    <n v="159"/>
    <s v="SUV"/>
    <n v="4"/>
    <s v="South Korea"/>
    <s v="Mid-range"/>
    <n v="83698"/>
    <n v="3.17"/>
    <n v="5"/>
    <n v="5040044976.9399996"/>
  </r>
  <r>
    <x v="5"/>
    <s v="Sportage EV"/>
    <x v="6"/>
    <s v="Base"/>
    <n v="72429.61"/>
    <n v="64.2"/>
    <n v="178"/>
    <n v="153"/>
    <s v="SUV"/>
    <n v="5"/>
    <s v="South Korea"/>
    <s v="Premium"/>
    <n v="52716"/>
    <n v="3"/>
    <n v="4"/>
    <n v="3818199320.7600002"/>
  </r>
  <r>
    <x v="11"/>
    <s v="R2"/>
    <x v="6"/>
    <s v="Long Range"/>
    <n v="98562.96"/>
    <n v="97.1"/>
    <n v="316"/>
    <n v="160"/>
    <s v="SUV"/>
    <n v="3"/>
    <s v="US"/>
    <s v="Premium"/>
    <n v="20133"/>
    <n v="3.71"/>
    <n v="6"/>
    <n v="1984368073.6800001"/>
  </r>
  <r>
    <x v="13"/>
    <s v="EQC"/>
    <x v="6"/>
    <s v="Premium"/>
    <n v="151394.73000000001"/>
    <n v="70.8"/>
    <n v="264"/>
    <n v="153"/>
    <s v="Van"/>
    <n v="5"/>
    <s v="Germany"/>
    <s v="Luxury"/>
    <n v="37405"/>
    <n v="3.71"/>
    <n v="6"/>
    <n v="5662919875.6500006"/>
  </r>
  <r>
    <x v="7"/>
    <s v="ID. Buzz"/>
    <x v="6"/>
    <s v="Long Range"/>
    <n v="42399.68"/>
    <n v="101.9"/>
    <n v="356"/>
    <n v="186"/>
    <s v="Hatchback"/>
    <n v="4"/>
    <s v="Germany"/>
    <s v="Mid-range"/>
    <n v="252676"/>
    <n v="3.68"/>
    <n v="5"/>
    <n v="10713381543.68"/>
  </r>
  <r>
    <x v="3"/>
    <s v="Atto 3"/>
    <x v="6"/>
    <s v="Performance"/>
    <n v="31933.47"/>
    <n v="119.9"/>
    <n v="430"/>
    <n v="200"/>
    <s v="Coupe"/>
    <n v="3"/>
    <s v="China"/>
    <s v="Budget"/>
    <n v="219100"/>
    <n v="4.1900000000000004"/>
    <n v="5"/>
    <n v="6996623277"/>
  </r>
  <r>
    <x v="7"/>
    <s v="ID.3"/>
    <x v="6"/>
    <s v="Standard"/>
    <n v="33483.919999999998"/>
    <n v="82.6"/>
    <n v="293"/>
    <n v="160"/>
    <s v="Truck"/>
    <n v="5"/>
    <s v="Germany"/>
    <s v="Budget"/>
    <n v="207337"/>
    <n v="3.62"/>
    <n v="5"/>
    <n v="6942455521.04"/>
  </r>
  <r>
    <x v="11"/>
    <s v="R1S"/>
    <x v="6"/>
    <s v="Premium"/>
    <n v="110739.07"/>
    <n v="48.4"/>
    <n v="163"/>
    <n v="146"/>
    <s v="Sedan"/>
    <n v="5"/>
    <s v="US"/>
    <s v="Luxury"/>
    <n v="26386"/>
    <n v="3.24"/>
    <n v="6"/>
    <n v="2921961101.02"/>
  </r>
  <r>
    <x v="4"/>
    <s v="Q4 e-tron"/>
    <x v="6"/>
    <s v="Performance"/>
    <n v="163470.92000000001"/>
    <n v="73.400000000000006"/>
    <n v="267"/>
    <n v="196"/>
    <s v="Sedan"/>
    <n v="5"/>
    <s v="Germany"/>
    <s v="Luxury"/>
    <n v="31112"/>
    <n v="3.43"/>
    <n v="6"/>
    <n v="5085907263.04"/>
  </r>
  <r>
    <x v="5"/>
    <s v="Niro EV"/>
    <x v="6"/>
    <s v="Performance"/>
    <n v="110515.91"/>
    <n v="78.099999999999994"/>
    <n v="283"/>
    <n v="200"/>
    <s v="Coupe"/>
    <n v="5"/>
    <s v="South Korea"/>
    <s v="Luxury"/>
    <n v="62032"/>
    <n v="3.56"/>
    <n v="3"/>
    <n v="6855522929.1199999"/>
  </r>
  <r>
    <x v="7"/>
    <s v="ID.3"/>
    <x v="6"/>
    <s v="Base"/>
    <n v="56734.76"/>
    <n v="49.7"/>
    <n v="207"/>
    <n v="168"/>
    <s v="Hatchback"/>
    <n v="4"/>
    <s v="Germany"/>
    <s v="Mid-range"/>
    <n v="257294"/>
    <n v="3.13"/>
    <n v="4"/>
    <n v="14597513339.440001"/>
  </r>
  <r>
    <x v="9"/>
    <s v="i7"/>
    <x v="6"/>
    <s v="Premium"/>
    <n v="125746.52"/>
    <n v="63.5"/>
    <n v="224"/>
    <n v="168"/>
    <s v="Hatchback"/>
    <n v="3"/>
    <s v="Germany"/>
    <s v="Luxury"/>
    <n v="62950"/>
    <n v="3.45"/>
    <n v="6"/>
    <n v="7915743434"/>
  </r>
  <r>
    <x v="3"/>
    <s v="Yuan Plus"/>
    <x v="6"/>
    <s v="Base"/>
    <n v="71806.41"/>
    <n v="73"/>
    <n v="253"/>
    <n v="163"/>
    <s v="Sedan"/>
    <n v="4"/>
    <s v="China"/>
    <s v="Premium"/>
    <n v="163682"/>
    <n v="3.35"/>
    <n v="3"/>
    <n v="11753416801.620001"/>
  </r>
  <r>
    <x v="4"/>
    <s v="Q4 e-tron"/>
    <x v="6"/>
    <s v="Long Range"/>
    <n v="145965.35999999999"/>
    <n v="78.2"/>
    <n v="269"/>
    <n v="173"/>
    <s v="Coupe"/>
    <n v="4"/>
    <s v="Germany"/>
    <s v="Luxury"/>
    <n v="21092"/>
    <n v="3.74"/>
    <n v="6"/>
    <n v="3078701373.1199999"/>
  </r>
  <r>
    <x v="2"/>
    <s v="Model 3"/>
    <x v="6"/>
    <s v="Performance"/>
    <n v="147080.28"/>
    <n v="107.7"/>
    <n v="395"/>
    <n v="195"/>
    <s v="Sedan"/>
    <n v="5"/>
    <s v="US"/>
    <s v="Luxury"/>
    <n v="199927"/>
    <n v="4.26"/>
    <n v="5"/>
    <n v="29405319139.560001"/>
  </r>
  <r>
    <x v="5"/>
    <s v="EV9"/>
    <x v="6"/>
    <s v="Performance"/>
    <n v="78041.17"/>
    <n v="113.5"/>
    <n v="407"/>
    <n v="185"/>
    <s v="SUV"/>
    <n v="5"/>
    <s v="South Korea"/>
    <s v="Premium"/>
    <n v="103428"/>
    <n v="3.83"/>
    <n v="4"/>
    <n v="8071642130.7600002"/>
  </r>
  <r>
    <x v="3"/>
    <s v="Seagull"/>
    <x v="6"/>
    <s v="Performance"/>
    <n v="95761.12"/>
    <n v="80.599999999999994"/>
    <n v="277"/>
    <n v="181"/>
    <s v="Coupe"/>
    <n v="4"/>
    <s v="China"/>
    <s v="Premium"/>
    <n v="171938"/>
    <n v="3.56"/>
    <n v="3"/>
    <n v="16464975450.559999"/>
  </r>
  <r>
    <x v="5"/>
    <s v="Niro EV"/>
    <x v="6"/>
    <s v="Performance"/>
    <n v="91033.29"/>
    <n v="72.5"/>
    <n v="267"/>
    <n v="194"/>
    <s v="Van"/>
    <n v="4"/>
    <s v="South Korea"/>
    <s v="Premium"/>
    <n v="54833"/>
    <n v="3.25"/>
    <n v="4"/>
    <n v="4991628390.5699997"/>
  </r>
  <r>
    <x v="8"/>
    <s v="Explorer EV"/>
    <x v="6"/>
    <s v="Premium"/>
    <n v="97985.03"/>
    <n v="84.1"/>
    <n v="304"/>
    <n v="167"/>
    <s v="Sedan"/>
    <n v="5"/>
    <s v="US"/>
    <s v="Premium"/>
    <n v="45069"/>
    <n v="3.49"/>
    <n v="3"/>
    <n v="4416087317.0699997"/>
  </r>
  <r>
    <x v="3"/>
    <s v="Dolphin"/>
    <x v="6"/>
    <s v="Long Range"/>
    <n v="49411.4"/>
    <n v="105.1"/>
    <n v="362"/>
    <n v="181"/>
    <s v="SUV"/>
    <n v="4"/>
    <s v="China"/>
    <s v="Mid-range"/>
    <n v="124104"/>
    <n v="3.7"/>
    <n v="4"/>
    <n v="6132152385.6000004"/>
  </r>
  <r>
    <x v="9"/>
    <s v="i3"/>
    <x v="6"/>
    <s v="Performance"/>
    <n v="148406.75"/>
    <n v="116.4"/>
    <n v="409"/>
    <n v="187"/>
    <s v="Hatchback"/>
    <n v="4"/>
    <s v="Germany"/>
    <s v="Luxury"/>
    <n v="27898"/>
    <n v="3.83"/>
    <n v="6"/>
    <n v="4140251511.5"/>
  </r>
  <r>
    <x v="13"/>
    <s v="EQG"/>
    <x v="6"/>
    <s v="Base"/>
    <n v="129546.31"/>
    <n v="72"/>
    <n v="248"/>
    <n v="174"/>
    <s v="Truck"/>
    <n v="4"/>
    <s v="Germany"/>
    <s v="Luxury"/>
    <n v="57503"/>
    <n v="3.59"/>
    <n v="6"/>
    <n v="7449301463.9300003"/>
  </r>
  <r>
    <x v="13"/>
    <s v="EQE"/>
    <x v="6"/>
    <s v="Performance"/>
    <n v="148924.89000000001"/>
    <n v="98.3"/>
    <n v="357"/>
    <n v="196"/>
    <s v="SUV"/>
    <n v="4"/>
    <s v="Germany"/>
    <s v="Luxury"/>
    <n v="66282"/>
    <n v="3.8"/>
    <n v="7"/>
    <n v="9871039558.9800014"/>
  </r>
  <r>
    <x v="7"/>
    <s v="ID. Aero"/>
    <x v="6"/>
    <s v="Standard"/>
    <n v="86339.6"/>
    <n v="57.8"/>
    <n v="217"/>
    <n v="145"/>
    <s v="Sedan"/>
    <n v="5"/>
    <s v="Germany"/>
    <s v="Premium"/>
    <n v="279621"/>
    <n v="3.38"/>
    <n v="3"/>
    <n v="24142365291.600002"/>
  </r>
  <r>
    <x v="2"/>
    <s v="Model S"/>
    <x v="6"/>
    <s v="Performance"/>
    <n v="120990.97"/>
    <n v="76.900000000000006"/>
    <n v="272"/>
    <n v="200"/>
    <s v="Truck"/>
    <n v="4"/>
    <s v="US"/>
    <s v="Luxury"/>
    <n v="177875"/>
    <n v="3.74"/>
    <n v="5"/>
    <n v="21521268788.75"/>
  </r>
  <r>
    <x v="8"/>
    <s v="Mustang Mach-E"/>
    <x v="6"/>
    <s v="Premium"/>
    <n v="56792.12"/>
    <n v="67.2"/>
    <n v="207"/>
    <n v="135"/>
    <s v="SUV"/>
    <n v="4"/>
    <s v="US"/>
    <s v="Mid-range"/>
    <n v="31784"/>
    <n v="3.24"/>
    <n v="4"/>
    <n v="1805080742.0800002"/>
  </r>
  <r>
    <x v="7"/>
    <s v="ID. Aero"/>
    <x v="6"/>
    <s v="Standard"/>
    <n v="69769.06"/>
    <n v="45"/>
    <n v="150"/>
    <n v="140"/>
    <s v="Hatchback"/>
    <n v="4"/>
    <s v="Germany"/>
    <s v="Premium"/>
    <n v="251078"/>
    <n v="3"/>
    <n v="4"/>
    <n v="17517476046.68"/>
  </r>
  <r>
    <x v="3"/>
    <s v="Yuan Plus"/>
    <x v="6"/>
    <s v="Standard"/>
    <n v="35604.120000000003"/>
    <n v="69.8"/>
    <n v="235"/>
    <n v="174"/>
    <s v="Truck"/>
    <n v="5"/>
    <s v="China"/>
    <s v="Mid-range"/>
    <n v="210674"/>
    <n v="3.59"/>
    <n v="3"/>
    <n v="7500862376.8800001"/>
  </r>
  <r>
    <x v="5"/>
    <s v="Picanto EV"/>
    <x v="6"/>
    <s v="Long Range"/>
    <n v="70115.710000000006"/>
    <n v="95.5"/>
    <n v="342"/>
    <n v="168"/>
    <s v="Sedan"/>
    <n v="5"/>
    <s v="South Korea"/>
    <s v="Premium"/>
    <n v="82992"/>
    <n v="3.83"/>
    <n v="4"/>
    <n v="5819043004.3200006"/>
  </r>
  <r>
    <x v="7"/>
    <s v="ID. Buzz"/>
    <x v="6"/>
    <s v="Base"/>
    <n v="70180.350000000006"/>
    <n v="48.8"/>
    <n v="170"/>
    <n v="159"/>
    <s v="Truck"/>
    <n v="4"/>
    <s v="Germany"/>
    <s v="Premium"/>
    <n v="220918"/>
    <n v="3.38"/>
    <n v="4"/>
    <n v="15504102561.300001"/>
  </r>
  <r>
    <x v="11"/>
    <s v="R3"/>
    <x v="6"/>
    <s v="Performance"/>
    <n v="113739.43"/>
    <n v="106.9"/>
    <n v="358"/>
    <n v="200"/>
    <s v="Coupe"/>
    <n v="4"/>
    <s v="US"/>
    <s v="Luxury"/>
    <n v="22439"/>
    <n v="3.75"/>
    <n v="6"/>
    <n v="2552199069.77"/>
  </r>
  <r>
    <x v="0"/>
    <s v="bZ4X"/>
    <x v="6"/>
    <s v="Long Range"/>
    <n v="89238.61"/>
    <n v="105.2"/>
    <n v="336"/>
    <n v="178"/>
    <s v="Hatchback"/>
    <n v="5"/>
    <s v="Japan"/>
    <s v="Premium"/>
    <n v="3195"/>
    <n v="3.98"/>
    <n v="5"/>
    <n v="285117358.94999999"/>
  </r>
  <r>
    <x v="13"/>
    <s v="EQS"/>
    <x v="6"/>
    <s v="Premium"/>
    <n v="108752.82"/>
    <n v="76.2"/>
    <n v="250"/>
    <n v="144"/>
    <s v="SUV"/>
    <n v="4"/>
    <s v="Germany"/>
    <s v="Luxury"/>
    <n v="65854"/>
    <n v="3.7"/>
    <n v="6"/>
    <n v="7161808208.2800007"/>
  </r>
  <r>
    <x v="4"/>
    <s v="e-tron"/>
    <x v="6"/>
    <s v="Performance"/>
    <n v="104966.05"/>
    <n v="96.6"/>
    <n v="360"/>
    <n v="200"/>
    <s v="Sedan"/>
    <n v="4"/>
    <s v="Germany"/>
    <s v="Luxury"/>
    <n v="20618"/>
    <n v="3.66"/>
    <n v="6"/>
    <n v="2164190018.9000001"/>
  </r>
  <r>
    <x v="6"/>
    <s v="Ioniq 6"/>
    <x v="6"/>
    <s v="Premium"/>
    <n v="43930.22"/>
    <n v="71.2"/>
    <n v="285"/>
    <n v="141"/>
    <s v="SUV"/>
    <n v="4"/>
    <s v="South Korea"/>
    <s v="Mid-range"/>
    <n v="60140"/>
    <n v="3.56"/>
    <n v="4"/>
    <n v="2641963430.8000002"/>
  </r>
  <r>
    <x v="5"/>
    <s v="EV9"/>
    <x v="6"/>
    <s v="Long Range"/>
    <n v="68589.740000000005"/>
    <n v="83.3"/>
    <n v="269"/>
    <n v="185"/>
    <s v="SUV"/>
    <n v="5"/>
    <s v="South Korea"/>
    <s v="Premium"/>
    <n v="136116"/>
    <n v="3.29"/>
    <n v="3"/>
    <n v="9336161049.8400002"/>
  </r>
  <r>
    <x v="6"/>
    <s v="Ioniq 6"/>
    <x v="6"/>
    <s v="Premium"/>
    <n v="56433"/>
    <n v="62.7"/>
    <n v="241"/>
    <n v="161"/>
    <s v="Truck"/>
    <n v="4"/>
    <s v="South Korea"/>
    <s v="Mid-range"/>
    <n v="82791"/>
    <n v="3.39"/>
    <n v="4"/>
    <n v="4672144503"/>
  </r>
  <r>
    <x v="3"/>
    <s v="Atto 3"/>
    <x v="6"/>
    <s v="Long Range"/>
    <n v="27583.09"/>
    <n v="88.1"/>
    <n v="308"/>
    <n v="181"/>
    <s v="Truck"/>
    <n v="5"/>
    <s v="China"/>
    <s v="Budget"/>
    <n v="122434"/>
    <n v="3.77"/>
    <n v="5"/>
    <n v="3377108041.0599999"/>
  </r>
  <r>
    <x v="2"/>
    <s v="Model S"/>
    <x v="6"/>
    <s v="Base"/>
    <n v="58826.879999999997"/>
    <n v="44.1"/>
    <n v="150"/>
    <n v="133"/>
    <s v="Sedan"/>
    <n v="4"/>
    <s v="US"/>
    <s v="Mid-range"/>
    <n v="198300"/>
    <n v="3.51"/>
    <n v="5"/>
    <n v="11665370304"/>
  </r>
  <r>
    <x v="1"/>
    <s v="Ronin"/>
    <x v="6"/>
    <s v="Standard"/>
    <n v="93652.94"/>
    <n v="54.5"/>
    <n v="193"/>
    <n v="177"/>
    <s v="Sedan"/>
    <n v="3"/>
    <s v="US"/>
    <s v="Premium"/>
    <n v="24709"/>
    <n v="3.26"/>
    <n v="5"/>
    <n v="2314070494.46"/>
  </r>
  <r>
    <x v="2"/>
    <s v="Model 3"/>
    <x v="6"/>
    <s v="Performance"/>
    <n v="112274.6"/>
    <n v="73.599999999999994"/>
    <n v="242"/>
    <n v="190"/>
    <s v="Hatchback"/>
    <n v="4"/>
    <s v="US"/>
    <s v="Luxury"/>
    <n v="193133"/>
    <n v="3.85"/>
    <n v="5"/>
    <n v="21683930321.799999"/>
  </r>
  <r>
    <x v="3"/>
    <s v="Qin"/>
    <x v="6"/>
    <s v="Base"/>
    <n v="45158.26"/>
    <n v="84"/>
    <n v="315"/>
    <n v="140"/>
    <s v="SUV"/>
    <n v="5"/>
    <s v="China"/>
    <s v="Mid-range"/>
    <n v="119766"/>
    <n v="3.6"/>
    <n v="4"/>
    <n v="5408424167.1599998"/>
  </r>
  <r>
    <x v="9"/>
    <s v="i4"/>
    <x v="6"/>
    <s v="Premium"/>
    <n v="103491.15"/>
    <n v="48.4"/>
    <n v="152"/>
    <n v="147"/>
    <s v="Sedan"/>
    <n v="5"/>
    <s v="Germany"/>
    <s v="Luxury"/>
    <n v="42817"/>
    <n v="3.39"/>
    <n v="7"/>
    <n v="4431180569.5500002"/>
  </r>
  <r>
    <x v="5"/>
    <s v="Niro EV"/>
    <x v="6"/>
    <s v="Long Range"/>
    <n v="67363.850000000006"/>
    <n v="101"/>
    <n v="376"/>
    <n v="160"/>
    <s v="SUV"/>
    <n v="3"/>
    <s v="South Korea"/>
    <s v="Premium"/>
    <n v="128059"/>
    <n v="3.95"/>
    <n v="4"/>
    <n v="8626547267.1500015"/>
  </r>
  <r>
    <x v="12"/>
    <s v="Silverado EV"/>
    <x v="6"/>
    <s v="Premium"/>
    <n v="68395.009999999995"/>
    <n v="46"/>
    <n v="165"/>
    <n v="146"/>
    <s v="Coupe"/>
    <n v="4"/>
    <s v="US"/>
    <s v="Premium"/>
    <n v="27929"/>
    <n v="3"/>
    <n v="5"/>
    <n v="1910204234.29"/>
  </r>
  <r>
    <x v="4"/>
    <s v="e-tron"/>
    <x v="6"/>
    <s v="Base"/>
    <n v="97863.03"/>
    <n v="41.7"/>
    <n v="166"/>
    <n v="145"/>
    <s v="Coupe"/>
    <n v="5"/>
    <s v="Germany"/>
    <s v="Premium"/>
    <n v="24216"/>
    <n v="3.41"/>
    <n v="7"/>
    <n v="2369851134.48"/>
  </r>
  <r>
    <x v="5"/>
    <s v="Picanto EV"/>
    <x v="6"/>
    <s v="Premium"/>
    <n v="97174.66"/>
    <n v="65.2"/>
    <n v="227"/>
    <n v="140"/>
    <s v="Truck"/>
    <n v="4"/>
    <s v="South Korea"/>
    <s v="Premium"/>
    <n v="93712"/>
    <n v="3.12"/>
    <n v="4"/>
    <n v="9106431737.9200001"/>
  </r>
  <r>
    <x v="9"/>
    <s v="iX"/>
    <x v="6"/>
    <s v="Long Range"/>
    <n v="81773.509999999995"/>
    <n v="75.7"/>
    <n v="277"/>
    <n v="182"/>
    <s v="Truck"/>
    <n v="5"/>
    <s v="Germany"/>
    <s v="Premium"/>
    <n v="38573"/>
    <n v="3.54"/>
    <n v="6"/>
    <n v="3154249601.23"/>
  </r>
  <r>
    <x v="13"/>
    <s v="EQG"/>
    <x v="6"/>
    <s v="Long Range"/>
    <n v="124673.1"/>
    <n v="100.9"/>
    <n v="347"/>
    <n v="173"/>
    <s v="SUV"/>
    <n v="5"/>
    <s v="Germany"/>
    <s v="Luxury"/>
    <n v="24079"/>
    <n v="4"/>
    <n v="5"/>
    <n v="3002003574.9000001"/>
  </r>
  <r>
    <x v="12"/>
    <s v="Bolt EV"/>
    <x v="6"/>
    <s v="Premium"/>
    <n v="67711.199999999997"/>
    <n v="41.3"/>
    <n v="150"/>
    <n v="155"/>
    <s v="Van"/>
    <n v="5"/>
    <s v="US"/>
    <s v="Premium"/>
    <n v="15428"/>
    <n v="3.23"/>
    <n v="5"/>
    <n v="1044648393.5999999"/>
  </r>
  <r>
    <x v="2"/>
    <s v="Model Y"/>
    <x v="6"/>
    <s v="Long Range"/>
    <n v="83728.44"/>
    <n v="82.6"/>
    <n v="280"/>
    <n v="180"/>
    <s v="Hatchback"/>
    <n v="4"/>
    <s v="US"/>
    <s v="Premium"/>
    <n v="490450"/>
    <n v="3.83"/>
    <n v="6"/>
    <n v="41064613398"/>
  </r>
  <r>
    <x v="6"/>
    <s v="Kona Electric"/>
    <x v="6"/>
    <s v="Performance"/>
    <n v="77799.73"/>
    <n v="108"/>
    <n v="367"/>
    <n v="200"/>
    <s v="Hatchback"/>
    <n v="4"/>
    <s v="South Korea"/>
    <s v="Premium"/>
    <n v="58908"/>
    <n v="3.8"/>
    <n v="3"/>
    <n v="4583026494.8400002"/>
  </r>
  <r>
    <x v="3"/>
    <s v="Atto 3"/>
    <x v="6"/>
    <s v="Premium"/>
    <n v="87619.97"/>
    <n v="76.3"/>
    <n v="270"/>
    <n v="163"/>
    <s v="Hatchback"/>
    <n v="4"/>
    <s v="China"/>
    <s v="Premium"/>
    <n v="118872"/>
    <n v="3.49"/>
    <n v="4"/>
    <n v="10415561073.84"/>
  </r>
  <r>
    <x v="2"/>
    <s v="Model Y"/>
    <x v="6"/>
    <s v="Premium"/>
    <n v="55363.64"/>
    <n v="49.7"/>
    <n v="197"/>
    <n v="138"/>
    <s v="SUV"/>
    <n v="4"/>
    <s v="US"/>
    <s v="Mid-range"/>
    <n v="467657"/>
    <n v="3.42"/>
    <n v="5"/>
    <n v="25891193791.48"/>
  </r>
  <r>
    <x v="13"/>
    <s v="EQC"/>
    <x v="6"/>
    <s v="Long Range"/>
    <n v="122737.35"/>
    <n v="76.099999999999994"/>
    <n v="281"/>
    <n v="174"/>
    <s v="SUV"/>
    <n v="5"/>
    <s v="Germany"/>
    <s v="Luxury"/>
    <n v="45500"/>
    <n v="3.92"/>
    <n v="6"/>
    <n v="5584549425"/>
  </r>
  <r>
    <x v="12"/>
    <s v="Silverado EV"/>
    <x v="6"/>
    <s v="Long Range"/>
    <n v="75057.34"/>
    <n v="81.400000000000006"/>
    <n v="277"/>
    <n v="178"/>
    <s v="Truck"/>
    <n v="3"/>
    <s v="US"/>
    <s v="Premium"/>
    <n v="18197"/>
    <n v="3.62"/>
    <n v="4"/>
    <n v="1365818415.98"/>
  </r>
  <r>
    <x v="5"/>
    <s v="Picanto EV"/>
    <x v="6"/>
    <s v="Standard"/>
    <n v="54591.6"/>
    <n v="68.599999999999994"/>
    <n v="257"/>
    <n v="158"/>
    <s v="Van"/>
    <n v="4"/>
    <s v="South Korea"/>
    <s v="Mid-range"/>
    <n v="84955"/>
    <n v="3.44"/>
    <n v="5"/>
    <n v="4637829378"/>
  </r>
  <r>
    <x v="6"/>
    <s v="Kona Electric"/>
    <x v="6"/>
    <s v="Standard"/>
    <n v="45692.14"/>
    <n v="83.7"/>
    <n v="288"/>
    <n v="154"/>
    <s v="Coupe"/>
    <n v="5"/>
    <s v="South Korea"/>
    <s v="Mid-range"/>
    <n v="89861"/>
    <n v="3.5"/>
    <n v="3"/>
    <n v="4105941392.54"/>
  </r>
  <r>
    <x v="2"/>
    <s v="Model 3"/>
    <x v="6"/>
    <s v="Long Range"/>
    <n v="146733.12"/>
    <n v="98.1"/>
    <n v="336"/>
    <n v="173"/>
    <s v="Truck"/>
    <n v="5"/>
    <s v="US"/>
    <s v="Luxury"/>
    <n v="162803"/>
    <n v="4.05"/>
    <n v="5"/>
    <n v="23888592135.360001"/>
  </r>
  <r>
    <x v="7"/>
    <s v="ID. Aero"/>
    <x v="6"/>
    <s v="Performance"/>
    <n v="102827.77"/>
    <n v="98.2"/>
    <n v="350"/>
    <n v="196"/>
    <s v="Truck"/>
    <n v="5"/>
    <s v="Germany"/>
    <s v="Luxury"/>
    <n v="238315"/>
    <n v="3.78"/>
    <n v="4"/>
    <n v="24505400007.549999"/>
  </r>
  <r>
    <x v="3"/>
    <s v="Yuan Plus"/>
    <x v="6"/>
    <s v="Long Range"/>
    <n v="32377.24"/>
    <n v="104"/>
    <n v="378"/>
    <n v="184"/>
    <s v="Coupe"/>
    <n v="4"/>
    <s v="China"/>
    <s v="Budget"/>
    <n v="164156"/>
    <n v="3.81"/>
    <n v="3"/>
    <n v="5314918209.4400005"/>
  </r>
  <r>
    <x v="8"/>
    <s v="Explorer EV"/>
    <x v="6"/>
    <s v="Base"/>
    <n v="61243.81"/>
    <n v="76.7"/>
    <n v="281"/>
    <n v="163"/>
    <s v="Sedan"/>
    <n v="4"/>
    <s v="US"/>
    <s v="Mid-range"/>
    <n v="57282"/>
    <n v="3.51"/>
    <n v="4"/>
    <n v="3508167924.4200001"/>
  </r>
  <r>
    <x v="2"/>
    <s v="Cybertruck"/>
    <x v="6"/>
    <s v="Standard"/>
    <n v="80796.91"/>
    <n v="64.599999999999994"/>
    <n v="239"/>
    <n v="148"/>
    <s v="Truck"/>
    <n v="4"/>
    <s v="US"/>
    <s v="Premium"/>
    <n v="212130"/>
    <n v="3.66"/>
    <n v="4"/>
    <n v="17139448518.300001"/>
  </r>
  <r>
    <x v="19"/>
    <s v="Air"/>
    <x v="6"/>
    <s v="Base"/>
    <n v="137880.07999999999"/>
    <n v="41.3"/>
    <n v="150"/>
    <n v="127"/>
    <s v="Truck"/>
    <n v="5"/>
    <s v="US"/>
    <s v="Luxury"/>
    <n v="21377"/>
    <n v="3.21"/>
    <n v="5"/>
    <n v="2947462470.1599998"/>
  </r>
  <r>
    <x v="9"/>
    <s v="i7"/>
    <x v="6"/>
    <s v="Premium"/>
    <n v="125637.29"/>
    <n v="67.5"/>
    <n v="240"/>
    <n v="151"/>
    <s v="Hatchback"/>
    <n v="5"/>
    <s v="Germany"/>
    <s v="Luxury"/>
    <n v="47587"/>
    <n v="3.56"/>
    <n v="7"/>
    <n v="5978701719.2299995"/>
  </r>
  <r>
    <x v="3"/>
    <s v="Leaf 50X"/>
    <x v="6"/>
    <s v="Long Range"/>
    <n v="101979.86"/>
    <n v="105.4"/>
    <n v="376"/>
    <n v="183"/>
    <s v="Van"/>
    <n v="4"/>
    <s v="China"/>
    <s v="Luxury"/>
    <n v="128300"/>
    <n v="3.96"/>
    <n v="5"/>
    <n v="13084016038"/>
  </r>
  <r>
    <x v="13"/>
    <s v="GLE EV"/>
    <x v="6"/>
    <s v="Performance"/>
    <n v="104553.67"/>
    <n v="111.7"/>
    <n v="412"/>
    <n v="192"/>
    <s v="Hatchback"/>
    <n v="4"/>
    <s v="Germany"/>
    <s v="Luxury"/>
    <n v="68955"/>
    <n v="4.3899999999999997"/>
    <n v="7"/>
    <n v="7209498314.8499994"/>
  </r>
  <r>
    <x v="3"/>
    <s v="Qin"/>
    <x v="6"/>
    <s v="Performance"/>
    <n v="112008.03"/>
    <n v="112.5"/>
    <n v="389"/>
    <n v="200"/>
    <s v="SUV"/>
    <n v="3"/>
    <s v="China"/>
    <s v="Luxury"/>
    <n v="201649"/>
    <n v="3.59"/>
    <n v="5"/>
    <n v="22586307241.470001"/>
  </r>
  <r>
    <x v="12"/>
    <s v="Bolt EUV"/>
    <x v="6"/>
    <s v="Premium"/>
    <n v="52994.74"/>
    <n v="63.4"/>
    <n v="206"/>
    <n v="130"/>
    <s v="Truck"/>
    <n v="5"/>
    <s v="US"/>
    <s v="Mid-range"/>
    <n v="5490"/>
    <n v="3.27"/>
    <n v="3"/>
    <n v="290941122.59999996"/>
  </r>
  <r>
    <x v="1"/>
    <s v="Ocean"/>
    <x v="6"/>
    <s v="Standard"/>
    <n v="67825.009999999995"/>
    <n v="82.9"/>
    <n v="297"/>
    <n v="160"/>
    <s v="Sedan"/>
    <n v="5"/>
    <s v="US"/>
    <s v="Premium"/>
    <n v="26063"/>
    <n v="3.56"/>
    <n v="4"/>
    <n v="1767723235.6299999"/>
  </r>
  <r>
    <x v="6"/>
    <s v="Kona Electric"/>
    <x v="6"/>
    <s v="Standard"/>
    <n v="68247.960000000006"/>
    <n v="73.099999999999994"/>
    <n v="240"/>
    <n v="151"/>
    <s v="Hatchback"/>
    <n v="5"/>
    <s v="South Korea"/>
    <s v="Premium"/>
    <n v="75804"/>
    <n v="3.31"/>
    <n v="3"/>
    <n v="5173468359.8400002"/>
  </r>
  <r>
    <x v="13"/>
    <s v="EQC"/>
    <x v="6"/>
    <s v="Performance"/>
    <n v="185592.86"/>
    <n v="107.8"/>
    <n v="359"/>
    <n v="192"/>
    <s v="Coupe"/>
    <n v="4"/>
    <s v="Germany"/>
    <s v="Luxury"/>
    <n v="51560"/>
    <n v="3.97"/>
    <n v="7"/>
    <n v="9569167861.5999985"/>
  </r>
  <r>
    <x v="7"/>
    <s v="ID.4"/>
    <x v="6"/>
    <s v="Base"/>
    <n v="49575.71"/>
    <n v="47.3"/>
    <n v="158"/>
    <n v="141"/>
    <s v="Sedan"/>
    <n v="4"/>
    <s v="Germany"/>
    <s v="Mid-range"/>
    <n v="295672"/>
    <n v="3.23"/>
    <n v="5"/>
    <n v="14658149327.119999"/>
  </r>
  <r>
    <x v="12"/>
    <s v="Silverado EV"/>
    <x v="6"/>
    <s v="Standard"/>
    <n v="64854.51"/>
    <n v="76"/>
    <n v="264"/>
    <n v="158"/>
    <s v="Van"/>
    <n v="4"/>
    <s v="US"/>
    <s v="Mid-range"/>
    <n v="16372"/>
    <n v="3.34"/>
    <n v="5"/>
    <n v="1061798037.72"/>
  </r>
  <r>
    <x v="6"/>
    <s v="Kona Electric"/>
    <x v="6"/>
    <s v="Premium"/>
    <n v="78808.06"/>
    <n v="83.8"/>
    <n v="310"/>
    <n v="163"/>
    <s v="Truck"/>
    <n v="4"/>
    <s v="South Korea"/>
    <s v="Premium"/>
    <n v="79142"/>
    <n v="3.33"/>
    <n v="3"/>
    <n v="6237027484.5199995"/>
  </r>
  <r>
    <x v="13"/>
    <s v="EQC"/>
    <x v="6"/>
    <s v="Premium"/>
    <n v="89766.7"/>
    <n v="44.8"/>
    <n v="150"/>
    <n v="131"/>
    <s v="Sedan"/>
    <n v="4"/>
    <s v="Germany"/>
    <s v="Premium"/>
    <n v="44745"/>
    <n v="3.43"/>
    <n v="7"/>
    <n v="4016610991.5"/>
  </r>
  <r>
    <x v="3"/>
    <s v="Dolphin"/>
    <x v="6"/>
    <s v="Base"/>
    <n v="27881.47"/>
    <n v="60.3"/>
    <n v="202"/>
    <n v="169"/>
    <s v="Van"/>
    <n v="4"/>
    <s v="China"/>
    <s v="Budget"/>
    <n v="131662"/>
    <n v="3.35"/>
    <n v="5"/>
    <n v="3670930103.1400003"/>
  </r>
  <r>
    <x v="7"/>
    <s v="ID. Buzz"/>
    <x v="6"/>
    <s v="Base"/>
    <n v="77633.039999999994"/>
    <n v="74"/>
    <n v="273"/>
    <n v="165"/>
    <s v="Truck"/>
    <n v="5"/>
    <s v="Germany"/>
    <s v="Premium"/>
    <n v="203039"/>
    <n v="3.53"/>
    <n v="5"/>
    <n v="15762534808.559999"/>
  </r>
  <r>
    <x v="2"/>
    <s v="Model X"/>
    <x v="6"/>
    <s v="Base"/>
    <n v="27570.57"/>
    <n v="44.6"/>
    <n v="153"/>
    <n v="137"/>
    <s v="Coupe"/>
    <n v="5"/>
    <s v="US"/>
    <s v="Budget"/>
    <n v="203167"/>
    <n v="3.2"/>
    <n v="5"/>
    <n v="5601429995.1899996"/>
  </r>
  <r>
    <x v="0"/>
    <s v="bZ4X"/>
    <x v="6"/>
    <s v="Performance"/>
    <n v="108712.63"/>
    <n v="111.4"/>
    <n v="366"/>
    <n v="195"/>
    <s v="Sedan"/>
    <n v="4"/>
    <s v="Japan"/>
    <s v="Luxury"/>
    <n v="12763"/>
    <n v="3.93"/>
    <n v="4"/>
    <n v="1387499296.6900001"/>
  </r>
  <r>
    <x v="9"/>
    <s v="i7"/>
    <x v="6"/>
    <s v="Performance"/>
    <n v="96474.96"/>
    <n v="76.8"/>
    <n v="250"/>
    <n v="200"/>
    <s v="Van"/>
    <n v="5"/>
    <s v="Germany"/>
    <s v="Premium"/>
    <n v="54809"/>
    <n v="3.45"/>
    <n v="7"/>
    <n v="5287696082.6400003"/>
  </r>
  <r>
    <x v="19"/>
    <s v="Air"/>
    <x v="6"/>
    <s v="Premium"/>
    <n v="225594.15"/>
    <n v="63.1"/>
    <n v="216"/>
    <n v="125"/>
    <s v="Van"/>
    <n v="5"/>
    <s v="US"/>
    <s v="Luxury"/>
    <n v="21994"/>
    <n v="3.37"/>
    <n v="5"/>
    <n v="4961717735.0999994"/>
  </r>
  <r>
    <x v="8"/>
    <s v="F-150 Lightning"/>
    <x v="6"/>
    <s v="Premium"/>
    <n v="73146.64"/>
    <n v="40.1"/>
    <n v="150"/>
    <n v="157"/>
    <s v="Truck"/>
    <n v="5"/>
    <s v="US"/>
    <s v="Premium"/>
    <n v="26454"/>
    <n v="3.22"/>
    <n v="4"/>
    <n v="1935021214.5599999"/>
  </r>
  <r>
    <x v="5"/>
    <s v="EV9"/>
    <x v="6"/>
    <s v="Standard"/>
    <n v="52324.87"/>
    <n v="44.4"/>
    <n v="154"/>
    <n v="158"/>
    <s v="SUV"/>
    <n v="5"/>
    <s v="South Korea"/>
    <s v="Mid-range"/>
    <n v="142095"/>
    <n v="3.03"/>
    <n v="5"/>
    <n v="7435102402.6500006"/>
  </r>
  <r>
    <x v="13"/>
    <s v="GLE EV"/>
    <x v="6"/>
    <s v="Long Range"/>
    <n v="89516.61"/>
    <n v="78.7"/>
    <n v="296"/>
    <n v="185"/>
    <s v="Van"/>
    <n v="4"/>
    <s v="Germany"/>
    <s v="Premium"/>
    <n v="50182"/>
    <n v="4.07"/>
    <n v="5"/>
    <n v="4492122523.0200005"/>
  </r>
  <r>
    <x v="6"/>
    <s v="Ioniq 5"/>
    <x v="6"/>
    <s v="Performance"/>
    <n v="46435.85"/>
    <n v="100.4"/>
    <n v="359"/>
    <n v="189"/>
    <s v="SUV"/>
    <n v="4"/>
    <s v="South Korea"/>
    <s v="Mid-range"/>
    <n v="73520"/>
    <n v="3.68"/>
    <n v="4"/>
    <n v="3413963692"/>
  </r>
  <r>
    <x v="2"/>
    <s v="Model X"/>
    <x v="6"/>
    <s v="Premium"/>
    <n v="88927.83"/>
    <n v="60.1"/>
    <n v="213"/>
    <n v="143"/>
    <s v="SUV"/>
    <n v="4"/>
    <s v="US"/>
    <s v="Premium"/>
    <n v="116766"/>
    <n v="3.76"/>
    <n v="4"/>
    <n v="10383746997.780001"/>
  </r>
  <r>
    <x v="0"/>
    <s v="bZ Compact SUV"/>
    <x v="6"/>
    <s v="Long Range"/>
    <n v="86892.09"/>
    <n v="84.1"/>
    <n v="298"/>
    <n v="186"/>
    <s v="SUV"/>
    <n v="4"/>
    <s v="Japan"/>
    <s v="Premium"/>
    <n v="27998"/>
    <n v="3.62"/>
    <n v="4"/>
    <n v="2432804735.8199997"/>
  </r>
  <r>
    <x v="0"/>
    <s v="bZ4X"/>
    <x v="6"/>
    <s v="Premium"/>
    <n v="73010.399999999994"/>
    <n v="55.3"/>
    <n v="213"/>
    <n v="152"/>
    <s v="Sedan"/>
    <n v="4"/>
    <s v="Japan"/>
    <s v="Premium"/>
    <n v="9198"/>
    <n v="3.03"/>
    <n v="4"/>
    <n v="671549659.19999993"/>
  </r>
  <r>
    <x v="5"/>
    <s v="Picanto EV"/>
    <x v="6"/>
    <s v="Long Range"/>
    <n v="53569.81"/>
    <n v="105.4"/>
    <n v="370"/>
    <n v="168"/>
    <s v="Coupe"/>
    <n v="5"/>
    <s v="South Korea"/>
    <s v="Mid-range"/>
    <n v="112650"/>
    <n v="3.77"/>
    <n v="4"/>
    <n v="6034639096.5"/>
  </r>
  <r>
    <x v="8"/>
    <s v="Mustang Mach-E"/>
    <x v="6"/>
    <s v="Base"/>
    <n v="43574.22"/>
    <n v="67.2"/>
    <n v="237"/>
    <n v="159"/>
    <s v="SUV"/>
    <n v="5"/>
    <s v="US"/>
    <s v="Mid-range"/>
    <n v="55997"/>
    <n v="3.06"/>
    <n v="5"/>
    <n v="2440025597.3400002"/>
  </r>
  <r>
    <x v="5"/>
    <s v="EV6"/>
    <x v="6"/>
    <s v="Premium"/>
    <n v="95775.65"/>
    <n v="51.6"/>
    <n v="194"/>
    <n v="155"/>
    <s v="Van"/>
    <n v="5"/>
    <s v="South Korea"/>
    <s v="Premium"/>
    <n v="81075"/>
    <n v="3.4"/>
    <n v="4"/>
    <n v="7765010823.75"/>
  </r>
  <r>
    <x v="3"/>
    <s v="Qin"/>
    <x v="6"/>
    <s v="Premium"/>
    <n v="79542.78"/>
    <n v="81.099999999999994"/>
    <n v="295"/>
    <n v="137"/>
    <s v="Van"/>
    <n v="5"/>
    <s v="China"/>
    <s v="Premium"/>
    <n v="153987"/>
    <n v="3.28"/>
    <n v="5"/>
    <n v="12248554063.860001"/>
  </r>
  <r>
    <x v="17"/>
    <s v="XC40 Recharge"/>
    <x v="6"/>
    <s v="Performance"/>
    <n v="111533.26"/>
    <n v="116.5"/>
    <n v="422"/>
    <n v="200"/>
    <s v="SUV"/>
    <n v="4"/>
    <s v="Sweden"/>
    <s v="Luxury"/>
    <n v="29548"/>
    <n v="3.71"/>
    <n v="5"/>
    <n v="3295584766.48"/>
  </r>
  <r>
    <x v="2"/>
    <s v="Model S"/>
    <x v="6"/>
    <s v="Standard"/>
    <n v="81673.279999999999"/>
    <n v="69.3"/>
    <n v="252"/>
    <n v="153"/>
    <s v="SUV"/>
    <n v="4"/>
    <s v="US"/>
    <s v="Premium"/>
    <n v="117880"/>
    <n v="3.75"/>
    <n v="6"/>
    <n v="9627646246.3999996"/>
  </r>
  <r>
    <x v="2"/>
    <s v="Cybertruck"/>
    <x v="6"/>
    <s v="Base"/>
    <n v="55329.7"/>
    <n v="56.6"/>
    <n v="217"/>
    <n v="151"/>
    <s v="Truck"/>
    <n v="4"/>
    <s v="US"/>
    <s v="Mid-range"/>
    <n v="211999"/>
    <n v="3.34"/>
    <n v="5"/>
    <n v="11729841070.299999"/>
  </r>
  <r>
    <x v="4"/>
    <s v="Q6 e-tron"/>
    <x v="6"/>
    <s v="Performance"/>
    <n v="79000.66"/>
    <n v="102.5"/>
    <n v="355"/>
    <n v="200"/>
    <s v="Coupe"/>
    <n v="5"/>
    <s v="Germany"/>
    <s v="Premium"/>
    <n v="72672"/>
    <n v="4.03"/>
    <n v="7"/>
    <n v="5741135963.5200005"/>
  </r>
  <r>
    <x v="3"/>
    <s v="Yuan Plus"/>
    <x v="6"/>
    <s v="Standard"/>
    <n v="90374.6"/>
    <n v="57.6"/>
    <n v="191"/>
    <n v="145"/>
    <s v="Hatchback"/>
    <n v="5"/>
    <s v="China"/>
    <s v="Premium"/>
    <n v="232416"/>
    <n v="3.5"/>
    <n v="4"/>
    <n v="21004503033.600002"/>
  </r>
  <r>
    <x v="2"/>
    <s v="Model S"/>
    <x v="6"/>
    <s v="Long Range"/>
    <n v="127635.34"/>
    <n v="105.5"/>
    <n v="384"/>
    <n v="176"/>
    <s v="SUV"/>
    <n v="5"/>
    <s v="US"/>
    <s v="Luxury"/>
    <n v="158325"/>
    <n v="4.24"/>
    <n v="5"/>
    <n v="20207865205.5"/>
  </r>
  <r>
    <x v="6"/>
    <s v="Ioniq 5"/>
    <x v="6"/>
    <s v="Standard"/>
    <n v="59666.31"/>
    <n v="75.5"/>
    <n v="262"/>
    <n v="147"/>
    <s v="Sedan"/>
    <n v="4"/>
    <s v="South Korea"/>
    <s v="Mid-range"/>
    <n v="130091"/>
    <n v="3.79"/>
    <n v="5"/>
    <n v="7762049934.21"/>
  </r>
  <r>
    <x v="3"/>
    <s v="Yuan Plus"/>
    <x v="6"/>
    <s v="Long Range"/>
    <n v="92189.49"/>
    <n v="91.2"/>
    <n v="317"/>
    <n v="188"/>
    <s v="Coupe"/>
    <n v="4"/>
    <s v="China"/>
    <s v="Premium"/>
    <n v="158795"/>
    <n v="3.92"/>
    <n v="3"/>
    <n v="14639230064.550001"/>
  </r>
  <r>
    <x v="5"/>
    <s v="Niro EV"/>
    <x v="6"/>
    <s v="Performance"/>
    <n v="71757.16"/>
    <n v="96"/>
    <n v="336"/>
    <n v="181"/>
    <s v="Truck"/>
    <n v="5"/>
    <s v="South Korea"/>
    <s v="Premium"/>
    <n v="123775"/>
    <n v="3.66"/>
    <n v="3"/>
    <n v="8881742479"/>
  </r>
  <r>
    <x v="3"/>
    <s v="Max"/>
    <x v="6"/>
    <s v="Performance"/>
    <n v="71385.39"/>
    <n v="109.6"/>
    <n v="380"/>
    <n v="193"/>
    <s v="Coupe"/>
    <n v="4"/>
    <s v="China"/>
    <s v="Premium"/>
    <n v="234079"/>
    <n v="3.75"/>
    <n v="4"/>
    <n v="16709820705.809999"/>
  </r>
  <r>
    <x v="2"/>
    <s v="Model S"/>
    <x v="6"/>
    <s v="Performance"/>
    <n v="173601"/>
    <n v="82"/>
    <n v="301"/>
    <n v="184"/>
    <s v="Truck"/>
    <n v="4"/>
    <s v="US"/>
    <s v="Luxury"/>
    <n v="192234"/>
    <n v="3.86"/>
    <n v="4"/>
    <n v="33372014634"/>
  </r>
  <r>
    <x v="2"/>
    <s v="Model S"/>
    <x v="6"/>
    <s v="Performance"/>
    <n v="120237.63"/>
    <n v="106.4"/>
    <n v="374"/>
    <n v="197"/>
    <s v="Van"/>
    <n v="3"/>
    <s v="US"/>
    <s v="Luxury"/>
    <n v="139118"/>
    <n v="4.3600000000000003"/>
    <n v="5"/>
    <n v="16727218610.34"/>
  </r>
  <r>
    <x v="6"/>
    <s v="i30"/>
    <x v="6"/>
    <s v="Premium"/>
    <n v="95007.35"/>
    <n v="71.5"/>
    <n v="249"/>
    <n v="152"/>
    <s v="Hatchback"/>
    <n v="3"/>
    <s v="South Korea"/>
    <s v="Premium"/>
    <n v="111030"/>
    <n v="3.22"/>
    <n v="3"/>
    <n v="10548666070.5"/>
  </r>
  <r>
    <x v="2"/>
    <s v="Model Y"/>
    <x v="6"/>
    <s v="Standard"/>
    <n v="53435.31"/>
    <n v="80.3"/>
    <n v="259"/>
    <n v="162"/>
    <s v="Hatchback"/>
    <n v="4"/>
    <s v="US"/>
    <s v="Mid-range"/>
    <n v="467122"/>
    <n v="3.87"/>
    <n v="4"/>
    <n v="24960808877.82"/>
  </r>
  <r>
    <x v="12"/>
    <s v="Bolt EUV"/>
    <x v="6"/>
    <s v="Long Range"/>
    <n v="54836.04"/>
    <n v="109.7"/>
    <n v="385"/>
    <n v="183"/>
    <s v="Hatchback"/>
    <n v="5"/>
    <s v="US"/>
    <s v="Mid-range"/>
    <n v="17331"/>
    <n v="3.77"/>
    <n v="5"/>
    <n v="950363409.24000001"/>
  </r>
  <r>
    <x v="3"/>
    <s v="Dolphin"/>
    <x v="6"/>
    <s v="Performance"/>
    <n v="31398.12"/>
    <n v="100.6"/>
    <n v="352"/>
    <n v="200"/>
    <s v="Hatchback"/>
    <n v="5"/>
    <s v="China"/>
    <s v="Budget"/>
    <n v="240918"/>
    <n v="3.58"/>
    <n v="3"/>
    <n v="7564372274.1599998"/>
  </r>
  <r>
    <x v="3"/>
    <s v="Yuan Plus"/>
    <x v="6"/>
    <s v="Premium"/>
    <n v="58741.09"/>
    <n v="43.2"/>
    <n v="166"/>
    <n v="171"/>
    <s v="Sedan"/>
    <n v="5"/>
    <s v="China"/>
    <s v="Mid-range"/>
    <n v="193352"/>
    <n v="3.21"/>
    <n v="4"/>
    <n v="11357707233.679998"/>
  </r>
  <r>
    <x v="5"/>
    <s v="Niro EV"/>
    <x v="6"/>
    <s v="Performance"/>
    <n v="89456.85"/>
    <n v="106.6"/>
    <n v="392"/>
    <n v="199"/>
    <s v="Van"/>
    <n v="4"/>
    <s v="South Korea"/>
    <s v="Premium"/>
    <n v="55244"/>
    <n v="3.99"/>
    <n v="4"/>
    <n v="4941954221.4000006"/>
  </r>
  <r>
    <x v="2"/>
    <s v="Model 3"/>
    <x v="6"/>
    <s v="Premium"/>
    <n v="123396.13"/>
    <n v="65.5"/>
    <n v="201"/>
    <n v="135"/>
    <s v="Coupe"/>
    <n v="4"/>
    <s v="US"/>
    <s v="Luxury"/>
    <n v="179193"/>
    <n v="3.78"/>
    <n v="5"/>
    <n v="22111722723.09"/>
  </r>
  <r>
    <x v="6"/>
    <s v="Kona Electric"/>
    <x v="6"/>
    <s v="Standard"/>
    <n v="40896.410000000003"/>
    <n v="84.8"/>
    <n v="286"/>
    <n v="148"/>
    <s v="Truck"/>
    <n v="4"/>
    <s v="South Korea"/>
    <s v="Mid-range"/>
    <n v="60452"/>
    <n v="3.61"/>
    <n v="4"/>
    <n v="2472269777.3200002"/>
  </r>
  <r>
    <x v="7"/>
    <s v="ID.5"/>
    <x v="6"/>
    <s v="Performance"/>
    <n v="72231.360000000001"/>
    <n v="115"/>
    <n v="387"/>
    <n v="200"/>
    <s v="Sedan"/>
    <n v="4"/>
    <s v="Germany"/>
    <s v="Premium"/>
    <n v="241869"/>
    <n v="4.05"/>
    <n v="4"/>
    <n v="17470526811.84"/>
  </r>
  <r>
    <x v="2"/>
    <s v="Model S"/>
    <x v="6"/>
    <s v="Base"/>
    <n v="119620.48"/>
    <n v="41.3"/>
    <n v="150"/>
    <n v="162"/>
    <s v="Van"/>
    <n v="4"/>
    <s v="US"/>
    <s v="Luxury"/>
    <n v="186324"/>
    <n v="3.52"/>
    <n v="5"/>
    <n v="22288166315.52"/>
  </r>
  <r>
    <x v="6"/>
    <s v="i30"/>
    <x v="6"/>
    <s v="Premium"/>
    <n v="83199.83"/>
    <n v="49.6"/>
    <n v="161"/>
    <n v="135"/>
    <s v="Sedan"/>
    <n v="3"/>
    <s v="South Korea"/>
    <s v="Premium"/>
    <n v="92496"/>
    <n v="3.22"/>
    <n v="3"/>
    <n v="7695651475.6800003"/>
  </r>
  <r>
    <x v="12"/>
    <s v="Equinox EV"/>
    <x v="6"/>
    <s v="Performance"/>
    <n v="71801.02"/>
    <n v="84.4"/>
    <n v="304"/>
    <n v="200"/>
    <s v="SUV"/>
    <n v="4"/>
    <s v="US"/>
    <s v="Premium"/>
    <n v="4745"/>
    <n v="3.45"/>
    <n v="4"/>
    <n v="340695839.90000004"/>
  </r>
  <r>
    <x v="2"/>
    <s v="Cybertruck"/>
    <x v="6"/>
    <s v="Standard"/>
    <n v="39888.42"/>
    <n v="83.1"/>
    <n v="277"/>
    <n v="136"/>
    <s v="Truck"/>
    <n v="4"/>
    <s v="US"/>
    <s v="Mid-range"/>
    <n v="224642"/>
    <n v="3.64"/>
    <n v="5"/>
    <n v="8960614445.6399994"/>
  </r>
  <r>
    <x v="2"/>
    <s v="Model X"/>
    <x v="6"/>
    <s v="Base"/>
    <n v="31180.54"/>
    <n v="72.3"/>
    <n v="241"/>
    <n v="142"/>
    <s v="Van"/>
    <n v="4"/>
    <s v="US"/>
    <s v="Budget"/>
    <n v="143060"/>
    <n v="3.87"/>
    <n v="4"/>
    <n v="4460688052.4000006"/>
  </r>
  <r>
    <x v="9"/>
    <s v="i5"/>
    <x v="6"/>
    <s v="Long Range"/>
    <n v="125686.6"/>
    <n v="91.1"/>
    <n v="335"/>
    <n v="160"/>
    <s v="Truck"/>
    <n v="5"/>
    <s v="Germany"/>
    <s v="Luxury"/>
    <n v="50691"/>
    <n v="3.66"/>
    <n v="6"/>
    <n v="6371179440.6000004"/>
  </r>
  <r>
    <x v="8"/>
    <s v="Mustang Mach-E"/>
    <x v="6"/>
    <s v="Long Range"/>
    <n v="61924.92"/>
    <n v="108.2"/>
    <n v="354"/>
    <n v="168"/>
    <s v="Van"/>
    <n v="4"/>
    <s v="US"/>
    <s v="Mid-range"/>
    <n v="37462"/>
    <n v="3.75"/>
    <n v="5"/>
    <n v="2319831353.04"/>
  </r>
  <r>
    <x v="5"/>
    <s v="Sportage EV"/>
    <x v="6"/>
    <s v="Standard"/>
    <n v="75695.59"/>
    <n v="58.1"/>
    <n v="208"/>
    <n v="151"/>
    <s v="SUV"/>
    <n v="4"/>
    <s v="South Korea"/>
    <s v="Premium"/>
    <n v="99994"/>
    <n v="3.36"/>
    <n v="4"/>
    <n v="7569104826.46"/>
  </r>
  <r>
    <x v="12"/>
    <s v="Bolt EUV"/>
    <x v="6"/>
    <s v="Premium"/>
    <n v="71451.17"/>
    <n v="77"/>
    <n v="267"/>
    <n v="130"/>
    <s v="Van"/>
    <n v="5"/>
    <s v="US"/>
    <s v="Premium"/>
    <n v="1367"/>
    <n v="3.49"/>
    <n v="3"/>
    <n v="97673749.390000001"/>
  </r>
  <r>
    <x v="7"/>
    <s v="ID.3"/>
    <x v="6"/>
    <s v="Performance"/>
    <n v="77434.92"/>
    <n v="112.5"/>
    <n v="381"/>
    <n v="195"/>
    <s v="Sedan"/>
    <n v="5"/>
    <s v="Germany"/>
    <s v="Premium"/>
    <n v="250773"/>
    <n v="3.82"/>
    <n v="3"/>
    <n v="19418587193.16"/>
  </r>
  <r>
    <x v="2"/>
    <s v="Model Y"/>
    <x v="6"/>
    <s v="Long Range"/>
    <n v="43501.07"/>
    <n v="92.1"/>
    <n v="328"/>
    <n v="177"/>
    <s v="Hatchback"/>
    <n v="4"/>
    <s v="US"/>
    <s v="Mid-range"/>
    <n v="417203"/>
    <n v="3.88"/>
    <n v="6"/>
    <n v="18148776907.209999"/>
  </r>
  <r>
    <x v="8"/>
    <s v="Explorer EV"/>
    <x v="6"/>
    <s v="Premium"/>
    <n v="99667.98"/>
    <n v="62.4"/>
    <n v="220"/>
    <n v="163"/>
    <s v="Sedan"/>
    <n v="5"/>
    <s v="US"/>
    <s v="Premium"/>
    <n v="21835"/>
    <n v="3.4"/>
    <n v="3"/>
    <n v="2176250343.2999997"/>
  </r>
  <r>
    <x v="5"/>
    <s v="EV6"/>
    <x v="6"/>
    <s v="Performance"/>
    <n v="46823.3"/>
    <n v="98.4"/>
    <n v="366"/>
    <n v="198"/>
    <s v="Sedan"/>
    <n v="3"/>
    <s v="South Korea"/>
    <s v="Mid-range"/>
    <n v="141318"/>
    <n v="3.75"/>
    <n v="3"/>
    <n v="6616975109.4000006"/>
  </r>
  <r>
    <x v="2"/>
    <s v="Cybertruck"/>
    <x v="6"/>
    <s v="Performance"/>
    <n v="70200.56"/>
    <n v="85"/>
    <n v="286"/>
    <n v="189"/>
    <s v="Truck"/>
    <n v="5"/>
    <s v="US"/>
    <s v="Premium"/>
    <n v="166507"/>
    <n v="3.89"/>
    <n v="4"/>
    <n v="11688884643.92"/>
  </r>
  <r>
    <x v="13"/>
    <s v="EQE"/>
    <x v="6"/>
    <s v="Premium"/>
    <n v="93286.78"/>
    <n v="82.1"/>
    <n v="282"/>
    <n v="136"/>
    <s v="Hatchback"/>
    <n v="3"/>
    <s v="Germany"/>
    <s v="Premium"/>
    <n v="49781"/>
    <n v="3.74"/>
    <n v="8"/>
    <n v="4643909195.1800003"/>
  </r>
  <r>
    <x v="6"/>
    <s v="Ioniq"/>
    <x v="6"/>
    <s v="Standard"/>
    <n v="37257.29"/>
    <n v="52.5"/>
    <n v="164"/>
    <n v="160"/>
    <s v="SUV"/>
    <n v="3"/>
    <s v="South Korea"/>
    <s v="Mid-range"/>
    <n v="64933"/>
    <n v="3.24"/>
    <n v="5"/>
    <n v="2419227611.5700002"/>
  </r>
  <r>
    <x v="7"/>
    <s v="ID. Aero"/>
    <x v="6"/>
    <s v="Base"/>
    <n v="69452.44"/>
    <n v="63.6"/>
    <n v="224"/>
    <n v="148"/>
    <s v="Van"/>
    <n v="4"/>
    <s v="Germany"/>
    <s v="Premium"/>
    <n v="260693"/>
    <n v="3.66"/>
    <n v="5"/>
    <n v="18105764940.920002"/>
  </r>
  <r>
    <x v="2"/>
    <s v="Model S"/>
    <x v="6"/>
    <s v="Base"/>
    <n v="119417.95"/>
    <n v="65.3"/>
    <n v="248"/>
    <n v="145"/>
    <s v="Sedan"/>
    <n v="5"/>
    <s v="US"/>
    <s v="Luxury"/>
    <n v="170811"/>
    <n v="3.7"/>
    <n v="4"/>
    <n v="20397899457.450001"/>
  </r>
  <r>
    <x v="2"/>
    <s v="Model X"/>
    <x v="6"/>
    <s v="Premium"/>
    <n v="139665.73000000001"/>
    <n v="70.7"/>
    <n v="248"/>
    <n v="175"/>
    <s v="Coupe"/>
    <n v="3"/>
    <s v="US"/>
    <s v="Luxury"/>
    <n v="165373"/>
    <n v="3.66"/>
    <n v="4"/>
    <n v="23096940767.29000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x v="0"/>
    <n v="2020"/>
    <x v="0"/>
    <n v="70748.34"/>
    <n v="94.2"/>
    <n v="335"/>
    <n v="169"/>
    <s v="SUV"/>
    <n v="5"/>
    <x v="0"/>
    <x v="0"/>
    <n v="2261"/>
    <n v="3.72"/>
    <n v="4"/>
    <n v="159961996.73999998"/>
  </r>
  <r>
    <x v="1"/>
    <x v="1"/>
    <n v="2020"/>
    <x v="1"/>
    <n v="143106.79"/>
    <n v="75.3"/>
    <n v="272"/>
    <n v="197"/>
    <s v="Hatchback"/>
    <n v="4"/>
    <x v="1"/>
    <x v="1"/>
    <n v="18708"/>
    <n v="3.53"/>
    <n v="4"/>
    <n v="2677241827.3200002"/>
  </r>
  <r>
    <x v="2"/>
    <x v="2"/>
    <n v="2020"/>
    <x v="1"/>
    <n v="102900.51"/>
    <n v="74.099999999999994"/>
    <n v="231"/>
    <n v="200"/>
    <s v="Truck"/>
    <n v="3"/>
    <x v="1"/>
    <x v="1"/>
    <n v="184383"/>
    <n v="3.8"/>
    <n v="5"/>
    <n v="18973104735.329998"/>
  </r>
  <r>
    <x v="3"/>
    <x v="3"/>
    <n v="2020"/>
    <x v="2"/>
    <n v="67729.77"/>
    <n v="44.2"/>
    <n v="157"/>
    <n v="137"/>
    <s v="Truck"/>
    <n v="4"/>
    <x v="2"/>
    <x v="0"/>
    <n v="160145"/>
    <n v="3.2"/>
    <n v="4"/>
    <n v="10846584016.650002"/>
  </r>
  <r>
    <x v="4"/>
    <x v="4"/>
    <n v="2020"/>
    <x v="0"/>
    <n v="76665.86"/>
    <n v="103.7"/>
    <n v="353"/>
    <n v="165"/>
    <s v="Hatchback"/>
    <n v="4"/>
    <x v="3"/>
    <x v="0"/>
    <n v="32828"/>
    <n v="3.4"/>
    <n v="5"/>
    <n v="2516786852.0799999"/>
  </r>
  <r>
    <x v="2"/>
    <x v="5"/>
    <n v="2020"/>
    <x v="0"/>
    <n v="96390.76"/>
    <n v="80.400000000000006"/>
    <n v="287"/>
    <n v="160"/>
    <s v="Van"/>
    <n v="4"/>
    <x v="1"/>
    <x v="0"/>
    <n v="498047"/>
    <n v="3.82"/>
    <n v="5"/>
    <n v="48007128845.719994"/>
  </r>
  <r>
    <x v="3"/>
    <x v="6"/>
    <n v="2020"/>
    <x v="1"/>
    <n v="102787.75"/>
    <n v="92.6"/>
    <n v="323"/>
    <n v="194"/>
    <s v="Van"/>
    <n v="4"/>
    <x v="2"/>
    <x v="1"/>
    <n v="117639"/>
    <n v="3.79"/>
    <n v="5"/>
    <n v="12091848122.25"/>
  </r>
  <r>
    <x v="5"/>
    <x v="7"/>
    <n v="2020"/>
    <x v="2"/>
    <n v="46532.99"/>
    <n v="75.900000000000006"/>
    <n v="260"/>
    <n v="156"/>
    <s v="Van"/>
    <n v="4"/>
    <x v="4"/>
    <x v="2"/>
    <n v="63258"/>
    <n v="3.48"/>
    <n v="4"/>
    <n v="2943583881.4200001"/>
  </r>
  <r>
    <x v="3"/>
    <x v="8"/>
    <n v="2020"/>
    <x v="3"/>
    <n v="70472.75"/>
    <n v="66.3"/>
    <n v="241"/>
    <n v="138"/>
    <s v="Van"/>
    <n v="3"/>
    <x v="2"/>
    <x v="0"/>
    <n v="199656"/>
    <n v="3.4"/>
    <n v="4"/>
    <n v="14070307374"/>
  </r>
  <r>
    <x v="6"/>
    <x v="9"/>
    <n v="2020"/>
    <x v="3"/>
    <n v="50630.65"/>
    <n v="64"/>
    <n v="203"/>
    <n v="171"/>
    <s v="Hatchback"/>
    <n v="5"/>
    <x v="4"/>
    <x v="2"/>
    <n v="60112"/>
    <n v="3.39"/>
    <n v="3"/>
    <n v="3043509632.8000002"/>
  </r>
  <r>
    <x v="4"/>
    <x v="4"/>
    <n v="2020"/>
    <x v="3"/>
    <n v="102595.23"/>
    <n v="84.1"/>
    <n v="278"/>
    <n v="128"/>
    <s v="Coupe"/>
    <n v="3"/>
    <x v="3"/>
    <x v="1"/>
    <n v="45569"/>
    <n v="3.67"/>
    <n v="8"/>
    <n v="4675162035.8699999"/>
  </r>
  <r>
    <x v="7"/>
    <x v="10"/>
    <n v="2020"/>
    <x v="0"/>
    <n v="40762.980000000003"/>
    <n v="101.5"/>
    <n v="332"/>
    <n v="164"/>
    <s v="Coupe"/>
    <n v="4"/>
    <x v="3"/>
    <x v="2"/>
    <n v="220087"/>
    <n v="3.39"/>
    <n v="4"/>
    <n v="8971401979.2600002"/>
  </r>
  <r>
    <x v="0"/>
    <x v="0"/>
    <n v="2020"/>
    <x v="2"/>
    <n v="47569.79"/>
    <n v="41.5"/>
    <n v="160"/>
    <n v="133"/>
    <s v="SUV"/>
    <n v="4"/>
    <x v="0"/>
    <x v="2"/>
    <n v="28709"/>
    <n v="3.17"/>
    <n v="4"/>
    <n v="1365681101.1100001"/>
  </r>
  <r>
    <x v="3"/>
    <x v="11"/>
    <n v="2020"/>
    <x v="0"/>
    <n v="48719.93"/>
    <n v="95.3"/>
    <n v="342"/>
    <n v="166"/>
    <s v="Coupe"/>
    <n v="4"/>
    <x v="2"/>
    <x v="2"/>
    <n v="158941"/>
    <n v="3.72"/>
    <n v="4"/>
    <n v="7743594394.1300001"/>
  </r>
  <r>
    <x v="8"/>
    <x v="12"/>
    <n v="2020"/>
    <x v="0"/>
    <n v="67768.09"/>
    <n v="83.3"/>
    <n v="291"/>
    <n v="173"/>
    <s v="Truck"/>
    <n v="5"/>
    <x v="1"/>
    <x v="0"/>
    <n v="25258"/>
    <n v="3.54"/>
    <n v="4"/>
    <n v="1711686417.22"/>
  </r>
  <r>
    <x v="5"/>
    <x v="13"/>
    <n v="2020"/>
    <x v="2"/>
    <n v="44609.33"/>
    <n v="80.3"/>
    <n v="255"/>
    <n v="155"/>
    <s v="Sedan"/>
    <n v="4"/>
    <x v="4"/>
    <x v="2"/>
    <n v="62067"/>
    <n v="3.61"/>
    <n v="5"/>
    <n v="2768767285.1100001"/>
  </r>
  <r>
    <x v="3"/>
    <x v="14"/>
    <n v="2020"/>
    <x v="0"/>
    <n v="36752.050000000003"/>
    <n v="84.7"/>
    <n v="308"/>
    <n v="189"/>
    <s v="Sedan"/>
    <n v="4"/>
    <x v="2"/>
    <x v="2"/>
    <n v="178041"/>
    <n v="3.55"/>
    <n v="4"/>
    <n v="6543371734.0500002"/>
  </r>
  <r>
    <x v="5"/>
    <x v="15"/>
    <n v="2020"/>
    <x v="3"/>
    <n v="26731.95"/>
    <n v="75.8"/>
    <n v="257"/>
    <n v="160"/>
    <s v="SUV"/>
    <n v="5"/>
    <x v="4"/>
    <x v="3"/>
    <n v="147499"/>
    <n v="3.27"/>
    <n v="4"/>
    <n v="3942935893.0500002"/>
  </r>
  <r>
    <x v="9"/>
    <x v="16"/>
    <n v="2020"/>
    <x v="2"/>
    <n v="93337.36"/>
    <n v="72.7"/>
    <n v="232"/>
    <n v="176"/>
    <s v="Truck"/>
    <n v="5"/>
    <x v="3"/>
    <x v="0"/>
    <n v="25170"/>
    <n v="3.43"/>
    <n v="8"/>
    <n v="2349301351.1999998"/>
  </r>
  <r>
    <x v="2"/>
    <x v="2"/>
    <n v="2020"/>
    <x v="1"/>
    <n v="164703.81"/>
    <n v="113.2"/>
    <n v="397"/>
    <n v="187"/>
    <s v="Sedan"/>
    <n v="5"/>
    <x v="1"/>
    <x v="1"/>
    <n v="159470"/>
    <n v="4.1100000000000003"/>
    <n v="4"/>
    <n v="26265316580.700001"/>
  </r>
  <r>
    <x v="2"/>
    <x v="17"/>
    <n v="2020"/>
    <x v="0"/>
    <n v="65735.100000000006"/>
    <n v="91.3"/>
    <n v="319"/>
    <n v="178"/>
    <s v="Coupe"/>
    <n v="3"/>
    <x v="1"/>
    <x v="0"/>
    <n v="120134"/>
    <n v="4.09"/>
    <n v="4"/>
    <n v="7897020503.4000006"/>
  </r>
  <r>
    <x v="10"/>
    <x v="18"/>
    <n v="2020"/>
    <x v="2"/>
    <n v="82455.28"/>
    <n v="57.3"/>
    <n v="204"/>
    <n v="156"/>
    <s v="Van"/>
    <n v="4"/>
    <x v="5"/>
    <x v="0"/>
    <n v="12945"/>
    <n v="3.41"/>
    <n v="3"/>
    <n v="1067383599.6"/>
  </r>
  <r>
    <x v="0"/>
    <x v="0"/>
    <n v="2020"/>
    <x v="2"/>
    <n v="30416.52"/>
    <n v="72.2"/>
    <n v="257"/>
    <n v="153"/>
    <s v="SUV"/>
    <n v="4"/>
    <x v="0"/>
    <x v="3"/>
    <n v="15941"/>
    <n v="3.54"/>
    <n v="3"/>
    <n v="484869745.31999999"/>
  </r>
  <r>
    <x v="9"/>
    <x v="19"/>
    <n v="2020"/>
    <x v="4"/>
    <n v="84308.51"/>
    <n v="76.3"/>
    <n v="242"/>
    <n v="144"/>
    <s v="Truck"/>
    <n v="5"/>
    <x v="3"/>
    <x v="0"/>
    <n v="53466"/>
    <n v="3.48"/>
    <n v="6"/>
    <n v="4507638795.6599998"/>
  </r>
  <r>
    <x v="6"/>
    <x v="20"/>
    <n v="2020"/>
    <x v="1"/>
    <n v="74306.48"/>
    <n v="85.9"/>
    <n v="286"/>
    <n v="200"/>
    <s v="Truck"/>
    <n v="5"/>
    <x v="4"/>
    <x v="0"/>
    <n v="113130"/>
    <n v="3.67"/>
    <n v="4"/>
    <n v="8406292082.3999996"/>
  </r>
  <r>
    <x v="8"/>
    <x v="21"/>
    <n v="2020"/>
    <x v="3"/>
    <n v="62155.3"/>
    <n v="60.7"/>
    <n v="186"/>
    <n v="161"/>
    <s v="Van"/>
    <n v="5"/>
    <x v="1"/>
    <x v="2"/>
    <n v="60595"/>
    <n v="3.4"/>
    <n v="4"/>
    <n v="3766300403.5"/>
  </r>
  <r>
    <x v="5"/>
    <x v="22"/>
    <n v="2020"/>
    <x v="0"/>
    <n v="70023.960000000006"/>
    <n v="107.3"/>
    <n v="379"/>
    <n v="190"/>
    <s v="SUV"/>
    <n v="5"/>
    <x v="4"/>
    <x v="0"/>
    <n v="63318"/>
    <n v="3.7"/>
    <n v="4"/>
    <n v="4433777099.2800007"/>
  </r>
  <r>
    <x v="3"/>
    <x v="11"/>
    <n v="2020"/>
    <x v="1"/>
    <n v="61584.07"/>
    <n v="117"/>
    <n v="409"/>
    <n v="196"/>
    <s v="Sedan"/>
    <n v="5"/>
    <x v="2"/>
    <x v="2"/>
    <n v="190643"/>
    <n v="3.93"/>
    <n v="5"/>
    <n v="11740571857.01"/>
  </r>
  <r>
    <x v="5"/>
    <x v="23"/>
    <n v="2020"/>
    <x v="3"/>
    <n v="29338.85"/>
    <n v="40.5"/>
    <n v="157"/>
    <n v="165"/>
    <s v="SUV"/>
    <n v="4"/>
    <x v="4"/>
    <x v="3"/>
    <n v="61921"/>
    <n v="3.18"/>
    <n v="3"/>
    <n v="1816690930.8499999"/>
  </r>
  <r>
    <x v="7"/>
    <x v="24"/>
    <n v="2020"/>
    <x v="4"/>
    <n v="48608.56"/>
    <n v="41.4"/>
    <n v="163"/>
    <n v="175"/>
    <s v="Truck"/>
    <n v="5"/>
    <x v="3"/>
    <x v="2"/>
    <n v="221203"/>
    <n v="3.43"/>
    <n v="4"/>
    <n v="10752359297.68"/>
  </r>
  <r>
    <x v="9"/>
    <x v="16"/>
    <n v="2020"/>
    <x v="3"/>
    <n v="94185.600000000006"/>
    <n v="41.2"/>
    <n v="150"/>
    <n v="159"/>
    <s v="Coupe"/>
    <n v="4"/>
    <x v="3"/>
    <x v="0"/>
    <n v="43577"/>
    <n v="3.37"/>
    <n v="8"/>
    <n v="4104325891.2000003"/>
  </r>
  <r>
    <x v="11"/>
    <x v="25"/>
    <n v="2020"/>
    <x v="3"/>
    <n v="74902.509999999995"/>
    <n v="63.7"/>
    <n v="219"/>
    <n v="142"/>
    <s v="Coupe"/>
    <n v="4"/>
    <x v="1"/>
    <x v="0"/>
    <n v="16890"/>
    <n v="3.32"/>
    <n v="5"/>
    <n v="1265103393.8999999"/>
  </r>
  <r>
    <x v="11"/>
    <x v="26"/>
    <n v="2020"/>
    <x v="2"/>
    <n v="64055.95"/>
    <n v="77.900000000000006"/>
    <n v="280"/>
    <n v="136"/>
    <s v="Truck"/>
    <n v="5"/>
    <x v="1"/>
    <x v="2"/>
    <n v="12678"/>
    <n v="3.7"/>
    <n v="4"/>
    <n v="812101334.0999999"/>
  </r>
  <r>
    <x v="7"/>
    <x v="24"/>
    <n v="2020"/>
    <x v="2"/>
    <n v="27139.23"/>
    <n v="78.900000000000006"/>
    <n v="261"/>
    <n v="130"/>
    <s v="Hatchback"/>
    <n v="4"/>
    <x v="3"/>
    <x v="3"/>
    <n v="271891"/>
    <n v="3.57"/>
    <n v="4"/>
    <n v="7378912383.9300003"/>
  </r>
  <r>
    <x v="7"/>
    <x v="27"/>
    <n v="2020"/>
    <x v="0"/>
    <n v="81317.3"/>
    <n v="77.900000000000006"/>
    <n v="298"/>
    <n v="182"/>
    <s v="Truck"/>
    <n v="4"/>
    <x v="3"/>
    <x v="0"/>
    <n v="205086"/>
    <n v="3.62"/>
    <n v="3"/>
    <n v="16677039787.800001"/>
  </r>
  <r>
    <x v="5"/>
    <x v="13"/>
    <n v="2020"/>
    <x v="1"/>
    <n v="51182.15"/>
    <n v="115.1"/>
    <n v="444"/>
    <n v="200"/>
    <s v="Van"/>
    <n v="5"/>
    <x v="4"/>
    <x v="2"/>
    <n v="106543"/>
    <n v="3.82"/>
    <n v="4"/>
    <n v="5453099807.4499998"/>
  </r>
  <r>
    <x v="7"/>
    <x v="28"/>
    <n v="2020"/>
    <x v="3"/>
    <n v="72240.69"/>
    <n v="59.6"/>
    <n v="178"/>
    <n v="143"/>
    <s v="Sedan"/>
    <n v="4"/>
    <x v="3"/>
    <x v="0"/>
    <n v="255858"/>
    <n v="3.29"/>
    <n v="3"/>
    <n v="18483358462.02"/>
  </r>
  <r>
    <x v="5"/>
    <x v="22"/>
    <n v="2020"/>
    <x v="2"/>
    <n v="33055.17"/>
    <n v="58.2"/>
    <n v="200"/>
    <n v="158"/>
    <s v="SUV"/>
    <n v="4"/>
    <x v="4"/>
    <x v="3"/>
    <n v="139463"/>
    <n v="3.31"/>
    <n v="3"/>
    <n v="4609973173.71"/>
  </r>
  <r>
    <x v="12"/>
    <x v="29"/>
    <n v="2020"/>
    <x v="0"/>
    <n v="45327.78"/>
    <n v="86.2"/>
    <n v="305"/>
    <n v="174"/>
    <s v="Coupe"/>
    <n v="4"/>
    <x v="1"/>
    <x v="2"/>
    <n v="20824"/>
    <n v="3.63"/>
    <n v="3"/>
    <n v="943905690.72000003"/>
  </r>
  <r>
    <x v="5"/>
    <x v="7"/>
    <n v="2021"/>
    <x v="4"/>
    <n v="80530.570000000007"/>
    <n v="54.6"/>
    <n v="184"/>
    <n v="137"/>
    <s v="Hatchback"/>
    <n v="3"/>
    <x v="4"/>
    <x v="0"/>
    <n v="90830"/>
    <n v="3.11"/>
    <n v="4"/>
    <n v="7314591673.1000004"/>
  </r>
  <r>
    <x v="7"/>
    <x v="27"/>
    <n v="2021"/>
    <x v="0"/>
    <n v="52966.98"/>
    <n v="96.8"/>
    <n v="311"/>
    <n v="171"/>
    <s v="Coupe"/>
    <n v="5"/>
    <x v="3"/>
    <x v="2"/>
    <n v="232633"/>
    <n v="3.55"/>
    <n v="5"/>
    <n v="12321867458.34"/>
  </r>
  <r>
    <x v="11"/>
    <x v="30"/>
    <n v="2021"/>
    <x v="2"/>
    <n v="60978.95"/>
    <n v="84.5"/>
    <n v="304"/>
    <n v="153"/>
    <s v="Hatchback"/>
    <n v="5"/>
    <x v="1"/>
    <x v="2"/>
    <n v="7599"/>
    <n v="3.41"/>
    <n v="6"/>
    <n v="463379041.04999995"/>
  </r>
  <r>
    <x v="6"/>
    <x v="20"/>
    <n v="2021"/>
    <x v="4"/>
    <n v="81529.22"/>
    <n v="52"/>
    <n v="173"/>
    <n v="175"/>
    <s v="Truck"/>
    <n v="4"/>
    <x v="4"/>
    <x v="0"/>
    <n v="137712"/>
    <n v="3.33"/>
    <n v="4"/>
    <n v="11227551944.639999"/>
  </r>
  <r>
    <x v="3"/>
    <x v="14"/>
    <n v="2021"/>
    <x v="3"/>
    <n v="47541.74"/>
    <n v="75.3"/>
    <n v="274"/>
    <n v="133"/>
    <s v="SUV"/>
    <n v="3"/>
    <x v="2"/>
    <x v="2"/>
    <n v="230454"/>
    <n v="3.4"/>
    <n v="5"/>
    <n v="10956184149.959999"/>
  </r>
  <r>
    <x v="2"/>
    <x v="31"/>
    <n v="2021"/>
    <x v="2"/>
    <n v="98646.080000000002"/>
    <n v="76"/>
    <n v="242"/>
    <n v="143"/>
    <s v="Truck"/>
    <n v="5"/>
    <x v="1"/>
    <x v="0"/>
    <n v="235244"/>
    <n v="3.9"/>
    <n v="6"/>
    <n v="23205898443.52"/>
  </r>
  <r>
    <x v="5"/>
    <x v="23"/>
    <n v="2021"/>
    <x v="0"/>
    <n v="66633.95"/>
    <n v="75.099999999999994"/>
    <n v="272"/>
    <n v="170"/>
    <s v="Coupe"/>
    <n v="5"/>
    <x v="4"/>
    <x v="0"/>
    <n v="57850"/>
    <n v="3.25"/>
    <n v="5"/>
    <n v="3854774007.5"/>
  </r>
  <r>
    <x v="9"/>
    <x v="16"/>
    <n v="2021"/>
    <x v="3"/>
    <n v="94181.96"/>
    <n v="40.799999999999997"/>
    <n v="160"/>
    <n v="176"/>
    <s v="Coupe"/>
    <n v="5"/>
    <x v="3"/>
    <x v="0"/>
    <n v="79673"/>
    <n v="3.08"/>
    <n v="7"/>
    <n v="7503759299.0800009"/>
  </r>
  <r>
    <x v="7"/>
    <x v="24"/>
    <n v="2021"/>
    <x v="4"/>
    <n v="107417.79"/>
    <n v="54.2"/>
    <n v="201"/>
    <n v="176"/>
    <s v="Hatchback"/>
    <n v="5"/>
    <x v="3"/>
    <x v="1"/>
    <n v="254098"/>
    <n v="3.37"/>
    <n v="4"/>
    <n v="27294645603.419998"/>
  </r>
  <r>
    <x v="4"/>
    <x v="32"/>
    <n v="2021"/>
    <x v="2"/>
    <n v="80311.97"/>
    <n v="74.599999999999994"/>
    <n v="241"/>
    <n v="157"/>
    <s v="Sedan"/>
    <n v="5"/>
    <x v="3"/>
    <x v="0"/>
    <n v="55803"/>
    <n v="3.52"/>
    <n v="6"/>
    <n v="4481648861.9099998"/>
  </r>
  <r>
    <x v="13"/>
    <x v="33"/>
    <n v="2021"/>
    <x v="1"/>
    <n v="165233.4"/>
    <n v="100.3"/>
    <n v="329"/>
    <n v="194"/>
    <s v="Van"/>
    <n v="4"/>
    <x v="3"/>
    <x v="1"/>
    <n v="35726"/>
    <n v="3.78"/>
    <n v="6"/>
    <n v="5903128448.3999996"/>
  </r>
  <r>
    <x v="8"/>
    <x v="34"/>
    <n v="2021"/>
    <x v="0"/>
    <n v="77562.36"/>
    <n v="104.2"/>
    <n v="348"/>
    <n v="156"/>
    <s v="Hatchback"/>
    <n v="4"/>
    <x v="1"/>
    <x v="0"/>
    <n v="27293"/>
    <n v="3.54"/>
    <n v="3"/>
    <n v="2116909491.48"/>
  </r>
  <r>
    <x v="8"/>
    <x v="12"/>
    <n v="2021"/>
    <x v="2"/>
    <n v="63458.62"/>
    <n v="66.8"/>
    <n v="253"/>
    <n v="136"/>
    <s v="Truck"/>
    <n v="4"/>
    <x v="1"/>
    <x v="2"/>
    <n v="76517"/>
    <n v="3.4"/>
    <n v="4"/>
    <n v="4855663226.54"/>
  </r>
  <r>
    <x v="2"/>
    <x v="35"/>
    <n v="2021"/>
    <x v="3"/>
    <n v="27945.8"/>
    <n v="48.4"/>
    <n v="157"/>
    <n v="149"/>
    <s v="Hatchback"/>
    <n v="5"/>
    <x v="1"/>
    <x v="3"/>
    <n v="162791"/>
    <n v="3.38"/>
    <n v="6"/>
    <n v="4549324727.8000002"/>
  </r>
  <r>
    <x v="3"/>
    <x v="11"/>
    <n v="2021"/>
    <x v="3"/>
    <n v="73231.02"/>
    <n v="46.1"/>
    <n v="166"/>
    <n v="141"/>
    <s v="Sedan"/>
    <n v="4"/>
    <x v="2"/>
    <x v="0"/>
    <n v="227938"/>
    <n v="3.21"/>
    <n v="4"/>
    <n v="16692132236.76"/>
  </r>
  <r>
    <x v="2"/>
    <x v="5"/>
    <n v="2021"/>
    <x v="3"/>
    <n v="49771.040000000001"/>
    <n v="62.5"/>
    <n v="225"/>
    <n v="175"/>
    <s v="Coupe"/>
    <n v="3"/>
    <x v="1"/>
    <x v="2"/>
    <n v="483023"/>
    <n v="3.69"/>
    <n v="5"/>
    <n v="24040557053.920002"/>
  </r>
  <r>
    <x v="12"/>
    <x v="36"/>
    <n v="2021"/>
    <x v="3"/>
    <n v="44183.28"/>
    <n v="58.8"/>
    <n v="207"/>
    <n v="169"/>
    <s v="Van"/>
    <n v="5"/>
    <x v="1"/>
    <x v="2"/>
    <n v="22786"/>
    <n v="3.51"/>
    <n v="4"/>
    <n v="1006760218.0799999"/>
  </r>
  <r>
    <x v="3"/>
    <x v="37"/>
    <n v="2021"/>
    <x v="4"/>
    <n v="32842.629999999997"/>
    <n v="55.1"/>
    <n v="180"/>
    <n v="139"/>
    <s v="SUV"/>
    <n v="4"/>
    <x v="2"/>
    <x v="3"/>
    <n v="173134"/>
    <n v="3.1"/>
    <n v="4"/>
    <n v="5686175902.4199991"/>
  </r>
  <r>
    <x v="5"/>
    <x v="7"/>
    <n v="2021"/>
    <x v="4"/>
    <n v="101333.39"/>
    <n v="70.5"/>
    <n v="249"/>
    <n v="170"/>
    <s v="Van"/>
    <n v="4"/>
    <x v="4"/>
    <x v="1"/>
    <n v="89918"/>
    <n v="3.29"/>
    <n v="4"/>
    <n v="9111695762.0200005"/>
  </r>
  <r>
    <x v="3"/>
    <x v="37"/>
    <n v="2021"/>
    <x v="1"/>
    <n v="86937.42"/>
    <n v="114.7"/>
    <n v="426"/>
    <n v="200"/>
    <s v="Sedan"/>
    <n v="5"/>
    <x v="2"/>
    <x v="0"/>
    <n v="145646"/>
    <n v="4.13"/>
    <n v="4"/>
    <n v="12662087473.32"/>
  </r>
  <r>
    <x v="5"/>
    <x v="22"/>
    <n v="2021"/>
    <x v="0"/>
    <n v="60641.55"/>
    <n v="109.9"/>
    <n v="404"/>
    <n v="168"/>
    <s v="SUV"/>
    <n v="5"/>
    <x v="4"/>
    <x v="2"/>
    <n v="116742"/>
    <n v="3.9"/>
    <n v="5"/>
    <n v="7079415830.1000004"/>
  </r>
  <r>
    <x v="3"/>
    <x v="37"/>
    <n v="2021"/>
    <x v="2"/>
    <n v="44708.41"/>
    <n v="55.8"/>
    <n v="204"/>
    <n v="146"/>
    <s v="Hatchback"/>
    <n v="4"/>
    <x v="2"/>
    <x v="2"/>
    <n v="132992"/>
    <n v="3.34"/>
    <n v="4"/>
    <n v="5945860862.7200003"/>
  </r>
  <r>
    <x v="9"/>
    <x v="38"/>
    <n v="2021"/>
    <x v="1"/>
    <n v="122478.25"/>
    <n v="85.4"/>
    <n v="288"/>
    <n v="194"/>
    <s v="Hatchback"/>
    <n v="3"/>
    <x v="3"/>
    <x v="1"/>
    <n v="61194"/>
    <n v="3.64"/>
    <n v="6"/>
    <n v="7494934030.5"/>
  </r>
  <r>
    <x v="2"/>
    <x v="2"/>
    <n v="2021"/>
    <x v="4"/>
    <n v="108109.05"/>
    <n v="82.6"/>
    <n v="273"/>
    <n v="128"/>
    <s v="Van"/>
    <n v="4"/>
    <x v="1"/>
    <x v="1"/>
    <n v="201131"/>
    <n v="3.9"/>
    <n v="5"/>
    <n v="21744081335.549999"/>
  </r>
  <r>
    <x v="7"/>
    <x v="10"/>
    <n v="2021"/>
    <x v="0"/>
    <n v="76214.899999999994"/>
    <n v="92.3"/>
    <n v="348"/>
    <n v="172"/>
    <s v="Truck"/>
    <n v="5"/>
    <x v="3"/>
    <x v="0"/>
    <n v="249899"/>
    <n v="3.71"/>
    <n v="4"/>
    <n v="19046027295.099998"/>
  </r>
  <r>
    <x v="2"/>
    <x v="2"/>
    <n v="2021"/>
    <x v="2"/>
    <n v="109935.85"/>
    <n v="84.2"/>
    <n v="288"/>
    <n v="127"/>
    <s v="Truck"/>
    <n v="4"/>
    <x v="1"/>
    <x v="1"/>
    <n v="117148"/>
    <n v="3.95"/>
    <n v="5"/>
    <n v="12878764955.800001"/>
  </r>
  <r>
    <x v="2"/>
    <x v="17"/>
    <n v="2021"/>
    <x v="3"/>
    <n v="24979.98"/>
    <n v="81.099999999999994"/>
    <n v="271"/>
    <n v="135"/>
    <s v="Hatchback"/>
    <n v="5"/>
    <x v="1"/>
    <x v="3"/>
    <n v="132068"/>
    <n v="3.73"/>
    <n v="4"/>
    <n v="3299055998.6399999"/>
  </r>
  <r>
    <x v="3"/>
    <x v="11"/>
    <n v="2021"/>
    <x v="2"/>
    <n v="53782.86"/>
    <n v="84.7"/>
    <n v="314"/>
    <n v="169"/>
    <s v="Van"/>
    <n v="4"/>
    <x v="2"/>
    <x v="2"/>
    <n v="162990"/>
    <n v="3.75"/>
    <n v="3"/>
    <n v="8766068351.3999996"/>
  </r>
  <r>
    <x v="9"/>
    <x v="38"/>
    <n v="2021"/>
    <x v="3"/>
    <n v="82329.27"/>
    <n v="71.8"/>
    <n v="258"/>
    <n v="150"/>
    <s v="Hatchback"/>
    <n v="4"/>
    <x v="3"/>
    <x v="0"/>
    <n v="59553"/>
    <n v="3.74"/>
    <n v="6"/>
    <n v="4902955016.3100004"/>
  </r>
  <r>
    <x v="3"/>
    <x v="6"/>
    <n v="2021"/>
    <x v="1"/>
    <n v="91712.12"/>
    <n v="80.099999999999994"/>
    <n v="268"/>
    <n v="193"/>
    <s v="Hatchback"/>
    <n v="5"/>
    <x v="2"/>
    <x v="0"/>
    <n v="177248"/>
    <n v="3.63"/>
    <n v="3"/>
    <n v="16255789845.759998"/>
  </r>
  <r>
    <x v="9"/>
    <x v="16"/>
    <n v="2021"/>
    <x v="4"/>
    <n v="139020.51"/>
    <n v="63.5"/>
    <n v="232"/>
    <n v="131"/>
    <s v="Truck"/>
    <n v="5"/>
    <x v="3"/>
    <x v="1"/>
    <n v="48199"/>
    <n v="3.44"/>
    <n v="5"/>
    <n v="6700649561.4900007"/>
  </r>
  <r>
    <x v="7"/>
    <x v="10"/>
    <n v="2021"/>
    <x v="3"/>
    <n v="60392.45"/>
    <n v="68"/>
    <n v="225"/>
    <n v="137"/>
    <s v="Truck"/>
    <n v="3"/>
    <x v="3"/>
    <x v="2"/>
    <n v="256880"/>
    <n v="3.23"/>
    <n v="3"/>
    <n v="15513612556"/>
  </r>
  <r>
    <x v="2"/>
    <x v="35"/>
    <n v="2021"/>
    <x v="4"/>
    <n v="97027.76"/>
    <n v="71.400000000000006"/>
    <n v="235"/>
    <n v="150"/>
    <s v="Van"/>
    <n v="4"/>
    <x v="1"/>
    <x v="0"/>
    <n v="229836"/>
    <n v="3.91"/>
    <n v="4"/>
    <n v="22300472247.360001"/>
  </r>
  <r>
    <x v="5"/>
    <x v="7"/>
    <n v="2021"/>
    <x v="1"/>
    <n v="51783.96"/>
    <n v="99.9"/>
    <n v="345"/>
    <n v="197"/>
    <s v="SUV"/>
    <n v="5"/>
    <x v="4"/>
    <x v="2"/>
    <n v="94100"/>
    <n v="3.93"/>
    <n v="4"/>
    <n v="4872870636"/>
  </r>
  <r>
    <x v="9"/>
    <x v="39"/>
    <n v="2021"/>
    <x v="0"/>
    <n v="102095.14"/>
    <n v="106.5"/>
    <n v="364"/>
    <n v="178"/>
    <s v="Coupe"/>
    <n v="4"/>
    <x v="3"/>
    <x v="1"/>
    <n v="29444"/>
    <n v="3.44"/>
    <n v="5"/>
    <n v="3006089302.1599998"/>
  </r>
  <r>
    <x v="4"/>
    <x v="40"/>
    <n v="2021"/>
    <x v="1"/>
    <n v="119078.45"/>
    <n v="118.6"/>
    <n v="396"/>
    <n v="200"/>
    <s v="Coupe"/>
    <n v="5"/>
    <x v="3"/>
    <x v="1"/>
    <n v="62009"/>
    <n v="3.84"/>
    <n v="8"/>
    <n v="7383935606.0500002"/>
  </r>
  <r>
    <x v="3"/>
    <x v="8"/>
    <n v="2021"/>
    <x v="1"/>
    <n v="43985.87"/>
    <n v="97.2"/>
    <n v="348"/>
    <n v="200"/>
    <s v="Coupe"/>
    <n v="4"/>
    <x v="2"/>
    <x v="2"/>
    <n v="213365"/>
    <n v="3.76"/>
    <n v="4"/>
    <n v="9385045152.5500011"/>
  </r>
  <r>
    <x v="14"/>
    <x v="41"/>
    <n v="2021"/>
    <x v="0"/>
    <n v="55221.99"/>
    <n v="108.2"/>
    <n v="383"/>
    <n v="187"/>
    <s v="Coupe"/>
    <n v="4"/>
    <x v="2"/>
    <x v="2"/>
    <n v="7302"/>
    <n v="3.7"/>
    <n v="3"/>
    <n v="403230970.97999996"/>
  </r>
  <r>
    <x v="12"/>
    <x v="29"/>
    <n v="2021"/>
    <x v="4"/>
    <n v="53395.89"/>
    <n v="42.6"/>
    <n v="150"/>
    <n v="163"/>
    <s v="Sedan"/>
    <n v="4"/>
    <x v="1"/>
    <x v="2"/>
    <n v="1550"/>
    <n v="3.22"/>
    <n v="4"/>
    <n v="82763629.5"/>
  </r>
  <r>
    <x v="5"/>
    <x v="13"/>
    <n v="2021"/>
    <x v="1"/>
    <n v="106510.25"/>
    <n v="75.099999999999994"/>
    <n v="275"/>
    <n v="200"/>
    <s v="Van"/>
    <n v="5"/>
    <x v="4"/>
    <x v="1"/>
    <n v="120403"/>
    <n v="3.37"/>
    <n v="3"/>
    <n v="12824153630.75"/>
  </r>
  <r>
    <x v="13"/>
    <x v="33"/>
    <n v="2021"/>
    <x v="3"/>
    <n v="115665.62"/>
    <n v="57.4"/>
    <n v="162"/>
    <n v="169"/>
    <s v="Hatchback"/>
    <n v="4"/>
    <x v="3"/>
    <x v="1"/>
    <n v="25083"/>
    <n v="3.26"/>
    <n v="7"/>
    <n v="2901240746.46"/>
  </r>
  <r>
    <x v="12"/>
    <x v="36"/>
    <n v="2021"/>
    <x v="2"/>
    <n v="40119.64"/>
    <n v="79"/>
    <n v="282"/>
    <n v="141"/>
    <s v="SUV"/>
    <n v="5"/>
    <x v="1"/>
    <x v="2"/>
    <n v="25340"/>
    <n v="3.36"/>
    <n v="4"/>
    <n v="1016631677.6"/>
  </r>
  <r>
    <x v="9"/>
    <x v="19"/>
    <n v="2021"/>
    <x v="0"/>
    <n v="75380.59"/>
    <n v="109"/>
    <n v="366"/>
    <n v="181"/>
    <s v="SUV"/>
    <n v="4"/>
    <x v="3"/>
    <x v="0"/>
    <n v="62356"/>
    <n v="3.91"/>
    <n v="7"/>
    <n v="4700432070.04"/>
  </r>
  <r>
    <x v="5"/>
    <x v="22"/>
    <n v="2021"/>
    <x v="3"/>
    <n v="32210.63"/>
    <n v="78.099999999999994"/>
    <n v="270"/>
    <n v="137"/>
    <s v="SUV"/>
    <n v="5"/>
    <x v="4"/>
    <x v="3"/>
    <n v="60096"/>
    <n v="3.21"/>
    <n v="5"/>
    <n v="1935730020.48"/>
  </r>
  <r>
    <x v="3"/>
    <x v="11"/>
    <n v="2021"/>
    <x v="1"/>
    <n v="106411.54"/>
    <n v="95.1"/>
    <n v="346"/>
    <n v="200"/>
    <s v="Van"/>
    <n v="5"/>
    <x v="2"/>
    <x v="1"/>
    <n v="180190"/>
    <n v="3.58"/>
    <n v="3"/>
    <n v="19174295392.599998"/>
  </r>
  <r>
    <x v="11"/>
    <x v="26"/>
    <n v="2021"/>
    <x v="3"/>
    <n v="75009.919999999998"/>
    <n v="69.099999999999994"/>
    <n v="263"/>
    <n v="141"/>
    <s v="Truck"/>
    <n v="5"/>
    <x v="1"/>
    <x v="0"/>
    <n v="1899"/>
    <n v="3.57"/>
    <n v="4"/>
    <n v="142443838.07999998"/>
  </r>
  <r>
    <x v="7"/>
    <x v="10"/>
    <n v="2021"/>
    <x v="1"/>
    <n v="102347.9"/>
    <n v="83.8"/>
    <n v="290"/>
    <n v="200"/>
    <s v="SUV"/>
    <n v="5"/>
    <x v="3"/>
    <x v="1"/>
    <n v="251849"/>
    <n v="3.65"/>
    <n v="4"/>
    <n v="25776216267.099998"/>
  </r>
  <r>
    <x v="3"/>
    <x v="42"/>
    <n v="2021"/>
    <x v="2"/>
    <n v="24412.01"/>
    <n v="82.7"/>
    <n v="290"/>
    <n v="152"/>
    <s v="Truck"/>
    <n v="5"/>
    <x v="2"/>
    <x v="3"/>
    <n v="206262"/>
    <n v="3.68"/>
    <n v="4"/>
    <n v="5035270006.6199999"/>
  </r>
  <r>
    <x v="15"/>
    <x v="43"/>
    <n v="2021"/>
    <x v="3"/>
    <n v="163150.51999999999"/>
    <n v="73.900000000000006"/>
    <n v="281"/>
    <n v="137"/>
    <s v="Van"/>
    <n v="5"/>
    <x v="3"/>
    <x v="1"/>
    <n v="2340"/>
    <n v="4.03"/>
    <n v="6"/>
    <n v="381772216.79999995"/>
  </r>
  <r>
    <x v="5"/>
    <x v="23"/>
    <n v="2021"/>
    <x v="4"/>
    <n v="91322.04"/>
    <n v="65.900000000000006"/>
    <n v="229"/>
    <n v="156"/>
    <s v="SUV"/>
    <n v="4"/>
    <x v="4"/>
    <x v="0"/>
    <n v="103135"/>
    <n v="3.43"/>
    <n v="3"/>
    <n v="9418498595.3999996"/>
  </r>
  <r>
    <x v="2"/>
    <x v="5"/>
    <n v="2021"/>
    <x v="3"/>
    <n v="116565.3"/>
    <n v="80.7"/>
    <n v="282"/>
    <n v="136"/>
    <s v="Sedan"/>
    <n v="5"/>
    <x v="1"/>
    <x v="1"/>
    <n v="458264"/>
    <n v="3.95"/>
    <n v="6"/>
    <n v="53417680639.200005"/>
  </r>
  <r>
    <x v="9"/>
    <x v="39"/>
    <n v="2021"/>
    <x v="4"/>
    <n v="119496.22"/>
    <n v="73.8"/>
    <n v="254"/>
    <n v="133"/>
    <s v="Van"/>
    <n v="5"/>
    <x v="3"/>
    <x v="1"/>
    <n v="47944"/>
    <n v="3.44"/>
    <n v="6"/>
    <n v="5729126771.6800003"/>
  </r>
  <r>
    <x v="2"/>
    <x v="5"/>
    <n v="2021"/>
    <x v="2"/>
    <n v="59816.02"/>
    <n v="58.9"/>
    <n v="204"/>
    <n v="157"/>
    <s v="Van"/>
    <n v="4"/>
    <x v="1"/>
    <x v="2"/>
    <n v="446207"/>
    <n v="3.67"/>
    <n v="6"/>
    <n v="26690326836.139999"/>
  </r>
  <r>
    <x v="3"/>
    <x v="11"/>
    <n v="2021"/>
    <x v="1"/>
    <n v="99786.36"/>
    <n v="108.9"/>
    <n v="369"/>
    <n v="200"/>
    <s v="Sedan"/>
    <n v="5"/>
    <x v="2"/>
    <x v="0"/>
    <n v="126447"/>
    <n v="3.92"/>
    <n v="3"/>
    <n v="12617685862.92"/>
  </r>
  <r>
    <x v="9"/>
    <x v="38"/>
    <n v="2021"/>
    <x v="0"/>
    <n v="86702.14"/>
    <n v="97.3"/>
    <n v="331"/>
    <n v="176"/>
    <s v="SUV"/>
    <n v="3"/>
    <x v="3"/>
    <x v="0"/>
    <n v="40089"/>
    <n v="3.69"/>
    <n v="7"/>
    <n v="3475802090.46"/>
  </r>
  <r>
    <x v="2"/>
    <x v="5"/>
    <n v="2021"/>
    <x v="4"/>
    <n v="60365.37"/>
    <n v="70.3"/>
    <n v="225"/>
    <n v="155"/>
    <s v="Sedan"/>
    <n v="5"/>
    <x v="1"/>
    <x v="2"/>
    <n v="438670"/>
    <n v="3.68"/>
    <n v="4"/>
    <n v="26480476857.900002"/>
  </r>
  <r>
    <x v="6"/>
    <x v="20"/>
    <n v="2021"/>
    <x v="3"/>
    <n v="33847.360000000001"/>
    <n v="58.9"/>
    <n v="209"/>
    <n v="158"/>
    <s v="Sedan"/>
    <n v="3"/>
    <x v="4"/>
    <x v="3"/>
    <n v="145242"/>
    <n v="3.32"/>
    <n v="3"/>
    <n v="4916058261.1199999"/>
  </r>
  <r>
    <x v="6"/>
    <x v="20"/>
    <n v="2021"/>
    <x v="1"/>
    <n v="54289.29"/>
    <n v="101.8"/>
    <n v="323"/>
    <n v="196"/>
    <s v="Hatchback"/>
    <n v="4"/>
    <x v="4"/>
    <x v="2"/>
    <n v="110889"/>
    <n v="3.69"/>
    <n v="4"/>
    <n v="6020085078.8100004"/>
  </r>
  <r>
    <x v="9"/>
    <x v="19"/>
    <n v="2021"/>
    <x v="2"/>
    <n v="76431.360000000001"/>
    <n v="47"/>
    <n v="150"/>
    <n v="160"/>
    <s v="Sedan"/>
    <n v="4"/>
    <x v="3"/>
    <x v="0"/>
    <n v="30267"/>
    <n v="3.08"/>
    <n v="5"/>
    <n v="2313347973.1199999"/>
  </r>
  <r>
    <x v="7"/>
    <x v="24"/>
    <n v="2021"/>
    <x v="4"/>
    <n v="105115.96"/>
    <n v="73.099999999999994"/>
    <n v="242"/>
    <n v="143"/>
    <s v="Truck"/>
    <n v="4"/>
    <x v="3"/>
    <x v="1"/>
    <n v="297514"/>
    <n v="3.44"/>
    <n v="5"/>
    <n v="31273469723.440002"/>
  </r>
  <r>
    <x v="7"/>
    <x v="44"/>
    <n v="2021"/>
    <x v="0"/>
    <n v="44741.31"/>
    <n v="93.3"/>
    <n v="312"/>
    <n v="186"/>
    <s v="Sedan"/>
    <n v="5"/>
    <x v="3"/>
    <x v="2"/>
    <n v="254746"/>
    <n v="3.41"/>
    <n v="4"/>
    <n v="11397669757.26"/>
  </r>
  <r>
    <x v="3"/>
    <x v="14"/>
    <n v="2021"/>
    <x v="2"/>
    <n v="25493.200000000001"/>
    <n v="79"/>
    <n v="290"/>
    <n v="147"/>
    <s v="SUV"/>
    <n v="4"/>
    <x v="2"/>
    <x v="3"/>
    <n v="203716"/>
    <n v="3.59"/>
    <n v="3"/>
    <n v="5193372731.1999998"/>
  </r>
  <r>
    <x v="7"/>
    <x v="28"/>
    <n v="2021"/>
    <x v="0"/>
    <n v="35869.49"/>
    <n v="82.6"/>
    <n v="267"/>
    <n v="165"/>
    <s v="Truck"/>
    <n v="3"/>
    <x v="3"/>
    <x v="2"/>
    <n v="202031"/>
    <n v="3.79"/>
    <n v="3"/>
    <n v="7246748934.1899996"/>
  </r>
  <r>
    <x v="2"/>
    <x v="2"/>
    <n v="2021"/>
    <x v="4"/>
    <n v="143043.07999999999"/>
    <n v="60"/>
    <n v="222"/>
    <n v="153"/>
    <s v="SUV"/>
    <n v="5"/>
    <x v="1"/>
    <x v="1"/>
    <n v="139115"/>
    <n v="3.55"/>
    <n v="5"/>
    <n v="19899438074.199997"/>
  </r>
  <r>
    <x v="2"/>
    <x v="35"/>
    <n v="2021"/>
    <x v="2"/>
    <n v="66814.080000000002"/>
    <n v="57.8"/>
    <n v="194"/>
    <n v="136"/>
    <s v="Truck"/>
    <n v="4"/>
    <x v="1"/>
    <x v="0"/>
    <n v="228985"/>
    <n v="3.76"/>
    <n v="6"/>
    <n v="15299422108.800001"/>
  </r>
  <r>
    <x v="12"/>
    <x v="45"/>
    <n v="2021"/>
    <x v="1"/>
    <n v="47454.86"/>
    <n v="102.7"/>
    <n v="354"/>
    <n v="200"/>
    <s v="Van"/>
    <n v="4"/>
    <x v="1"/>
    <x v="2"/>
    <n v="7468"/>
    <n v="3.83"/>
    <n v="3"/>
    <n v="354392894.48000002"/>
  </r>
  <r>
    <x v="12"/>
    <x v="46"/>
    <n v="2021"/>
    <x v="0"/>
    <n v="61755.21"/>
    <n v="79.099999999999994"/>
    <n v="270"/>
    <n v="165"/>
    <s v="SUV"/>
    <n v="5"/>
    <x v="1"/>
    <x v="2"/>
    <n v="9557"/>
    <n v="3.66"/>
    <n v="3"/>
    <n v="590194541.97000003"/>
  </r>
  <r>
    <x v="12"/>
    <x v="45"/>
    <n v="2021"/>
    <x v="2"/>
    <n v="57965.58"/>
    <n v="67"/>
    <n v="237"/>
    <n v="159"/>
    <s v="Van"/>
    <n v="4"/>
    <x v="1"/>
    <x v="2"/>
    <n v="3168"/>
    <n v="3.49"/>
    <n v="4"/>
    <n v="183634957.44"/>
  </r>
  <r>
    <x v="3"/>
    <x v="42"/>
    <n v="2021"/>
    <x v="1"/>
    <n v="36438.81"/>
    <n v="91.3"/>
    <n v="319"/>
    <n v="192"/>
    <s v="Coupe"/>
    <n v="4"/>
    <x v="2"/>
    <x v="2"/>
    <n v="110969"/>
    <n v="3.76"/>
    <n v="4"/>
    <n v="4043578306.8899999"/>
  </r>
  <r>
    <x v="8"/>
    <x v="34"/>
    <n v="2021"/>
    <x v="4"/>
    <n v="97933.8"/>
    <n v="43.7"/>
    <n v="150"/>
    <n v="142"/>
    <s v="SUV"/>
    <n v="4"/>
    <x v="1"/>
    <x v="0"/>
    <n v="45842"/>
    <n v="3.05"/>
    <n v="4"/>
    <n v="4489481259.6000004"/>
  </r>
  <r>
    <x v="11"/>
    <x v="25"/>
    <n v="2021"/>
    <x v="1"/>
    <n v="113614.29"/>
    <n v="108.1"/>
    <n v="387"/>
    <n v="200"/>
    <s v="Hatchback"/>
    <n v="5"/>
    <x v="1"/>
    <x v="1"/>
    <n v="4505"/>
    <n v="3.89"/>
    <n v="5"/>
    <n v="511832376.44999999"/>
  </r>
  <r>
    <x v="2"/>
    <x v="35"/>
    <n v="2021"/>
    <x v="4"/>
    <n v="118010.78"/>
    <n v="64.7"/>
    <n v="229"/>
    <n v="141"/>
    <s v="Hatchback"/>
    <n v="4"/>
    <x v="1"/>
    <x v="1"/>
    <n v="177339"/>
    <n v="3.7"/>
    <n v="5"/>
    <n v="20927913714.419998"/>
  </r>
  <r>
    <x v="2"/>
    <x v="35"/>
    <n v="2021"/>
    <x v="0"/>
    <n v="118192.05"/>
    <n v="92.9"/>
    <n v="329"/>
    <n v="162"/>
    <s v="Coupe"/>
    <n v="5"/>
    <x v="1"/>
    <x v="1"/>
    <n v="123098"/>
    <n v="3.96"/>
    <n v="5"/>
    <n v="14549204970.9"/>
  </r>
  <r>
    <x v="2"/>
    <x v="2"/>
    <n v="2021"/>
    <x v="1"/>
    <n v="76847.7"/>
    <n v="116.8"/>
    <n v="418"/>
    <n v="197"/>
    <s v="Coupe"/>
    <n v="5"/>
    <x v="1"/>
    <x v="0"/>
    <n v="229674"/>
    <n v="4"/>
    <n v="5"/>
    <n v="17649918649.799999"/>
  </r>
  <r>
    <x v="2"/>
    <x v="35"/>
    <n v="2021"/>
    <x v="4"/>
    <n v="100894.61"/>
    <n v="84.8"/>
    <n v="304"/>
    <n v="161"/>
    <s v="SUV"/>
    <n v="5"/>
    <x v="1"/>
    <x v="1"/>
    <n v="201220"/>
    <n v="3.9"/>
    <n v="5"/>
    <n v="20302013424.200001"/>
  </r>
  <r>
    <x v="0"/>
    <x v="47"/>
    <n v="2021"/>
    <x v="1"/>
    <n v="93898.99"/>
    <n v="117.1"/>
    <n v="375"/>
    <n v="182"/>
    <s v="Coupe"/>
    <n v="5"/>
    <x v="0"/>
    <x v="0"/>
    <n v="29112"/>
    <n v="3.93"/>
    <n v="3"/>
    <n v="2733587396.8800001"/>
  </r>
  <r>
    <x v="13"/>
    <x v="48"/>
    <n v="2021"/>
    <x v="0"/>
    <n v="133886.35"/>
    <n v="108.5"/>
    <n v="379"/>
    <n v="159"/>
    <s v="Van"/>
    <n v="4"/>
    <x v="3"/>
    <x v="1"/>
    <n v="61011"/>
    <n v="4"/>
    <n v="7"/>
    <n v="8168540099.8500004"/>
  </r>
  <r>
    <x v="5"/>
    <x v="22"/>
    <n v="2021"/>
    <x v="0"/>
    <n v="56383.76"/>
    <n v="77.599999999999994"/>
    <n v="294"/>
    <n v="162"/>
    <s v="SUV"/>
    <n v="5"/>
    <x v="4"/>
    <x v="2"/>
    <n v="85632"/>
    <n v="3.6"/>
    <n v="3"/>
    <n v="4828254136.3200006"/>
  </r>
  <r>
    <x v="3"/>
    <x v="8"/>
    <n v="2021"/>
    <x v="4"/>
    <n v="107053.36"/>
    <n v="82.6"/>
    <n v="300"/>
    <n v="164"/>
    <s v="Coupe"/>
    <n v="3"/>
    <x v="2"/>
    <x v="1"/>
    <n v="216609"/>
    <n v="3.76"/>
    <n v="4"/>
    <n v="23188721256.240002"/>
  </r>
  <r>
    <x v="5"/>
    <x v="23"/>
    <n v="2021"/>
    <x v="4"/>
    <n v="36092.980000000003"/>
    <n v="41.6"/>
    <n v="150"/>
    <n v="170"/>
    <s v="SUV"/>
    <n v="5"/>
    <x v="4"/>
    <x v="2"/>
    <n v="73706"/>
    <n v="3"/>
    <n v="3"/>
    <n v="2660269183.8800001"/>
  </r>
  <r>
    <x v="7"/>
    <x v="27"/>
    <n v="2021"/>
    <x v="0"/>
    <n v="70654.720000000001"/>
    <n v="88.4"/>
    <n v="317"/>
    <n v="163"/>
    <s v="Hatchback"/>
    <n v="4"/>
    <x v="3"/>
    <x v="0"/>
    <n v="211095"/>
    <n v="3.8"/>
    <n v="5"/>
    <n v="14914858118.4"/>
  </r>
  <r>
    <x v="13"/>
    <x v="48"/>
    <n v="2021"/>
    <x v="1"/>
    <n v="167760.51"/>
    <n v="110.2"/>
    <n v="367"/>
    <n v="189"/>
    <s v="Hatchback"/>
    <n v="5"/>
    <x v="3"/>
    <x v="1"/>
    <n v="66576"/>
    <n v="3.8"/>
    <n v="8"/>
    <n v="11168823713.76"/>
  </r>
  <r>
    <x v="2"/>
    <x v="31"/>
    <n v="2021"/>
    <x v="2"/>
    <n v="64613.56"/>
    <n v="49.8"/>
    <n v="175"/>
    <n v="130"/>
    <s v="Truck"/>
    <n v="4"/>
    <x v="1"/>
    <x v="2"/>
    <n v="243316"/>
    <n v="3.49"/>
    <n v="5"/>
    <n v="15721512964.959999"/>
  </r>
  <r>
    <x v="3"/>
    <x v="8"/>
    <n v="2021"/>
    <x v="3"/>
    <n v="36671.61"/>
    <n v="51.7"/>
    <n v="195"/>
    <n v="166"/>
    <s v="Truck"/>
    <n v="4"/>
    <x v="2"/>
    <x v="2"/>
    <n v="112221"/>
    <n v="3.41"/>
    <n v="4"/>
    <n v="4115324745.8099999"/>
  </r>
  <r>
    <x v="12"/>
    <x v="36"/>
    <n v="2021"/>
    <x v="3"/>
    <n v="64473.77"/>
    <n v="77.599999999999994"/>
    <n v="293"/>
    <n v="143"/>
    <s v="Truck"/>
    <n v="4"/>
    <x v="1"/>
    <x v="2"/>
    <n v="9147"/>
    <n v="3.72"/>
    <n v="4"/>
    <n v="589741574.18999994"/>
  </r>
  <r>
    <x v="5"/>
    <x v="15"/>
    <n v="2021"/>
    <x v="1"/>
    <n v="92296.55"/>
    <n v="118.8"/>
    <n v="403"/>
    <n v="197"/>
    <s v="SUV"/>
    <n v="5"/>
    <x v="4"/>
    <x v="0"/>
    <n v="79309"/>
    <n v="3.97"/>
    <n v="4"/>
    <n v="7319947083.9499998"/>
  </r>
  <r>
    <x v="16"/>
    <x v="49"/>
    <n v="2021"/>
    <x v="0"/>
    <n v="49221.78"/>
    <n v="80.400000000000006"/>
    <n v="266"/>
    <n v="176"/>
    <s v="Hatchback"/>
    <n v="5"/>
    <x v="2"/>
    <x v="2"/>
    <n v="23659"/>
    <n v="3.6"/>
    <n v="3"/>
    <n v="1164538093.02"/>
  </r>
  <r>
    <x v="3"/>
    <x v="14"/>
    <n v="2021"/>
    <x v="4"/>
    <n v="78313.97"/>
    <n v="76.099999999999994"/>
    <n v="270"/>
    <n v="135"/>
    <s v="Sedan"/>
    <n v="4"/>
    <x v="2"/>
    <x v="0"/>
    <n v="235914"/>
    <n v="3.5"/>
    <n v="4"/>
    <n v="18475361918.580002"/>
  </r>
  <r>
    <x v="12"/>
    <x v="46"/>
    <n v="2021"/>
    <x v="1"/>
    <n v="65656.759999999995"/>
    <n v="86.5"/>
    <n v="340"/>
    <n v="190"/>
    <s v="SUV"/>
    <n v="5"/>
    <x v="1"/>
    <x v="0"/>
    <n v="12802"/>
    <n v="3.96"/>
    <n v="5"/>
    <n v="840537841.51999998"/>
  </r>
  <r>
    <x v="0"/>
    <x v="0"/>
    <n v="2022"/>
    <x v="4"/>
    <n v="48217.41"/>
    <n v="58.8"/>
    <n v="219"/>
    <n v="159"/>
    <s v="SUV"/>
    <n v="4"/>
    <x v="0"/>
    <x v="2"/>
    <n v="7146"/>
    <n v="3.56"/>
    <n v="3"/>
    <n v="344561611.86000001"/>
  </r>
  <r>
    <x v="2"/>
    <x v="17"/>
    <n v="2022"/>
    <x v="0"/>
    <n v="144079.87"/>
    <n v="93.9"/>
    <n v="314"/>
    <n v="165"/>
    <s v="SUV"/>
    <n v="4"/>
    <x v="1"/>
    <x v="1"/>
    <n v="196401"/>
    <n v="3.83"/>
    <n v="4"/>
    <n v="28297430547.869999"/>
  </r>
  <r>
    <x v="15"/>
    <x v="43"/>
    <n v="2022"/>
    <x v="0"/>
    <n v="101897.93"/>
    <n v="76.099999999999994"/>
    <n v="254"/>
    <n v="163"/>
    <s v="Truck"/>
    <n v="5"/>
    <x v="3"/>
    <x v="1"/>
    <n v="26972"/>
    <n v="3.68"/>
    <n v="7"/>
    <n v="2748390967.96"/>
  </r>
  <r>
    <x v="3"/>
    <x v="14"/>
    <n v="2022"/>
    <x v="3"/>
    <n v="37515.42"/>
    <n v="52.5"/>
    <n v="194"/>
    <n v="137"/>
    <s v="Truck"/>
    <n v="4"/>
    <x v="2"/>
    <x v="2"/>
    <n v="192045"/>
    <n v="3.31"/>
    <n v="5"/>
    <n v="7204648833.8999996"/>
  </r>
  <r>
    <x v="6"/>
    <x v="50"/>
    <n v="2022"/>
    <x v="0"/>
    <n v="84513.62"/>
    <n v="109.9"/>
    <n v="400"/>
    <n v="165"/>
    <s v="Coupe"/>
    <n v="4"/>
    <x v="4"/>
    <x v="0"/>
    <n v="95418"/>
    <n v="3.69"/>
    <n v="4"/>
    <n v="8064120593.1599998"/>
  </r>
  <r>
    <x v="14"/>
    <x v="41"/>
    <n v="2022"/>
    <x v="2"/>
    <n v="53544.18"/>
    <n v="45"/>
    <n v="186"/>
    <n v="172"/>
    <s v="SUV"/>
    <n v="4"/>
    <x v="2"/>
    <x v="2"/>
    <n v="10495"/>
    <n v="3.38"/>
    <n v="5"/>
    <n v="561946169.10000002"/>
  </r>
  <r>
    <x v="1"/>
    <x v="51"/>
    <n v="2022"/>
    <x v="0"/>
    <n v="59484.88"/>
    <n v="82.4"/>
    <n v="287"/>
    <n v="163"/>
    <s v="Hatchback"/>
    <n v="5"/>
    <x v="1"/>
    <x v="2"/>
    <n v="23860"/>
    <n v="3.43"/>
    <n v="5"/>
    <n v="1419309236.8"/>
  </r>
  <r>
    <x v="2"/>
    <x v="2"/>
    <n v="2022"/>
    <x v="0"/>
    <n v="133033.76"/>
    <n v="83.6"/>
    <n v="310"/>
    <n v="181"/>
    <s v="Coupe"/>
    <n v="5"/>
    <x v="1"/>
    <x v="1"/>
    <n v="213496"/>
    <n v="3.81"/>
    <n v="5"/>
    <n v="28402175624.960003"/>
  </r>
  <r>
    <x v="5"/>
    <x v="23"/>
    <n v="2022"/>
    <x v="2"/>
    <n v="59652.7"/>
    <n v="67.900000000000006"/>
    <n v="238"/>
    <n v="156"/>
    <s v="SUV"/>
    <n v="5"/>
    <x v="4"/>
    <x v="2"/>
    <n v="145797"/>
    <n v="3.55"/>
    <n v="3"/>
    <n v="8697184701.8999996"/>
  </r>
  <r>
    <x v="12"/>
    <x v="52"/>
    <n v="2022"/>
    <x v="2"/>
    <n v="24572.41"/>
    <n v="46.5"/>
    <n v="182"/>
    <n v="168"/>
    <s v="Truck"/>
    <n v="4"/>
    <x v="1"/>
    <x v="3"/>
    <n v="9346"/>
    <n v="3.53"/>
    <n v="3"/>
    <n v="229653743.85999998"/>
  </r>
  <r>
    <x v="6"/>
    <x v="53"/>
    <n v="2022"/>
    <x v="3"/>
    <n v="35583.1"/>
    <n v="60.1"/>
    <n v="220"/>
    <n v="157"/>
    <s v="Sedan"/>
    <n v="5"/>
    <x v="4"/>
    <x v="2"/>
    <n v="116403"/>
    <n v="3.38"/>
    <n v="3"/>
    <n v="4141979589.2999997"/>
  </r>
  <r>
    <x v="3"/>
    <x v="42"/>
    <n v="2022"/>
    <x v="3"/>
    <n v="27939.32"/>
    <n v="56.5"/>
    <n v="182"/>
    <n v="141"/>
    <s v="SUV"/>
    <n v="5"/>
    <x v="2"/>
    <x v="3"/>
    <n v="100593"/>
    <n v="3.2"/>
    <n v="4"/>
    <n v="2810500016.7599998"/>
  </r>
  <r>
    <x v="2"/>
    <x v="5"/>
    <n v="2022"/>
    <x v="0"/>
    <n v="112382.86"/>
    <n v="81.900000000000006"/>
    <n v="270"/>
    <n v="182"/>
    <s v="Coupe"/>
    <n v="4"/>
    <x v="1"/>
    <x v="1"/>
    <n v="494879"/>
    <n v="3.77"/>
    <n v="4"/>
    <n v="55615917373.940002"/>
  </r>
  <r>
    <x v="7"/>
    <x v="44"/>
    <n v="2022"/>
    <x v="4"/>
    <n v="62108.39"/>
    <n v="82.1"/>
    <n v="268"/>
    <n v="137"/>
    <s v="SUV"/>
    <n v="5"/>
    <x v="3"/>
    <x v="2"/>
    <n v="222675"/>
    <n v="3.19"/>
    <n v="5"/>
    <n v="13829985743.25"/>
  </r>
  <r>
    <x v="5"/>
    <x v="13"/>
    <n v="2022"/>
    <x v="1"/>
    <n v="111175.38"/>
    <n v="89.2"/>
    <n v="319"/>
    <n v="190"/>
    <s v="Hatchback"/>
    <n v="5"/>
    <x v="4"/>
    <x v="1"/>
    <n v="51798"/>
    <n v="3.75"/>
    <n v="5"/>
    <n v="5758662333.2399998"/>
  </r>
  <r>
    <x v="14"/>
    <x v="54"/>
    <n v="2022"/>
    <x v="3"/>
    <n v="69452.42"/>
    <n v="47.9"/>
    <n v="170"/>
    <n v="147"/>
    <s v="Sedan"/>
    <n v="5"/>
    <x v="2"/>
    <x v="0"/>
    <n v="28334"/>
    <n v="3.19"/>
    <n v="5"/>
    <n v="1967864868.28"/>
  </r>
  <r>
    <x v="3"/>
    <x v="6"/>
    <n v="2022"/>
    <x v="1"/>
    <n v="38276.480000000003"/>
    <n v="92"/>
    <n v="283"/>
    <n v="199"/>
    <s v="Van"/>
    <n v="4"/>
    <x v="2"/>
    <x v="2"/>
    <n v="175542"/>
    <n v="3.44"/>
    <n v="5"/>
    <n v="6719129852.1600008"/>
  </r>
  <r>
    <x v="5"/>
    <x v="13"/>
    <n v="2022"/>
    <x v="0"/>
    <n v="76439.210000000006"/>
    <n v="93"/>
    <n v="337"/>
    <n v="164"/>
    <s v="Truck"/>
    <n v="5"/>
    <x v="4"/>
    <x v="0"/>
    <n v="85577"/>
    <n v="3.72"/>
    <n v="3"/>
    <n v="6541438274.1700001"/>
  </r>
  <r>
    <x v="4"/>
    <x v="32"/>
    <n v="2022"/>
    <x v="4"/>
    <n v="98374.44"/>
    <n v="50.7"/>
    <n v="166"/>
    <n v="164"/>
    <s v="Truck"/>
    <n v="5"/>
    <x v="3"/>
    <x v="0"/>
    <n v="45293"/>
    <n v="3.1"/>
    <n v="7"/>
    <n v="4455673510.9200001"/>
  </r>
  <r>
    <x v="6"/>
    <x v="9"/>
    <n v="2022"/>
    <x v="4"/>
    <n v="72159.44"/>
    <n v="56.2"/>
    <n v="163"/>
    <n v="132"/>
    <s v="Van"/>
    <n v="4"/>
    <x v="4"/>
    <x v="0"/>
    <n v="119329"/>
    <n v="3.43"/>
    <n v="4"/>
    <n v="8610713815.7600002"/>
  </r>
  <r>
    <x v="5"/>
    <x v="23"/>
    <n v="2022"/>
    <x v="0"/>
    <n v="90771.15"/>
    <n v="86.2"/>
    <n v="305"/>
    <n v="179"/>
    <s v="Truck"/>
    <n v="4"/>
    <x v="4"/>
    <x v="0"/>
    <n v="86318"/>
    <n v="3.46"/>
    <n v="3"/>
    <n v="7835184125.6999998"/>
  </r>
  <r>
    <x v="2"/>
    <x v="2"/>
    <n v="2022"/>
    <x v="4"/>
    <n v="59089.35"/>
    <n v="76.7"/>
    <n v="268"/>
    <n v="153"/>
    <s v="Sedan"/>
    <n v="5"/>
    <x v="1"/>
    <x v="2"/>
    <n v="130707"/>
    <n v="3.64"/>
    <n v="5"/>
    <n v="7723391670.4499998"/>
  </r>
  <r>
    <x v="2"/>
    <x v="31"/>
    <n v="2022"/>
    <x v="1"/>
    <n v="170128.32"/>
    <n v="84.4"/>
    <n v="303"/>
    <n v="186"/>
    <s v="Truck"/>
    <n v="4"/>
    <x v="1"/>
    <x v="1"/>
    <n v="163960"/>
    <n v="4.09"/>
    <n v="5"/>
    <n v="27894239347.200001"/>
  </r>
  <r>
    <x v="5"/>
    <x v="13"/>
    <n v="2022"/>
    <x v="2"/>
    <n v="43745.72"/>
    <n v="58.3"/>
    <n v="197"/>
    <n v="141"/>
    <s v="Hatchback"/>
    <n v="5"/>
    <x v="4"/>
    <x v="2"/>
    <n v="77441"/>
    <n v="3.34"/>
    <n v="4"/>
    <n v="3387712302.52"/>
  </r>
  <r>
    <x v="0"/>
    <x v="47"/>
    <n v="2022"/>
    <x v="3"/>
    <n v="69982.490000000005"/>
    <n v="42.6"/>
    <n v="156"/>
    <n v="153"/>
    <s v="Truck"/>
    <n v="5"/>
    <x v="0"/>
    <x v="0"/>
    <n v="8818"/>
    <n v="3.15"/>
    <n v="3"/>
    <n v="617105596.82000005"/>
  </r>
  <r>
    <x v="12"/>
    <x v="45"/>
    <n v="2022"/>
    <x v="0"/>
    <n v="49443.87"/>
    <n v="82.7"/>
    <n v="262"/>
    <n v="179"/>
    <s v="Van"/>
    <n v="4"/>
    <x v="1"/>
    <x v="2"/>
    <n v="17112"/>
    <n v="3.4"/>
    <n v="3"/>
    <n v="846083503.44000006"/>
  </r>
  <r>
    <x v="3"/>
    <x v="6"/>
    <n v="2022"/>
    <x v="4"/>
    <n v="36072.31"/>
    <n v="77.7"/>
    <n v="251"/>
    <n v="154"/>
    <s v="Van"/>
    <n v="4"/>
    <x v="2"/>
    <x v="2"/>
    <n v="159638"/>
    <n v="3.48"/>
    <n v="4"/>
    <n v="5758511423.7799997"/>
  </r>
  <r>
    <x v="7"/>
    <x v="27"/>
    <n v="2022"/>
    <x v="3"/>
    <n v="73902.850000000006"/>
    <n v="64"/>
    <n v="231"/>
    <n v="168"/>
    <s v="Van"/>
    <n v="4"/>
    <x v="3"/>
    <x v="0"/>
    <n v="251288"/>
    <n v="3.32"/>
    <n v="4"/>
    <n v="18570899370.800003"/>
  </r>
  <r>
    <x v="0"/>
    <x v="0"/>
    <n v="2022"/>
    <x v="2"/>
    <n v="59240.75"/>
    <n v="70.099999999999994"/>
    <n v="267"/>
    <n v="162"/>
    <s v="SUV"/>
    <n v="4"/>
    <x v="0"/>
    <x v="2"/>
    <n v="18789"/>
    <n v="3.47"/>
    <n v="4"/>
    <n v="1113074451.75"/>
  </r>
  <r>
    <x v="9"/>
    <x v="19"/>
    <n v="2022"/>
    <x v="3"/>
    <n v="69932.429999999993"/>
    <n v="67"/>
    <n v="249"/>
    <n v="140"/>
    <s v="Hatchback"/>
    <n v="5"/>
    <x v="3"/>
    <x v="0"/>
    <n v="52868"/>
    <n v="3.54"/>
    <n v="7"/>
    <n v="3697187709.2399998"/>
  </r>
  <r>
    <x v="5"/>
    <x v="22"/>
    <n v="2022"/>
    <x v="1"/>
    <n v="67330.570000000007"/>
    <n v="77.099999999999994"/>
    <n v="284"/>
    <n v="194"/>
    <s v="SUV"/>
    <n v="5"/>
    <x v="4"/>
    <x v="0"/>
    <n v="91349"/>
    <n v="3.46"/>
    <n v="4"/>
    <n v="6150580238.9300003"/>
  </r>
  <r>
    <x v="7"/>
    <x v="24"/>
    <n v="2022"/>
    <x v="1"/>
    <n v="102466.68"/>
    <n v="77.599999999999994"/>
    <n v="281"/>
    <n v="189"/>
    <s v="Truck"/>
    <n v="5"/>
    <x v="3"/>
    <x v="1"/>
    <n v="252835"/>
    <n v="3.37"/>
    <n v="5"/>
    <n v="25907163037.799999"/>
  </r>
  <r>
    <x v="2"/>
    <x v="2"/>
    <n v="2022"/>
    <x v="0"/>
    <n v="119080.01"/>
    <n v="82.3"/>
    <n v="284"/>
    <n v="159"/>
    <s v="Truck"/>
    <n v="5"/>
    <x v="1"/>
    <x v="1"/>
    <n v="124340"/>
    <n v="3.98"/>
    <n v="6"/>
    <n v="14806408443.4"/>
  </r>
  <r>
    <x v="9"/>
    <x v="38"/>
    <n v="2022"/>
    <x v="2"/>
    <n v="61657.41"/>
    <n v="79.900000000000006"/>
    <n v="273"/>
    <n v="174"/>
    <s v="SUV"/>
    <n v="5"/>
    <x v="3"/>
    <x v="2"/>
    <n v="21575"/>
    <n v="3.67"/>
    <n v="6"/>
    <n v="1330258620.75"/>
  </r>
  <r>
    <x v="2"/>
    <x v="5"/>
    <n v="2022"/>
    <x v="4"/>
    <n v="74321.009999999995"/>
    <n v="61.2"/>
    <n v="226"/>
    <n v="118"/>
    <s v="Truck"/>
    <n v="5"/>
    <x v="1"/>
    <x v="0"/>
    <n v="438573"/>
    <n v="3.82"/>
    <n v="5"/>
    <n v="32595188318.73"/>
  </r>
  <r>
    <x v="4"/>
    <x v="4"/>
    <n v="2022"/>
    <x v="2"/>
    <n v="87894.85"/>
    <n v="84.4"/>
    <n v="315"/>
    <n v="136"/>
    <s v="Hatchback"/>
    <n v="5"/>
    <x v="3"/>
    <x v="0"/>
    <n v="64291"/>
    <n v="3.45"/>
    <n v="6"/>
    <n v="5650847801.3500004"/>
  </r>
  <r>
    <x v="0"/>
    <x v="0"/>
    <n v="2022"/>
    <x v="1"/>
    <n v="56751.98"/>
    <n v="90.8"/>
    <n v="324"/>
    <n v="191"/>
    <s v="SUV"/>
    <n v="5"/>
    <x v="0"/>
    <x v="2"/>
    <n v="9887"/>
    <n v="3.39"/>
    <n v="3"/>
    <n v="561106826.25999999"/>
  </r>
  <r>
    <x v="12"/>
    <x v="52"/>
    <n v="2022"/>
    <x v="3"/>
    <n v="55685.25"/>
    <n v="80.400000000000006"/>
    <n v="288"/>
    <n v="158"/>
    <s v="Sedan"/>
    <n v="4"/>
    <x v="1"/>
    <x v="2"/>
    <n v="22694"/>
    <n v="3.58"/>
    <n v="4"/>
    <n v="1263721063.5"/>
  </r>
  <r>
    <x v="2"/>
    <x v="17"/>
    <n v="2022"/>
    <x v="4"/>
    <n v="74667.63"/>
    <n v="60.5"/>
    <n v="201"/>
    <n v="159"/>
    <s v="Truck"/>
    <n v="5"/>
    <x v="1"/>
    <x v="0"/>
    <n v="245609"/>
    <n v="3.71"/>
    <n v="4"/>
    <n v="18339041936.670002"/>
  </r>
  <r>
    <x v="2"/>
    <x v="35"/>
    <n v="2022"/>
    <x v="1"/>
    <n v="66277.97"/>
    <n v="97.7"/>
    <n v="340"/>
    <n v="189"/>
    <s v="Truck"/>
    <n v="3"/>
    <x v="1"/>
    <x v="0"/>
    <n v="108652"/>
    <n v="4.1100000000000003"/>
    <n v="4"/>
    <n v="7201233996.4400005"/>
  </r>
  <r>
    <x v="6"/>
    <x v="9"/>
    <n v="2022"/>
    <x v="1"/>
    <n v="81725.25"/>
    <n v="71.7"/>
    <n v="234"/>
    <n v="197"/>
    <s v="Sedan"/>
    <n v="5"/>
    <x v="4"/>
    <x v="0"/>
    <n v="72070"/>
    <n v="3.48"/>
    <n v="4"/>
    <n v="5889938767.5"/>
  </r>
  <r>
    <x v="3"/>
    <x v="6"/>
    <n v="2022"/>
    <x v="4"/>
    <n v="107436.09"/>
    <n v="65.7"/>
    <n v="255"/>
    <n v="137"/>
    <s v="SUV"/>
    <n v="5"/>
    <x v="2"/>
    <x v="1"/>
    <n v="201045"/>
    <n v="3.64"/>
    <n v="3"/>
    <n v="21599488714.049999"/>
  </r>
  <r>
    <x v="12"/>
    <x v="52"/>
    <n v="2022"/>
    <x v="0"/>
    <n v="54305.64"/>
    <n v="86.4"/>
    <n v="289"/>
    <n v="162"/>
    <s v="Van"/>
    <n v="5"/>
    <x v="1"/>
    <x v="2"/>
    <n v="18445"/>
    <n v="3.56"/>
    <n v="4"/>
    <n v="1001667529.8"/>
  </r>
  <r>
    <x v="2"/>
    <x v="31"/>
    <n v="2022"/>
    <x v="1"/>
    <n v="161513.5"/>
    <n v="115.3"/>
    <n v="420"/>
    <n v="200"/>
    <s v="Truck"/>
    <n v="4"/>
    <x v="1"/>
    <x v="1"/>
    <n v="172224"/>
    <n v="4.09"/>
    <n v="4"/>
    <n v="27816501024"/>
  </r>
  <r>
    <x v="2"/>
    <x v="5"/>
    <n v="2022"/>
    <x v="2"/>
    <n v="75540.09"/>
    <n v="49.6"/>
    <n v="150"/>
    <n v="154"/>
    <s v="Coupe"/>
    <n v="5"/>
    <x v="1"/>
    <x v="0"/>
    <n v="455317"/>
    <n v="3.27"/>
    <n v="6"/>
    <n v="34394687158.529999"/>
  </r>
  <r>
    <x v="2"/>
    <x v="31"/>
    <n v="2022"/>
    <x v="1"/>
    <n v="39719.769999999997"/>
    <n v="75.3"/>
    <n v="297"/>
    <n v="200"/>
    <s v="Truck"/>
    <n v="5"/>
    <x v="1"/>
    <x v="2"/>
    <n v="220959"/>
    <n v="4"/>
    <n v="5"/>
    <n v="8776440659.4299984"/>
  </r>
  <r>
    <x v="9"/>
    <x v="19"/>
    <n v="2022"/>
    <x v="0"/>
    <n v="115394.15"/>
    <n v="98.5"/>
    <n v="343"/>
    <n v="167"/>
    <s v="Sedan"/>
    <n v="5"/>
    <x v="3"/>
    <x v="1"/>
    <n v="58674"/>
    <n v="3.4"/>
    <n v="5"/>
    <n v="6770636357.0999994"/>
  </r>
  <r>
    <x v="6"/>
    <x v="20"/>
    <n v="2022"/>
    <x v="0"/>
    <n v="67747.05"/>
    <n v="89.8"/>
    <n v="333"/>
    <n v="173"/>
    <s v="Coupe"/>
    <n v="5"/>
    <x v="4"/>
    <x v="0"/>
    <n v="100096"/>
    <n v="3.57"/>
    <n v="4"/>
    <n v="6781208716.8000002"/>
  </r>
  <r>
    <x v="2"/>
    <x v="35"/>
    <n v="2022"/>
    <x v="3"/>
    <n v="45367.75"/>
    <n v="80.8"/>
    <n v="287"/>
    <n v="134"/>
    <s v="Sedan"/>
    <n v="5"/>
    <x v="1"/>
    <x v="2"/>
    <n v="112809"/>
    <n v="3.72"/>
    <n v="5"/>
    <n v="5117890509.75"/>
  </r>
  <r>
    <x v="12"/>
    <x v="29"/>
    <n v="2022"/>
    <x v="2"/>
    <n v="39747.919999999998"/>
    <n v="47.2"/>
    <n v="152"/>
    <n v="152"/>
    <s v="Van"/>
    <n v="5"/>
    <x v="1"/>
    <x v="2"/>
    <n v="29407"/>
    <n v="3.09"/>
    <n v="4"/>
    <n v="1168867083.4400001"/>
  </r>
  <r>
    <x v="2"/>
    <x v="31"/>
    <n v="2022"/>
    <x v="2"/>
    <n v="83011.59"/>
    <n v="78.2"/>
    <n v="288"/>
    <n v="147"/>
    <s v="Truck"/>
    <n v="4"/>
    <x v="1"/>
    <x v="0"/>
    <n v="132378"/>
    <n v="4.12"/>
    <n v="5"/>
    <n v="10988908261.02"/>
  </r>
  <r>
    <x v="9"/>
    <x v="55"/>
    <n v="2022"/>
    <x v="2"/>
    <n v="87727.18"/>
    <n v="75.099999999999994"/>
    <n v="238"/>
    <n v="150"/>
    <s v="Van"/>
    <n v="5"/>
    <x v="3"/>
    <x v="0"/>
    <n v="35030"/>
    <n v="3.42"/>
    <n v="6"/>
    <n v="3073083115.3999996"/>
  </r>
  <r>
    <x v="5"/>
    <x v="13"/>
    <n v="2022"/>
    <x v="3"/>
    <n v="39229.86"/>
    <n v="42.7"/>
    <n v="154"/>
    <n v="170"/>
    <s v="Hatchback"/>
    <n v="4"/>
    <x v="4"/>
    <x v="2"/>
    <n v="92917"/>
    <n v="3.02"/>
    <n v="4"/>
    <n v="3645120901.6199999"/>
  </r>
  <r>
    <x v="7"/>
    <x v="44"/>
    <n v="2022"/>
    <x v="4"/>
    <n v="90567.3"/>
    <n v="69.5"/>
    <n v="208"/>
    <n v="147"/>
    <s v="Truck"/>
    <n v="5"/>
    <x v="3"/>
    <x v="0"/>
    <n v="266134"/>
    <n v="3.28"/>
    <n v="4"/>
    <n v="24103037818.200001"/>
  </r>
  <r>
    <x v="2"/>
    <x v="35"/>
    <n v="2022"/>
    <x v="3"/>
    <n v="98265.87"/>
    <n v="83.7"/>
    <n v="298"/>
    <n v="173"/>
    <s v="Hatchback"/>
    <n v="4"/>
    <x v="1"/>
    <x v="0"/>
    <n v="144367"/>
    <n v="3.63"/>
    <n v="5"/>
    <n v="14186348854.289999"/>
  </r>
  <r>
    <x v="2"/>
    <x v="31"/>
    <n v="2022"/>
    <x v="4"/>
    <n v="154962.64000000001"/>
    <n v="53.2"/>
    <n v="157"/>
    <n v="135"/>
    <s v="Truck"/>
    <n v="5"/>
    <x v="1"/>
    <x v="1"/>
    <n v="148718"/>
    <n v="3.67"/>
    <n v="6"/>
    <n v="23045733895.52"/>
  </r>
  <r>
    <x v="11"/>
    <x v="56"/>
    <n v="2022"/>
    <x v="2"/>
    <n v="64347.55"/>
    <n v="45.6"/>
    <n v="150"/>
    <n v="152"/>
    <s v="SUV"/>
    <n v="5"/>
    <x v="1"/>
    <x v="2"/>
    <n v="3522"/>
    <n v="3.26"/>
    <n v="5"/>
    <n v="226632071.10000002"/>
  </r>
  <r>
    <x v="3"/>
    <x v="6"/>
    <n v="2022"/>
    <x v="2"/>
    <n v="21384.75"/>
    <n v="62.9"/>
    <n v="201"/>
    <n v="146"/>
    <s v="Hatchback"/>
    <n v="5"/>
    <x v="2"/>
    <x v="3"/>
    <n v="233873"/>
    <n v="3.28"/>
    <n v="3"/>
    <n v="5001315636.75"/>
  </r>
  <r>
    <x v="2"/>
    <x v="31"/>
    <n v="2022"/>
    <x v="0"/>
    <n v="93999.45"/>
    <n v="88.3"/>
    <n v="333"/>
    <n v="167"/>
    <s v="Truck"/>
    <n v="5"/>
    <x v="1"/>
    <x v="0"/>
    <n v="124977"/>
    <n v="3.96"/>
    <n v="5"/>
    <n v="11747769262.65"/>
  </r>
  <r>
    <x v="2"/>
    <x v="5"/>
    <n v="2022"/>
    <x v="0"/>
    <n v="38805.29"/>
    <n v="86.7"/>
    <n v="295"/>
    <n v="190"/>
    <s v="Truck"/>
    <n v="5"/>
    <x v="1"/>
    <x v="2"/>
    <n v="424786"/>
    <n v="4.1399999999999997"/>
    <n v="4"/>
    <n v="16483943917.940001"/>
  </r>
  <r>
    <x v="7"/>
    <x v="44"/>
    <n v="2022"/>
    <x v="4"/>
    <n v="70140.570000000007"/>
    <n v="83.5"/>
    <n v="319"/>
    <n v="142"/>
    <s v="Hatchback"/>
    <n v="5"/>
    <x v="3"/>
    <x v="0"/>
    <n v="203826"/>
    <n v="3.8"/>
    <n v="5"/>
    <n v="14296471820.820002"/>
  </r>
  <r>
    <x v="0"/>
    <x v="47"/>
    <n v="2022"/>
    <x v="3"/>
    <n v="55775.75"/>
    <n v="84.6"/>
    <n v="281"/>
    <n v="163"/>
    <s v="Coupe"/>
    <n v="4"/>
    <x v="0"/>
    <x v="2"/>
    <n v="18523"/>
    <n v="3.32"/>
    <n v="3"/>
    <n v="1033134217.25"/>
  </r>
  <r>
    <x v="2"/>
    <x v="2"/>
    <n v="2022"/>
    <x v="4"/>
    <n v="163492.79999999999"/>
    <n v="65.400000000000006"/>
    <n v="193"/>
    <n v="154"/>
    <s v="Hatchback"/>
    <n v="5"/>
    <x v="1"/>
    <x v="1"/>
    <n v="241709"/>
    <n v="3.96"/>
    <n v="5"/>
    <n v="39517681195.199997"/>
  </r>
  <r>
    <x v="3"/>
    <x v="6"/>
    <n v="2022"/>
    <x v="2"/>
    <n v="49226.29"/>
    <n v="46.7"/>
    <n v="177"/>
    <n v="160"/>
    <s v="Coupe"/>
    <n v="5"/>
    <x v="2"/>
    <x v="2"/>
    <n v="172454"/>
    <n v="3.29"/>
    <n v="4"/>
    <n v="8489270615.6599998"/>
  </r>
  <r>
    <x v="4"/>
    <x v="32"/>
    <n v="2022"/>
    <x v="4"/>
    <n v="137631.97"/>
    <n v="43.1"/>
    <n v="150"/>
    <n v="168"/>
    <s v="Truck"/>
    <n v="4"/>
    <x v="3"/>
    <x v="1"/>
    <n v="74974"/>
    <n v="3.3"/>
    <n v="5"/>
    <n v="10318819318.780001"/>
  </r>
  <r>
    <x v="5"/>
    <x v="7"/>
    <n v="2022"/>
    <x v="4"/>
    <n v="93773.43"/>
    <n v="61.9"/>
    <n v="194"/>
    <n v="152"/>
    <s v="Truck"/>
    <n v="5"/>
    <x v="4"/>
    <x v="0"/>
    <n v="126881"/>
    <n v="3.6"/>
    <n v="3"/>
    <n v="11898066571.83"/>
  </r>
  <r>
    <x v="9"/>
    <x v="16"/>
    <n v="2022"/>
    <x v="1"/>
    <n v="102440.51"/>
    <n v="94.7"/>
    <n v="337"/>
    <n v="184"/>
    <s v="Hatchback"/>
    <n v="3"/>
    <x v="3"/>
    <x v="1"/>
    <n v="23392"/>
    <n v="3.69"/>
    <n v="7"/>
    <n v="2396288409.9200001"/>
  </r>
  <r>
    <x v="5"/>
    <x v="23"/>
    <n v="2022"/>
    <x v="1"/>
    <n v="48028.480000000003"/>
    <n v="102.7"/>
    <n v="351"/>
    <n v="200"/>
    <s v="Hatchback"/>
    <n v="4"/>
    <x v="4"/>
    <x v="2"/>
    <n v="81607"/>
    <n v="3.7"/>
    <n v="5"/>
    <n v="3919460167.3600001"/>
  </r>
  <r>
    <x v="6"/>
    <x v="53"/>
    <n v="2022"/>
    <x v="2"/>
    <n v="52457.02"/>
    <n v="61.6"/>
    <n v="184"/>
    <n v="139"/>
    <s v="Sedan"/>
    <n v="5"/>
    <x v="4"/>
    <x v="2"/>
    <n v="72150"/>
    <n v="3.34"/>
    <n v="5"/>
    <n v="3784773993"/>
  </r>
  <r>
    <x v="8"/>
    <x v="21"/>
    <n v="2022"/>
    <x v="4"/>
    <n v="72686.399999999994"/>
    <n v="58.3"/>
    <n v="197"/>
    <n v="135"/>
    <s v="Coupe"/>
    <n v="3"/>
    <x v="1"/>
    <x v="0"/>
    <n v="32038"/>
    <n v="3.44"/>
    <n v="3"/>
    <n v="2328726883.1999998"/>
  </r>
  <r>
    <x v="2"/>
    <x v="17"/>
    <n v="2022"/>
    <x v="0"/>
    <n v="84609.91"/>
    <n v="107.2"/>
    <n v="365"/>
    <n v="165"/>
    <s v="SUV"/>
    <n v="4"/>
    <x v="1"/>
    <x v="0"/>
    <n v="171529"/>
    <n v="4.12"/>
    <n v="6"/>
    <n v="14513053252.390001"/>
  </r>
  <r>
    <x v="13"/>
    <x v="48"/>
    <n v="2022"/>
    <x v="2"/>
    <n v="94570.880000000005"/>
    <n v="72.7"/>
    <n v="257"/>
    <n v="162"/>
    <s v="Truck"/>
    <n v="5"/>
    <x v="3"/>
    <x v="0"/>
    <n v="59270"/>
    <n v="3.75"/>
    <n v="5"/>
    <n v="5605216057.6000004"/>
  </r>
  <r>
    <x v="2"/>
    <x v="17"/>
    <n v="2022"/>
    <x v="3"/>
    <n v="112086.56"/>
    <n v="61.2"/>
    <n v="215"/>
    <n v="152"/>
    <s v="Sedan"/>
    <n v="5"/>
    <x v="1"/>
    <x v="1"/>
    <n v="140793"/>
    <n v="3.65"/>
    <n v="5"/>
    <n v="15781003042.08"/>
  </r>
  <r>
    <x v="13"/>
    <x v="57"/>
    <n v="2022"/>
    <x v="2"/>
    <n v="64416.89"/>
    <n v="70"/>
    <n v="262"/>
    <n v="142"/>
    <s v="SUV"/>
    <n v="5"/>
    <x v="3"/>
    <x v="2"/>
    <n v="31870"/>
    <n v="3.9"/>
    <n v="6"/>
    <n v="2052966284.3"/>
  </r>
  <r>
    <x v="8"/>
    <x v="12"/>
    <n v="2022"/>
    <x v="4"/>
    <n v="39147.79"/>
    <n v="52.5"/>
    <n v="215"/>
    <n v="170"/>
    <s v="Truck"/>
    <n v="4"/>
    <x v="1"/>
    <x v="2"/>
    <n v="78104"/>
    <n v="3.41"/>
    <n v="4"/>
    <n v="3057598990.1599998"/>
  </r>
  <r>
    <x v="7"/>
    <x v="44"/>
    <n v="2022"/>
    <x v="1"/>
    <n v="46348.56"/>
    <n v="90"/>
    <n v="333"/>
    <n v="188"/>
    <s v="SUV"/>
    <n v="4"/>
    <x v="3"/>
    <x v="2"/>
    <n v="219975"/>
    <n v="3.79"/>
    <n v="4"/>
    <n v="10195524486"/>
  </r>
  <r>
    <x v="2"/>
    <x v="31"/>
    <n v="2022"/>
    <x v="0"/>
    <n v="109130.05"/>
    <n v="91.6"/>
    <n v="339"/>
    <n v="160"/>
    <s v="Truck"/>
    <n v="5"/>
    <x v="1"/>
    <x v="1"/>
    <n v="161385"/>
    <n v="4.17"/>
    <n v="4"/>
    <n v="17611953119.25"/>
  </r>
  <r>
    <x v="3"/>
    <x v="6"/>
    <n v="2022"/>
    <x v="0"/>
    <n v="59084.31"/>
    <n v="100.3"/>
    <n v="349"/>
    <n v="182"/>
    <s v="Hatchback"/>
    <n v="4"/>
    <x v="2"/>
    <x v="2"/>
    <n v="242445"/>
    <n v="3.57"/>
    <n v="3"/>
    <n v="14324695537.949999"/>
  </r>
  <r>
    <x v="9"/>
    <x v="16"/>
    <n v="2022"/>
    <x v="1"/>
    <n v="74178.539999999994"/>
    <n v="74"/>
    <n v="257"/>
    <n v="187"/>
    <s v="Coupe"/>
    <n v="5"/>
    <x v="3"/>
    <x v="0"/>
    <n v="60959"/>
    <n v="3.29"/>
    <n v="5"/>
    <n v="4521849619.8599997"/>
  </r>
  <r>
    <x v="3"/>
    <x v="14"/>
    <n v="2022"/>
    <x v="2"/>
    <n v="51140.49"/>
    <n v="58.3"/>
    <n v="209"/>
    <n v="182"/>
    <s v="Van"/>
    <n v="5"/>
    <x v="2"/>
    <x v="2"/>
    <n v="122452"/>
    <n v="3.62"/>
    <n v="5"/>
    <n v="6262255281.4799995"/>
  </r>
  <r>
    <x v="11"/>
    <x v="56"/>
    <n v="2022"/>
    <x v="4"/>
    <n v="102878.64"/>
    <n v="67.400000000000006"/>
    <n v="249"/>
    <n v="161"/>
    <s v="Sedan"/>
    <n v="5"/>
    <x v="1"/>
    <x v="1"/>
    <n v="27062"/>
    <n v="3.19"/>
    <n v="5"/>
    <n v="2784101755.6799998"/>
  </r>
  <r>
    <x v="17"/>
    <x v="58"/>
    <n v="2022"/>
    <x v="1"/>
    <n v="74428.14"/>
    <n v="86.1"/>
    <n v="316"/>
    <n v="191"/>
    <s v="Truck"/>
    <n v="5"/>
    <x v="5"/>
    <x v="0"/>
    <n v="3031"/>
    <n v="3.51"/>
    <n v="3"/>
    <n v="225591692.34"/>
  </r>
  <r>
    <x v="5"/>
    <x v="22"/>
    <n v="2022"/>
    <x v="0"/>
    <n v="73675.86"/>
    <n v="96"/>
    <n v="333"/>
    <n v="183"/>
    <s v="SUV"/>
    <n v="5"/>
    <x v="4"/>
    <x v="0"/>
    <n v="89937"/>
    <n v="3.58"/>
    <n v="3"/>
    <n v="6626185820.8199997"/>
  </r>
  <r>
    <x v="0"/>
    <x v="47"/>
    <n v="2022"/>
    <x v="2"/>
    <n v="35115.72"/>
    <n v="61.4"/>
    <n v="238"/>
    <n v="138"/>
    <s v="Hatchback"/>
    <n v="4"/>
    <x v="0"/>
    <x v="2"/>
    <n v="3528"/>
    <n v="3.67"/>
    <n v="3"/>
    <n v="123888260.16000001"/>
  </r>
  <r>
    <x v="9"/>
    <x v="55"/>
    <n v="2022"/>
    <x v="3"/>
    <n v="99869.64"/>
    <n v="50.6"/>
    <n v="193"/>
    <n v="135"/>
    <s v="Coupe"/>
    <n v="4"/>
    <x v="3"/>
    <x v="0"/>
    <n v="76842"/>
    <n v="3.62"/>
    <n v="5"/>
    <n v="7674182876.8800001"/>
  </r>
  <r>
    <x v="3"/>
    <x v="8"/>
    <n v="2022"/>
    <x v="3"/>
    <n v="30805.35"/>
    <n v="40"/>
    <n v="150"/>
    <n v="141"/>
    <s v="Truck"/>
    <n v="5"/>
    <x v="2"/>
    <x v="3"/>
    <n v="133529"/>
    <n v="3.4"/>
    <n v="3"/>
    <n v="4113407580.1499996"/>
  </r>
  <r>
    <x v="13"/>
    <x v="57"/>
    <n v="2022"/>
    <x v="3"/>
    <n v="126403.53"/>
    <n v="64.900000000000006"/>
    <n v="225"/>
    <n v="137"/>
    <s v="SUV"/>
    <n v="4"/>
    <x v="3"/>
    <x v="1"/>
    <n v="37272"/>
    <n v="3.78"/>
    <n v="7"/>
    <n v="4711312370.1599998"/>
  </r>
  <r>
    <x v="3"/>
    <x v="11"/>
    <n v="2022"/>
    <x v="0"/>
    <n v="53237.26"/>
    <n v="103"/>
    <n v="376"/>
    <n v="186"/>
    <s v="Truck"/>
    <n v="5"/>
    <x v="2"/>
    <x v="2"/>
    <n v="163016"/>
    <n v="3.81"/>
    <n v="3"/>
    <n v="8678525176.1599998"/>
  </r>
  <r>
    <x v="13"/>
    <x v="59"/>
    <n v="2022"/>
    <x v="4"/>
    <n v="155446.31"/>
    <n v="72.7"/>
    <n v="265"/>
    <n v="175"/>
    <s v="Sedan"/>
    <n v="5"/>
    <x v="3"/>
    <x v="1"/>
    <n v="41853"/>
    <n v="3.77"/>
    <n v="5"/>
    <n v="6505894412.4300003"/>
  </r>
  <r>
    <x v="6"/>
    <x v="9"/>
    <n v="2022"/>
    <x v="4"/>
    <n v="55487.47"/>
    <n v="41.2"/>
    <n v="154"/>
    <n v="169"/>
    <s v="Sedan"/>
    <n v="3"/>
    <x v="4"/>
    <x v="2"/>
    <n v="52238"/>
    <n v="3.21"/>
    <n v="4"/>
    <n v="2898554457.8600001"/>
  </r>
  <r>
    <x v="9"/>
    <x v="38"/>
    <n v="2022"/>
    <x v="2"/>
    <n v="51043.69"/>
    <n v="76"/>
    <n v="263"/>
    <n v="172"/>
    <s v="Coupe"/>
    <n v="4"/>
    <x v="3"/>
    <x v="2"/>
    <n v="44259"/>
    <n v="3.39"/>
    <n v="8"/>
    <n v="2259142675.71"/>
  </r>
  <r>
    <x v="8"/>
    <x v="60"/>
    <n v="2022"/>
    <x v="3"/>
    <n v="56513.760000000002"/>
    <n v="52.3"/>
    <n v="189"/>
    <n v="162"/>
    <s v="Truck"/>
    <n v="3"/>
    <x v="1"/>
    <x v="2"/>
    <n v="39584"/>
    <n v="3.23"/>
    <n v="4"/>
    <n v="2237040675.8400002"/>
  </r>
  <r>
    <x v="2"/>
    <x v="35"/>
    <n v="2022"/>
    <x v="2"/>
    <n v="53235.86"/>
    <n v="84.7"/>
    <n v="305"/>
    <n v="178"/>
    <s v="Coupe"/>
    <n v="4"/>
    <x v="1"/>
    <x v="2"/>
    <n v="178460"/>
    <n v="3.67"/>
    <n v="5"/>
    <n v="9500471575.6000004"/>
  </r>
  <r>
    <x v="3"/>
    <x v="6"/>
    <n v="2022"/>
    <x v="0"/>
    <n v="101092.71"/>
    <n v="80.099999999999994"/>
    <n v="278"/>
    <n v="177"/>
    <s v="Sedan"/>
    <n v="5"/>
    <x v="2"/>
    <x v="1"/>
    <n v="230522"/>
    <n v="3.61"/>
    <n v="4"/>
    <n v="23304093694.620003"/>
  </r>
  <r>
    <x v="7"/>
    <x v="10"/>
    <n v="2022"/>
    <x v="1"/>
    <n v="94244.35"/>
    <n v="75.7"/>
    <n v="264"/>
    <n v="200"/>
    <s v="SUV"/>
    <n v="4"/>
    <x v="3"/>
    <x v="0"/>
    <n v="251606"/>
    <n v="3.39"/>
    <n v="4"/>
    <n v="23712443926.100002"/>
  </r>
  <r>
    <x v="7"/>
    <x v="28"/>
    <n v="2022"/>
    <x v="1"/>
    <n v="46160.26"/>
    <n v="117.4"/>
    <n v="399"/>
    <n v="198"/>
    <s v="Coupe"/>
    <n v="5"/>
    <x v="3"/>
    <x v="2"/>
    <n v="298179"/>
    <n v="3.96"/>
    <n v="5"/>
    <n v="13764020166.540001"/>
  </r>
  <r>
    <x v="4"/>
    <x v="61"/>
    <n v="2022"/>
    <x v="2"/>
    <n v="84689.7"/>
    <n v="69.599999999999994"/>
    <n v="254"/>
    <n v="135"/>
    <s v="Van"/>
    <n v="5"/>
    <x v="3"/>
    <x v="0"/>
    <n v="55401"/>
    <n v="3.66"/>
    <n v="7"/>
    <n v="4691894069.6999998"/>
  </r>
  <r>
    <x v="8"/>
    <x v="21"/>
    <n v="2022"/>
    <x v="0"/>
    <n v="44715.21"/>
    <n v="85"/>
    <n v="299"/>
    <n v="179"/>
    <s v="SUV"/>
    <n v="5"/>
    <x v="1"/>
    <x v="2"/>
    <n v="77918"/>
    <n v="3.48"/>
    <n v="5"/>
    <n v="3484119732.7799997"/>
  </r>
  <r>
    <x v="2"/>
    <x v="31"/>
    <n v="2022"/>
    <x v="2"/>
    <n v="33281.599999999999"/>
    <n v="82.5"/>
    <n v="281"/>
    <n v="175"/>
    <s v="Truck"/>
    <n v="5"/>
    <x v="1"/>
    <x v="3"/>
    <n v="223257"/>
    <n v="3.91"/>
    <n v="6"/>
    <n v="7430350171.1999998"/>
  </r>
  <r>
    <x v="3"/>
    <x v="14"/>
    <n v="2022"/>
    <x v="2"/>
    <n v="24219.14"/>
    <n v="71.400000000000006"/>
    <n v="265"/>
    <n v="170"/>
    <s v="Coupe"/>
    <n v="4"/>
    <x v="2"/>
    <x v="3"/>
    <n v="166519"/>
    <n v="3.3"/>
    <n v="4"/>
    <n v="4032946973.6599998"/>
  </r>
  <r>
    <x v="3"/>
    <x v="8"/>
    <n v="2022"/>
    <x v="0"/>
    <n v="43671.62"/>
    <n v="95.1"/>
    <n v="328"/>
    <n v="173"/>
    <s v="Coupe"/>
    <n v="3"/>
    <x v="2"/>
    <x v="2"/>
    <n v="203792"/>
    <n v="3.47"/>
    <n v="3"/>
    <n v="8899926783.0400009"/>
  </r>
  <r>
    <x v="12"/>
    <x v="45"/>
    <n v="2022"/>
    <x v="2"/>
    <n v="44453.56"/>
    <n v="69.7"/>
    <n v="242"/>
    <n v="145"/>
    <s v="Van"/>
    <n v="5"/>
    <x v="1"/>
    <x v="2"/>
    <n v="19383"/>
    <n v="3.42"/>
    <n v="4"/>
    <n v="861643353.4799999"/>
  </r>
  <r>
    <x v="2"/>
    <x v="35"/>
    <n v="2022"/>
    <x v="4"/>
    <n v="78153.08"/>
    <n v="79.8"/>
    <n v="277"/>
    <n v="130"/>
    <s v="Hatchback"/>
    <n v="4"/>
    <x v="1"/>
    <x v="0"/>
    <n v="114033"/>
    <n v="3.63"/>
    <n v="4"/>
    <n v="8912030171.6399994"/>
  </r>
  <r>
    <x v="13"/>
    <x v="48"/>
    <n v="2022"/>
    <x v="4"/>
    <n v="93751.44"/>
    <n v="73.400000000000006"/>
    <n v="267"/>
    <n v="166"/>
    <s v="Van"/>
    <n v="5"/>
    <x v="3"/>
    <x v="0"/>
    <n v="32471"/>
    <n v="3.81"/>
    <n v="8"/>
    <n v="3044203008.2400002"/>
  </r>
  <r>
    <x v="7"/>
    <x v="10"/>
    <n v="2022"/>
    <x v="2"/>
    <n v="29912.83"/>
    <n v="40.5"/>
    <n v="150"/>
    <n v="140"/>
    <s v="Van"/>
    <n v="5"/>
    <x v="3"/>
    <x v="3"/>
    <n v="200434"/>
    <n v="3.19"/>
    <n v="5"/>
    <n v="5995548168.2200003"/>
  </r>
  <r>
    <x v="2"/>
    <x v="35"/>
    <n v="2022"/>
    <x v="1"/>
    <n v="117706.38"/>
    <n v="71.400000000000006"/>
    <n v="249"/>
    <n v="189"/>
    <s v="Truck"/>
    <n v="5"/>
    <x v="1"/>
    <x v="1"/>
    <n v="160982"/>
    <n v="3.75"/>
    <n v="4"/>
    <n v="18948608465.16"/>
  </r>
  <r>
    <x v="3"/>
    <x v="6"/>
    <n v="2022"/>
    <x v="1"/>
    <n v="98782.03"/>
    <n v="77.8"/>
    <n v="278"/>
    <n v="192"/>
    <s v="Coupe"/>
    <n v="4"/>
    <x v="2"/>
    <x v="0"/>
    <n v="130723"/>
    <n v="3.47"/>
    <n v="4"/>
    <n v="12913083307.690001"/>
  </r>
  <r>
    <x v="5"/>
    <x v="23"/>
    <n v="2022"/>
    <x v="4"/>
    <n v="40060.04"/>
    <n v="63"/>
    <n v="235"/>
    <n v="153"/>
    <s v="Sedan"/>
    <n v="4"/>
    <x v="4"/>
    <x v="2"/>
    <n v="51025"/>
    <n v="3.4"/>
    <n v="5"/>
    <n v="2044063541"/>
  </r>
  <r>
    <x v="2"/>
    <x v="35"/>
    <n v="2022"/>
    <x v="2"/>
    <n v="43328.14"/>
    <n v="65.3"/>
    <n v="226"/>
    <n v="134"/>
    <s v="Van"/>
    <n v="3"/>
    <x v="1"/>
    <x v="2"/>
    <n v="148395"/>
    <n v="3.64"/>
    <n v="6"/>
    <n v="6429679335.3000002"/>
  </r>
  <r>
    <x v="9"/>
    <x v="55"/>
    <n v="2022"/>
    <x v="1"/>
    <n v="102335.06"/>
    <n v="106.5"/>
    <n v="365"/>
    <n v="200"/>
    <s v="Hatchback"/>
    <n v="5"/>
    <x v="3"/>
    <x v="1"/>
    <n v="57345"/>
    <n v="3.89"/>
    <n v="5"/>
    <n v="5868404015.6999998"/>
  </r>
  <r>
    <x v="5"/>
    <x v="15"/>
    <n v="2022"/>
    <x v="3"/>
    <n v="38543.18"/>
    <n v="45.8"/>
    <n v="159"/>
    <n v="175"/>
    <s v="SUV"/>
    <n v="5"/>
    <x v="4"/>
    <x v="2"/>
    <n v="117943"/>
    <n v="3.08"/>
    <n v="3"/>
    <n v="4545898278.7399998"/>
  </r>
  <r>
    <x v="7"/>
    <x v="27"/>
    <n v="2022"/>
    <x v="2"/>
    <n v="53614.66"/>
    <n v="63.7"/>
    <n v="213"/>
    <n v="160"/>
    <s v="SUV"/>
    <n v="4"/>
    <x v="3"/>
    <x v="2"/>
    <n v="208794"/>
    <n v="3.39"/>
    <n v="4"/>
    <n v="11194419320.040001"/>
  </r>
  <r>
    <x v="13"/>
    <x v="57"/>
    <n v="2022"/>
    <x v="0"/>
    <n v="74524.3"/>
    <n v="84.1"/>
    <n v="298"/>
    <n v="180"/>
    <s v="Hatchback"/>
    <n v="5"/>
    <x v="3"/>
    <x v="0"/>
    <n v="75343"/>
    <n v="3.85"/>
    <n v="7"/>
    <n v="5614884334.9000006"/>
  </r>
  <r>
    <x v="13"/>
    <x v="48"/>
    <n v="2022"/>
    <x v="0"/>
    <n v="100017.14"/>
    <n v="108.6"/>
    <n v="382"/>
    <n v="157"/>
    <s v="Hatchback"/>
    <n v="5"/>
    <x v="3"/>
    <x v="1"/>
    <n v="39100"/>
    <n v="3.99"/>
    <n v="8"/>
    <n v="3910670174"/>
  </r>
  <r>
    <x v="13"/>
    <x v="59"/>
    <n v="2022"/>
    <x v="0"/>
    <n v="117361.83"/>
    <n v="91.3"/>
    <n v="335"/>
    <n v="158"/>
    <s v="SUV"/>
    <n v="4"/>
    <x v="3"/>
    <x v="1"/>
    <n v="75929"/>
    <n v="3.88"/>
    <n v="5"/>
    <n v="8911166390.0699997"/>
  </r>
  <r>
    <x v="18"/>
    <x v="62"/>
    <n v="2022"/>
    <x v="4"/>
    <n v="60662.04"/>
    <n v="67.2"/>
    <n v="242"/>
    <n v="154"/>
    <s v="SUV"/>
    <n v="4"/>
    <x v="0"/>
    <x v="2"/>
    <n v="10748"/>
    <n v="3.54"/>
    <n v="3"/>
    <n v="651995605.91999996"/>
  </r>
  <r>
    <x v="8"/>
    <x v="60"/>
    <n v="2022"/>
    <x v="2"/>
    <n v="64696.27"/>
    <n v="51.7"/>
    <n v="165"/>
    <n v="144"/>
    <s v="Van"/>
    <n v="4"/>
    <x v="1"/>
    <x v="2"/>
    <n v="37967"/>
    <n v="3.06"/>
    <n v="4"/>
    <n v="2456323283.0899997"/>
  </r>
  <r>
    <x v="3"/>
    <x v="3"/>
    <n v="2022"/>
    <x v="3"/>
    <n v="59138.53"/>
    <n v="43.2"/>
    <n v="160"/>
    <n v="141"/>
    <s v="Sedan"/>
    <n v="4"/>
    <x v="2"/>
    <x v="2"/>
    <n v="241442"/>
    <n v="3.15"/>
    <n v="4"/>
    <n v="14278524960.26"/>
  </r>
  <r>
    <x v="12"/>
    <x v="46"/>
    <n v="2022"/>
    <x v="2"/>
    <n v="33771.620000000003"/>
    <n v="73.400000000000006"/>
    <n v="250"/>
    <n v="157"/>
    <s v="SUV"/>
    <n v="4"/>
    <x v="1"/>
    <x v="3"/>
    <n v="22698"/>
    <n v="3.33"/>
    <n v="4"/>
    <n v="766548230.76000011"/>
  </r>
  <r>
    <x v="3"/>
    <x v="14"/>
    <n v="2022"/>
    <x v="2"/>
    <n v="30225.18"/>
    <n v="54.4"/>
    <n v="172"/>
    <n v="162"/>
    <s v="Coupe"/>
    <n v="4"/>
    <x v="2"/>
    <x v="3"/>
    <n v="237770"/>
    <n v="3.36"/>
    <n v="4"/>
    <n v="7186641048.6000004"/>
  </r>
  <r>
    <x v="3"/>
    <x v="3"/>
    <n v="2022"/>
    <x v="3"/>
    <n v="72612.58"/>
    <n v="73.400000000000006"/>
    <n v="257"/>
    <n v="142"/>
    <s v="Van"/>
    <n v="4"/>
    <x v="2"/>
    <x v="0"/>
    <n v="232843"/>
    <n v="3.32"/>
    <n v="4"/>
    <n v="16907330964.940001"/>
  </r>
  <r>
    <x v="5"/>
    <x v="7"/>
    <n v="2022"/>
    <x v="2"/>
    <n v="34817.25"/>
    <n v="56.3"/>
    <n v="207"/>
    <n v="173"/>
    <s v="Truck"/>
    <n v="4"/>
    <x v="4"/>
    <x v="3"/>
    <n v="109878"/>
    <n v="3.27"/>
    <n v="4"/>
    <n v="3825649795.5"/>
  </r>
  <r>
    <x v="6"/>
    <x v="20"/>
    <n v="2022"/>
    <x v="3"/>
    <n v="39241.19"/>
    <n v="62.3"/>
    <n v="205"/>
    <n v="173"/>
    <s v="SUV"/>
    <n v="5"/>
    <x v="4"/>
    <x v="2"/>
    <n v="50222"/>
    <n v="3.32"/>
    <n v="4"/>
    <n v="1970771044.1800001"/>
  </r>
  <r>
    <x v="6"/>
    <x v="63"/>
    <n v="2022"/>
    <x v="1"/>
    <n v="56768.4"/>
    <n v="117.3"/>
    <n v="400"/>
    <n v="200"/>
    <s v="Coupe"/>
    <n v="5"/>
    <x v="4"/>
    <x v="2"/>
    <n v="141874"/>
    <n v="4.18"/>
    <n v="4"/>
    <n v="8053959981.6000004"/>
  </r>
  <r>
    <x v="8"/>
    <x v="34"/>
    <n v="2022"/>
    <x v="0"/>
    <n v="86649.72"/>
    <n v="78.8"/>
    <n v="301"/>
    <n v="175"/>
    <s v="Truck"/>
    <n v="5"/>
    <x v="1"/>
    <x v="0"/>
    <n v="45060"/>
    <n v="3.95"/>
    <n v="4"/>
    <n v="3904436383.2000003"/>
  </r>
  <r>
    <x v="3"/>
    <x v="14"/>
    <n v="2022"/>
    <x v="4"/>
    <n v="39142.51"/>
    <n v="67.400000000000006"/>
    <n v="236"/>
    <n v="159"/>
    <s v="Hatchback"/>
    <n v="3"/>
    <x v="2"/>
    <x v="2"/>
    <n v="143146"/>
    <n v="3.46"/>
    <n v="3"/>
    <n v="5603093736.46"/>
  </r>
  <r>
    <x v="7"/>
    <x v="10"/>
    <n v="2022"/>
    <x v="0"/>
    <n v="73265.41"/>
    <n v="102.2"/>
    <n v="363"/>
    <n v="187"/>
    <s v="Truck"/>
    <n v="3"/>
    <x v="3"/>
    <x v="0"/>
    <n v="255210"/>
    <n v="3.55"/>
    <n v="4"/>
    <n v="18698065286.100002"/>
  </r>
  <r>
    <x v="13"/>
    <x v="64"/>
    <n v="2022"/>
    <x v="0"/>
    <n v="178840.11"/>
    <n v="102.1"/>
    <n v="380"/>
    <n v="182"/>
    <s v="Truck"/>
    <n v="5"/>
    <x v="3"/>
    <x v="1"/>
    <n v="49341"/>
    <n v="4.26"/>
    <n v="6"/>
    <n v="8824149867.5100002"/>
  </r>
  <r>
    <x v="3"/>
    <x v="14"/>
    <n v="2022"/>
    <x v="2"/>
    <n v="46766.53"/>
    <n v="44.5"/>
    <n v="150"/>
    <n v="162"/>
    <s v="Sedan"/>
    <n v="3"/>
    <x v="2"/>
    <x v="2"/>
    <n v="150601"/>
    <n v="3.18"/>
    <n v="4"/>
    <n v="7043086184.5299997"/>
  </r>
  <r>
    <x v="2"/>
    <x v="31"/>
    <n v="2022"/>
    <x v="1"/>
    <n v="57537.68"/>
    <n v="103.2"/>
    <n v="386"/>
    <n v="199"/>
    <s v="Truck"/>
    <n v="5"/>
    <x v="1"/>
    <x v="2"/>
    <n v="194936"/>
    <n v="4.0599999999999996"/>
    <n v="6"/>
    <n v="11216165188.48"/>
  </r>
  <r>
    <x v="7"/>
    <x v="44"/>
    <n v="2022"/>
    <x v="2"/>
    <n v="27966.77"/>
    <n v="59.8"/>
    <n v="195"/>
    <n v="172"/>
    <s v="Sedan"/>
    <n v="5"/>
    <x v="3"/>
    <x v="3"/>
    <n v="258777"/>
    <n v="3.29"/>
    <n v="3"/>
    <n v="7237156840.29"/>
  </r>
  <r>
    <x v="2"/>
    <x v="5"/>
    <n v="2022"/>
    <x v="0"/>
    <n v="45169.5"/>
    <n v="98.8"/>
    <n v="340"/>
    <n v="170"/>
    <s v="Van"/>
    <n v="4"/>
    <x v="1"/>
    <x v="2"/>
    <n v="416114"/>
    <n v="4.22"/>
    <n v="5"/>
    <n v="18795661323"/>
  </r>
  <r>
    <x v="6"/>
    <x v="20"/>
    <n v="2022"/>
    <x v="2"/>
    <n v="28093.63"/>
    <n v="47.2"/>
    <n v="167"/>
    <n v="139"/>
    <s v="Van"/>
    <n v="3"/>
    <x v="4"/>
    <x v="3"/>
    <n v="119899"/>
    <n v="3.25"/>
    <n v="4"/>
    <n v="3368398143.3699999"/>
  </r>
  <r>
    <x v="4"/>
    <x v="61"/>
    <n v="2022"/>
    <x v="4"/>
    <n v="144615.75"/>
    <n v="49.5"/>
    <n v="161"/>
    <n v="152"/>
    <s v="SUV"/>
    <n v="5"/>
    <x v="3"/>
    <x v="1"/>
    <n v="57074"/>
    <n v="3.06"/>
    <n v="6"/>
    <n v="8253799315.5"/>
  </r>
  <r>
    <x v="6"/>
    <x v="9"/>
    <n v="2022"/>
    <x v="4"/>
    <n v="39046.61"/>
    <n v="54.4"/>
    <n v="178"/>
    <n v="148"/>
    <s v="Coupe"/>
    <n v="4"/>
    <x v="4"/>
    <x v="2"/>
    <n v="57836"/>
    <n v="3.14"/>
    <n v="3"/>
    <n v="2258299735.96"/>
  </r>
  <r>
    <x v="17"/>
    <x v="58"/>
    <n v="2022"/>
    <x v="1"/>
    <n v="90661.21"/>
    <n v="108.4"/>
    <n v="396"/>
    <n v="200"/>
    <s v="SUV"/>
    <n v="5"/>
    <x v="5"/>
    <x v="0"/>
    <n v="15699"/>
    <n v="3.68"/>
    <n v="5"/>
    <n v="1423290335.7900002"/>
  </r>
  <r>
    <x v="9"/>
    <x v="19"/>
    <n v="2022"/>
    <x v="1"/>
    <n v="154009.88"/>
    <n v="79"/>
    <n v="275"/>
    <n v="180"/>
    <s v="Coupe"/>
    <n v="4"/>
    <x v="3"/>
    <x v="1"/>
    <n v="26663"/>
    <n v="3.51"/>
    <n v="7"/>
    <n v="4106365430.4400001"/>
  </r>
  <r>
    <x v="9"/>
    <x v="19"/>
    <n v="2022"/>
    <x v="4"/>
    <n v="116700.28"/>
    <n v="62.9"/>
    <n v="213"/>
    <n v="146"/>
    <s v="Van"/>
    <n v="5"/>
    <x v="3"/>
    <x v="1"/>
    <n v="29505"/>
    <n v="3.78"/>
    <n v="5"/>
    <n v="3443241761.4000001"/>
  </r>
  <r>
    <x v="2"/>
    <x v="31"/>
    <n v="2022"/>
    <x v="0"/>
    <n v="88720.74"/>
    <n v="92.2"/>
    <n v="341"/>
    <n v="175"/>
    <s v="Truck"/>
    <n v="4"/>
    <x v="1"/>
    <x v="0"/>
    <n v="226922"/>
    <n v="4.0199999999999996"/>
    <n v="5"/>
    <n v="20132687762.280003"/>
  </r>
  <r>
    <x v="17"/>
    <x v="65"/>
    <n v="2022"/>
    <x v="2"/>
    <n v="45992.59"/>
    <n v="83.4"/>
    <n v="291"/>
    <n v="175"/>
    <s v="Hatchback"/>
    <n v="5"/>
    <x v="5"/>
    <x v="2"/>
    <n v="3048"/>
    <n v="3.39"/>
    <n v="4"/>
    <n v="140185414.31999999"/>
  </r>
  <r>
    <x v="14"/>
    <x v="66"/>
    <n v="2022"/>
    <x v="3"/>
    <n v="64086.32"/>
    <n v="52.7"/>
    <n v="161"/>
    <n v="169"/>
    <s v="SUV"/>
    <n v="5"/>
    <x v="2"/>
    <x v="2"/>
    <n v="19395"/>
    <n v="3.46"/>
    <n v="4"/>
    <n v="1242954176.4000001"/>
  </r>
  <r>
    <x v="7"/>
    <x v="10"/>
    <n v="2022"/>
    <x v="0"/>
    <n v="60508.93"/>
    <n v="105.5"/>
    <n v="362"/>
    <n v="171"/>
    <s v="Coupe"/>
    <n v="5"/>
    <x v="3"/>
    <x v="2"/>
    <n v="222081"/>
    <n v="3.78"/>
    <n v="5"/>
    <n v="13437883683.33"/>
  </r>
  <r>
    <x v="3"/>
    <x v="14"/>
    <n v="2022"/>
    <x v="3"/>
    <n v="70030.570000000007"/>
    <n v="41.8"/>
    <n v="150"/>
    <n v="133"/>
    <s v="Hatchback"/>
    <n v="3"/>
    <x v="2"/>
    <x v="0"/>
    <n v="187796"/>
    <n v="3.45"/>
    <n v="4"/>
    <n v="13151460923.720001"/>
  </r>
  <r>
    <x v="7"/>
    <x v="10"/>
    <n v="2022"/>
    <x v="1"/>
    <n v="77144.75"/>
    <n v="109.8"/>
    <n v="367"/>
    <n v="200"/>
    <s v="Coupe"/>
    <n v="5"/>
    <x v="3"/>
    <x v="0"/>
    <n v="280321"/>
    <n v="3.69"/>
    <n v="5"/>
    <n v="21625293464.75"/>
  </r>
  <r>
    <x v="6"/>
    <x v="9"/>
    <n v="2022"/>
    <x v="1"/>
    <n v="87757.22"/>
    <n v="77.5"/>
    <n v="262"/>
    <n v="194"/>
    <s v="Truck"/>
    <n v="5"/>
    <x v="4"/>
    <x v="0"/>
    <n v="73010"/>
    <n v="3.41"/>
    <n v="5"/>
    <n v="6407154632.1999998"/>
  </r>
  <r>
    <x v="2"/>
    <x v="35"/>
    <n v="2022"/>
    <x v="1"/>
    <n v="77379.740000000005"/>
    <n v="110"/>
    <n v="373"/>
    <n v="200"/>
    <s v="Sedan"/>
    <n v="3"/>
    <x v="1"/>
    <x v="0"/>
    <n v="238571"/>
    <n v="4.04"/>
    <n v="4"/>
    <n v="18460561951.540001"/>
  </r>
  <r>
    <x v="12"/>
    <x v="46"/>
    <n v="2022"/>
    <x v="2"/>
    <n v="32829.19"/>
    <n v="77.7"/>
    <n v="295"/>
    <n v="139"/>
    <s v="SUV"/>
    <n v="5"/>
    <x v="1"/>
    <x v="3"/>
    <n v="26546"/>
    <n v="3.6"/>
    <n v="4"/>
    <n v="871483677.74000001"/>
  </r>
  <r>
    <x v="2"/>
    <x v="5"/>
    <n v="2022"/>
    <x v="3"/>
    <n v="93506.44"/>
    <n v="60.2"/>
    <n v="206"/>
    <n v="137"/>
    <s v="Van"/>
    <n v="5"/>
    <x v="1"/>
    <x v="0"/>
    <n v="464918"/>
    <n v="3.52"/>
    <n v="6"/>
    <n v="43472827071.919998"/>
  </r>
  <r>
    <x v="8"/>
    <x v="21"/>
    <n v="2022"/>
    <x v="1"/>
    <n v="72683.98"/>
    <n v="73.7"/>
    <n v="253"/>
    <n v="200"/>
    <s v="Coupe"/>
    <n v="4"/>
    <x v="1"/>
    <x v="0"/>
    <n v="25267"/>
    <n v="3.64"/>
    <n v="4"/>
    <n v="1836506122.6599998"/>
  </r>
  <r>
    <x v="2"/>
    <x v="17"/>
    <n v="2022"/>
    <x v="4"/>
    <n v="78038.19"/>
    <n v="59.8"/>
    <n v="219"/>
    <n v="162"/>
    <s v="Coupe"/>
    <n v="3"/>
    <x v="1"/>
    <x v="0"/>
    <n v="156841"/>
    <n v="3.58"/>
    <n v="4"/>
    <n v="12239587757.790001"/>
  </r>
  <r>
    <x v="3"/>
    <x v="37"/>
    <n v="2022"/>
    <x v="0"/>
    <n v="80180.179999999993"/>
    <n v="86.6"/>
    <n v="329"/>
    <n v="183"/>
    <s v="Truck"/>
    <n v="5"/>
    <x v="2"/>
    <x v="0"/>
    <n v="170493"/>
    <n v="3.64"/>
    <n v="3"/>
    <n v="13670159428.739998"/>
  </r>
  <r>
    <x v="12"/>
    <x v="46"/>
    <n v="2022"/>
    <x v="1"/>
    <n v="59493.52"/>
    <n v="71.900000000000006"/>
    <n v="270"/>
    <n v="200"/>
    <s v="SUV"/>
    <n v="3"/>
    <x v="1"/>
    <x v="2"/>
    <n v="16751"/>
    <n v="3.44"/>
    <n v="4"/>
    <n v="996575953.51999998"/>
  </r>
  <r>
    <x v="3"/>
    <x v="3"/>
    <n v="2022"/>
    <x v="3"/>
    <n v="68088.929999999993"/>
    <n v="51.8"/>
    <n v="170"/>
    <n v="173"/>
    <s v="Hatchback"/>
    <n v="4"/>
    <x v="2"/>
    <x v="0"/>
    <n v="201225"/>
    <n v="3.25"/>
    <n v="5"/>
    <n v="13701194939.249998"/>
  </r>
  <r>
    <x v="13"/>
    <x v="33"/>
    <n v="2022"/>
    <x v="0"/>
    <n v="118966.22"/>
    <n v="83.4"/>
    <n v="306"/>
    <n v="187"/>
    <s v="Hatchback"/>
    <n v="4"/>
    <x v="3"/>
    <x v="1"/>
    <n v="78467"/>
    <n v="3.86"/>
    <n v="8"/>
    <n v="9334922384.7399998"/>
  </r>
  <r>
    <x v="13"/>
    <x v="57"/>
    <n v="2022"/>
    <x v="0"/>
    <n v="140186.97"/>
    <n v="89.7"/>
    <n v="340"/>
    <n v="162"/>
    <s v="Hatchback"/>
    <n v="4"/>
    <x v="3"/>
    <x v="1"/>
    <n v="31832"/>
    <n v="4.04"/>
    <n v="8"/>
    <n v="4462431629.04"/>
  </r>
  <r>
    <x v="5"/>
    <x v="15"/>
    <n v="2022"/>
    <x v="0"/>
    <n v="89447.77"/>
    <n v="97.2"/>
    <n v="328"/>
    <n v="187"/>
    <s v="SUV"/>
    <n v="5"/>
    <x v="4"/>
    <x v="0"/>
    <n v="135902"/>
    <n v="3.67"/>
    <n v="4"/>
    <n v="12156130838.540001"/>
  </r>
  <r>
    <x v="17"/>
    <x v="65"/>
    <n v="2022"/>
    <x v="2"/>
    <n v="46215.01"/>
    <n v="45.9"/>
    <n v="150"/>
    <n v="165"/>
    <s v="Hatchback"/>
    <n v="5"/>
    <x v="5"/>
    <x v="2"/>
    <n v="17974"/>
    <n v="3.32"/>
    <n v="3"/>
    <n v="830668589.74000001"/>
  </r>
  <r>
    <x v="7"/>
    <x v="24"/>
    <n v="2022"/>
    <x v="0"/>
    <n v="82795.09"/>
    <n v="103.2"/>
    <n v="345"/>
    <n v="181"/>
    <s v="Coupe"/>
    <n v="4"/>
    <x v="3"/>
    <x v="0"/>
    <n v="263434"/>
    <n v="3.53"/>
    <n v="5"/>
    <n v="21811041739.059998"/>
  </r>
  <r>
    <x v="0"/>
    <x v="47"/>
    <n v="2022"/>
    <x v="4"/>
    <n v="46862.78"/>
    <n v="63.4"/>
    <n v="215"/>
    <n v="151"/>
    <s v="Sedan"/>
    <n v="5"/>
    <x v="0"/>
    <x v="2"/>
    <n v="1920"/>
    <n v="3.39"/>
    <n v="4"/>
    <n v="89976537.599999994"/>
  </r>
  <r>
    <x v="3"/>
    <x v="14"/>
    <n v="2022"/>
    <x v="0"/>
    <n v="77020.14"/>
    <n v="86.6"/>
    <n v="333"/>
    <n v="161"/>
    <s v="Van"/>
    <n v="5"/>
    <x v="2"/>
    <x v="0"/>
    <n v="167490"/>
    <n v="3.58"/>
    <n v="4"/>
    <n v="12900103248.6"/>
  </r>
  <r>
    <x v="12"/>
    <x v="46"/>
    <n v="2022"/>
    <x v="4"/>
    <n v="82968.06"/>
    <n v="75.400000000000006"/>
    <n v="253"/>
    <n v="163"/>
    <s v="SUV"/>
    <n v="4"/>
    <x v="1"/>
    <x v="0"/>
    <n v="7825"/>
    <n v="3.4"/>
    <n v="4"/>
    <n v="649225069.5"/>
  </r>
  <r>
    <x v="7"/>
    <x v="24"/>
    <n v="2022"/>
    <x v="1"/>
    <n v="97372.99"/>
    <n v="74.099999999999994"/>
    <n v="240"/>
    <n v="200"/>
    <s v="Sedan"/>
    <n v="4"/>
    <x v="3"/>
    <x v="0"/>
    <n v="246097"/>
    <n v="3.31"/>
    <n v="4"/>
    <n v="23963200720.030003"/>
  </r>
  <r>
    <x v="6"/>
    <x v="9"/>
    <n v="2022"/>
    <x v="3"/>
    <n v="34455.089999999997"/>
    <n v="43.1"/>
    <n v="150"/>
    <n v="165"/>
    <s v="Van"/>
    <n v="5"/>
    <x v="4"/>
    <x v="3"/>
    <n v="120724"/>
    <n v="3.13"/>
    <n v="5"/>
    <n v="4159556285.1599994"/>
  </r>
  <r>
    <x v="6"/>
    <x v="63"/>
    <n v="2022"/>
    <x v="4"/>
    <n v="45588.01"/>
    <n v="53.8"/>
    <n v="175"/>
    <n v="159"/>
    <s v="Truck"/>
    <n v="4"/>
    <x v="4"/>
    <x v="2"/>
    <n v="103603"/>
    <n v="3.49"/>
    <n v="4"/>
    <n v="4723054600.0300007"/>
  </r>
  <r>
    <x v="2"/>
    <x v="5"/>
    <n v="2022"/>
    <x v="0"/>
    <n v="79776.37"/>
    <n v="94.5"/>
    <n v="332"/>
    <n v="163"/>
    <s v="Truck"/>
    <n v="3"/>
    <x v="1"/>
    <x v="0"/>
    <n v="488350"/>
    <n v="4"/>
    <n v="4"/>
    <n v="38958790289.5"/>
  </r>
  <r>
    <x v="2"/>
    <x v="2"/>
    <n v="2022"/>
    <x v="3"/>
    <n v="127540.88"/>
    <n v="49.1"/>
    <n v="186"/>
    <n v="163"/>
    <s v="Coupe"/>
    <n v="3"/>
    <x v="1"/>
    <x v="1"/>
    <n v="136670"/>
    <n v="3.54"/>
    <n v="5"/>
    <n v="17431012069.600002"/>
  </r>
  <r>
    <x v="2"/>
    <x v="35"/>
    <n v="2022"/>
    <x v="0"/>
    <n v="85291.7"/>
    <n v="102.2"/>
    <n v="332"/>
    <n v="184"/>
    <s v="Van"/>
    <n v="5"/>
    <x v="1"/>
    <x v="0"/>
    <n v="146415"/>
    <n v="3.95"/>
    <n v="4"/>
    <n v="12487984255.5"/>
  </r>
  <r>
    <x v="5"/>
    <x v="13"/>
    <n v="2022"/>
    <x v="0"/>
    <n v="73622.080000000002"/>
    <n v="94.4"/>
    <n v="291"/>
    <n v="187"/>
    <s v="SUV"/>
    <n v="5"/>
    <x v="4"/>
    <x v="0"/>
    <n v="128389"/>
    <n v="3.38"/>
    <n v="4"/>
    <n v="9452265229.1200008"/>
  </r>
  <r>
    <x v="3"/>
    <x v="8"/>
    <n v="2022"/>
    <x v="2"/>
    <n v="71011.58"/>
    <n v="47.4"/>
    <n v="159"/>
    <n v="132"/>
    <s v="SUV"/>
    <n v="4"/>
    <x v="2"/>
    <x v="0"/>
    <n v="210658"/>
    <n v="3.09"/>
    <n v="4"/>
    <n v="14959157419.640001"/>
  </r>
  <r>
    <x v="7"/>
    <x v="28"/>
    <n v="2023"/>
    <x v="1"/>
    <n v="104880.8"/>
    <n v="118.7"/>
    <n v="400"/>
    <n v="195"/>
    <s v="Truck"/>
    <n v="4"/>
    <x v="3"/>
    <x v="1"/>
    <n v="202182"/>
    <n v="4"/>
    <n v="4"/>
    <n v="21205009905.600002"/>
  </r>
  <r>
    <x v="2"/>
    <x v="5"/>
    <n v="2023"/>
    <x v="1"/>
    <n v="119590.27"/>
    <n v="78.3"/>
    <n v="251"/>
    <n v="200"/>
    <s v="Hatchback"/>
    <n v="5"/>
    <x v="1"/>
    <x v="1"/>
    <n v="411764"/>
    <n v="3.67"/>
    <n v="5"/>
    <n v="49242967936.279999"/>
  </r>
  <r>
    <x v="3"/>
    <x v="11"/>
    <n v="2023"/>
    <x v="2"/>
    <n v="16394.330000000002"/>
    <n v="41.8"/>
    <n v="158"/>
    <n v="155"/>
    <s v="Coupe"/>
    <n v="5"/>
    <x v="2"/>
    <x v="3"/>
    <n v="224997"/>
    <n v="3.58"/>
    <n v="5"/>
    <n v="3688675067.0100002"/>
  </r>
  <r>
    <x v="2"/>
    <x v="31"/>
    <n v="2023"/>
    <x v="2"/>
    <n v="70531.960000000006"/>
    <n v="70.5"/>
    <n v="256"/>
    <n v="165"/>
    <s v="Truck"/>
    <n v="5"/>
    <x v="1"/>
    <x v="0"/>
    <n v="209622"/>
    <n v="3.6"/>
    <n v="4"/>
    <n v="14785050519.120001"/>
  </r>
  <r>
    <x v="2"/>
    <x v="35"/>
    <n v="2023"/>
    <x v="3"/>
    <n v="67772.81"/>
    <n v="53.3"/>
    <n v="175"/>
    <n v="128"/>
    <s v="Sedan"/>
    <n v="5"/>
    <x v="1"/>
    <x v="0"/>
    <n v="207968"/>
    <n v="3.36"/>
    <n v="6"/>
    <n v="14094575750.08"/>
  </r>
  <r>
    <x v="2"/>
    <x v="35"/>
    <n v="2023"/>
    <x v="2"/>
    <n v="109503.65"/>
    <n v="47.9"/>
    <n v="155"/>
    <n v="164"/>
    <s v="Van"/>
    <n v="5"/>
    <x v="1"/>
    <x v="1"/>
    <n v="174834"/>
    <n v="3.59"/>
    <n v="4"/>
    <n v="19144961144.099998"/>
  </r>
  <r>
    <x v="5"/>
    <x v="15"/>
    <n v="2023"/>
    <x v="3"/>
    <n v="77484.789999999994"/>
    <n v="81.2"/>
    <n v="284"/>
    <n v="169"/>
    <s v="SUV"/>
    <n v="3"/>
    <x v="4"/>
    <x v="0"/>
    <n v="101678"/>
    <n v="3.34"/>
    <n v="4"/>
    <n v="7878498477.6199989"/>
  </r>
  <r>
    <x v="2"/>
    <x v="5"/>
    <n v="2023"/>
    <x v="3"/>
    <n v="98108.77"/>
    <n v="46.5"/>
    <n v="150"/>
    <n v="174"/>
    <s v="SUV"/>
    <n v="5"/>
    <x v="1"/>
    <x v="0"/>
    <n v="431290"/>
    <n v="3.33"/>
    <n v="4"/>
    <n v="42313331413.300003"/>
  </r>
  <r>
    <x v="7"/>
    <x v="24"/>
    <n v="2023"/>
    <x v="0"/>
    <n v="94330.19"/>
    <n v="105.4"/>
    <n v="383"/>
    <n v="177"/>
    <s v="Sedan"/>
    <n v="5"/>
    <x v="3"/>
    <x v="0"/>
    <n v="232451"/>
    <n v="3.95"/>
    <n v="3"/>
    <n v="21927146995.690002"/>
  </r>
  <r>
    <x v="13"/>
    <x v="48"/>
    <n v="2023"/>
    <x v="3"/>
    <n v="144581.79"/>
    <n v="42.8"/>
    <n v="150"/>
    <n v="156"/>
    <s v="SUV"/>
    <n v="4"/>
    <x v="3"/>
    <x v="1"/>
    <n v="76491"/>
    <n v="3.42"/>
    <n v="7"/>
    <n v="11059205698.890001"/>
  </r>
  <r>
    <x v="9"/>
    <x v="38"/>
    <n v="2023"/>
    <x v="4"/>
    <n v="86081.93"/>
    <n v="72.3"/>
    <n v="247"/>
    <n v="166"/>
    <s v="Truck"/>
    <n v="4"/>
    <x v="3"/>
    <x v="0"/>
    <n v="51887"/>
    <n v="3.42"/>
    <n v="6"/>
    <n v="4466533101.9099998"/>
  </r>
  <r>
    <x v="3"/>
    <x v="42"/>
    <n v="2023"/>
    <x v="3"/>
    <n v="21523.03"/>
    <n v="42.4"/>
    <n v="150"/>
    <n v="157"/>
    <s v="Sedan"/>
    <n v="4"/>
    <x v="2"/>
    <x v="3"/>
    <n v="183596"/>
    <n v="3.23"/>
    <n v="3"/>
    <n v="3951542215.8799996"/>
  </r>
  <r>
    <x v="5"/>
    <x v="7"/>
    <n v="2023"/>
    <x v="4"/>
    <n v="92594.29"/>
    <n v="74.2"/>
    <n v="257"/>
    <n v="158"/>
    <s v="Coupe"/>
    <n v="5"/>
    <x v="4"/>
    <x v="0"/>
    <n v="83731"/>
    <n v="3.6"/>
    <n v="4"/>
    <n v="7753012495.9899998"/>
  </r>
  <r>
    <x v="8"/>
    <x v="60"/>
    <n v="2023"/>
    <x v="0"/>
    <n v="76072"/>
    <n v="105.6"/>
    <n v="363"/>
    <n v="189"/>
    <s v="Hatchback"/>
    <n v="5"/>
    <x v="1"/>
    <x v="0"/>
    <n v="48060"/>
    <n v="4.04"/>
    <n v="4"/>
    <n v="3656020320"/>
  </r>
  <r>
    <x v="7"/>
    <x v="24"/>
    <n v="2023"/>
    <x v="1"/>
    <n v="80921.960000000006"/>
    <n v="108.9"/>
    <n v="399"/>
    <n v="198"/>
    <s v="Hatchback"/>
    <n v="3"/>
    <x v="3"/>
    <x v="0"/>
    <n v="234095"/>
    <n v="3.86"/>
    <n v="5"/>
    <n v="18943426226.200001"/>
  </r>
  <r>
    <x v="2"/>
    <x v="35"/>
    <n v="2023"/>
    <x v="1"/>
    <n v="184745.86"/>
    <n v="106.3"/>
    <n v="348"/>
    <n v="198"/>
    <s v="Coupe"/>
    <n v="3"/>
    <x v="1"/>
    <x v="1"/>
    <n v="148529"/>
    <n v="4.29"/>
    <n v="5"/>
    <n v="27440117839.939999"/>
  </r>
  <r>
    <x v="3"/>
    <x v="3"/>
    <n v="2023"/>
    <x v="1"/>
    <n v="26461.18"/>
    <n v="71.3"/>
    <n v="265"/>
    <n v="200"/>
    <s v="SUV"/>
    <n v="3"/>
    <x v="2"/>
    <x v="3"/>
    <n v="226324"/>
    <n v="3.6"/>
    <n v="3"/>
    <n v="5988800102.3199997"/>
  </r>
  <r>
    <x v="13"/>
    <x v="57"/>
    <n v="2023"/>
    <x v="0"/>
    <n v="163924.89000000001"/>
    <n v="83.9"/>
    <n v="285"/>
    <n v="180"/>
    <s v="Coupe"/>
    <n v="4"/>
    <x v="3"/>
    <x v="1"/>
    <n v="50822"/>
    <n v="3.77"/>
    <n v="6"/>
    <n v="8330990759.5800009"/>
  </r>
  <r>
    <x v="5"/>
    <x v="7"/>
    <n v="2023"/>
    <x v="4"/>
    <n v="38796.18"/>
    <n v="49.4"/>
    <n v="150"/>
    <n v="168"/>
    <s v="Coupe"/>
    <n v="5"/>
    <x v="4"/>
    <x v="2"/>
    <n v="146563"/>
    <n v="3.09"/>
    <n v="4"/>
    <n v="5686084529.3400002"/>
  </r>
  <r>
    <x v="8"/>
    <x v="60"/>
    <n v="2023"/>
    <x v="2"/>
    <n v="59885.41"/>
    <n v="65.900000000000006"/>
    <n v="231"/>
    <n v="148"/>
    <s v="Truck"/>
    <n v="4"/>
    <x v="1"/>
    <x v="2"/>
    <n v="28589"/>
    <n v="3.5"/>
    <n v="4"/>
    <n v="1712063986.49"/>
  </r>
  <r>
    <x v="2"/>
    <x v="2"/>
    <n v="2023"/>
    <x v="1"/>
    <n v="65004.86"/>
    <n v="111"/>
    <n v="405"/>
    <n v="200"/>
    <s v="Truck"/>
    <n v="4"/>
    <x v="1"/>
    <x v="0"/>
    <n v="208805"/>
    <n v="4.34"/>
    <n v="4"/>
    <n v="13573339792.299999"/>
  </r>
  <r>
    <x v="3"/>
    <x v="8"/>
    <n v="2023"/>
    <x v="1"/>
    <n v="33904.31"/>
    <n v="91.8"/>
    <n v="310"/>
    <n v="200"/>
    <s v="Sedan"/>
    <n v="4"/>
    <x v="2"/>
    <x v="3"/>
    <n v="106140"/>
    <n v="3.65"/>
    <n v="3"/>
    <n v="3598603463.3999996"/>
  </r>
  <r>
    <x v="3"/>
    <x v="11"/>
    <n v="2023"/>
    <x v="0"/>
    <n v="77902.259999999995"/>
    <n v="85.2"/>
    <n v="288"/>
    <n v="183"/>
    <s v="SUV"/>
    <n v="5"/>
    <x v="2"/>
    <x v="0"/>
    <n v="177211"/>
    <n v="3.38"/>
    <n v="3"/>
    <n v="13805137396.859999"/>
  </r>
  <r>
    <x v="3"/>
    <x v="8"/>
    <n v="2023"/>
    <x v="3"/>
    <n v="50127.13"/>
    <n v="47.6"/>
    <n v="150"/>
    <n v="140"/>
    <s v="Sedan"/>
    <n v="4"/>
    <x v="2"/>
    <x v="2"/>
    <n v="176192"/>
    <n v="3.19"/>
    <n v="4"/>
    <n v="8831999288.9599991"/>
  </r>
  <r>
    <x v="3"/>
    <x v="3"/>
    <n v="2023"/>
    <x v="4"/>
    <n v="29372.26"/>
    <n v="77"/>
    <n v="257"/>
    <n v="129"/>
    <s v="Hatchback"/>
    <n v="4"/>
    <x v="2"/>
    <x v="3"/>
    <n v="240988"/>
    <n v="3.46"/>
    <n v="4"/>
    <n v="7078362192.8799992"/>
  </r>
  <r>
    <x v="2"/>
    <x v="17"/>
    <n v="2023"/>
    <x v="4"/>
    <n v="123494.48"/>
    <n v="79.099999999999994"/>
    <n v="283"/>
    <n v="175"/>
    <s v="SUV"/>
    <n v="5"/>
    <x v="1"/>
    <x v="1"/>
    <n v="228731"/>
    <n v="3.4"/>
    <n v="4"/>
    <n v="28247015904.879997"/>
  </r>
  <r>
    <x v="2"/>
    <x v="35"/>
    <n v="2023"/>
    <x v="4"/>
    <n v="41055.46"/>
    <n v="66.5"/>
    <n v="234"/>
    <n v="157"/>
    <s v="Truck"/>
    <n v="5"/>
    <x v="1"/>
    <x v="2"/>
    <n v="203412"/>
    <n v="3.84"/>
    <n v="4"/>
    <n v="8351173229.5199995"/>
  </r>
  <r>
    <x v="9"/>
    <x v="55"/>
    <n v="2023"/>
    <x v="0"/>
    <n v="76874.69"/>
    <n v="96.7"/>
    <n v="338"/>
    <n v="159"/>
    <s v="Sedan"/>
    <n v="5"/>
    <x v="3"/>
    <x v="0"/>
    <n v="29925"/>
    <n v="3.89"/>
    <n v="5"/>
    <n v="2300475098.25"/>
  </r>
  <r>
    <x v="9"/>
    <x v="16"/>
    <n v="2023"/>
    <x v="2"/>
    <n v="58951.66"/>
    <n v="72.400000000000006"/>
    <n v="252"/>
    <n v="167"/>
    <s v="Van"/>
    <n v="5"/>
    <x v="3"/>
    <x v="2"/>
    <n v="20422"/>
    <n v="3.39"/>
    <n v="8"/>
    <n v="1203910800.52"/>
  </r>
  <r>
    <x v="2"/>
    <x v="31"/>
    <n v="2023"/>
    <x v="2"/>
    <n v="113861.27"/>
    <n v="81.2"/>
    <n v="306"/>
    <n v="131"/>
    <s v="Truck"/>
    <n v="5"/>
    <x v="1"/>
    <x v="1"/>
    <n v="162424"/>
    <n v="3.82"/>
    <n v="4"/>
    <n v="18493802918.48"/>
  </r>
  <r>
    <x v="11"/>
    <x v="30"/>
    <n v="2023"/>
    <x v="1"/>
    <n v="104608.91"/>
    <n v="116.3"/>
    <n v="395"/>
    <n v="200"/>
    <s v="Sedan"/>
    <n v="5"/>
    <x v="1"/>
    <x v="1"/>
    <n v="4453"/>
    <n v="3.72"/>
    <n v="4"/>
    <n v="465823476.23000002"/>
  </r>
  <r>
    <x v="9"/>
    <x v="38"/>
    <n v="2023"/>
    <x v="2"/>
    <n v="90267.93"/>
    <n v="63"/>
    <n v="260"/>
    <n v="172"/>
    <s v="Hatchback"/>
    <n v="4"/>
    <x v="3"/>
    <x v="0"/>
    <n v="26056"/>
    <n v="3.46"/>
    <n v="5"/>
    <n v="2352021184.0799999"/>
  </r>
  <r>
    <x v="2"/>
    <x v="31"/>
    <n v="2023"/>
    <x v="2"/>
    <n v="46210.19"/>
    <n v="70.099999999999994"/>
    <n v="244"/>
    <n v="171"/>
    <s v="Truck"/>
    <n v="4"/>
    <x v="1"/>
    <x v="2"/>
    <n v="187848"/>
    <n v="3.58"/>
    <n v="4"/>
    <n v="8680491771.1200008"/>
  </r>
  <r>
    <x v="9"/>
    <x v="39"/>
    <n v="2023"/>
    <x v="4"/>
    <n v="137951.81"/>
    <n v="60.1"/>
    <n v="220"/>
    <n v="152"/>
    <s v="Hatchback"/>
    <n v="4"/>
    <x v="3"/>
    <x v="1"/>
    <n v="26110"/>
    <n v="3.46"/>
    <n v="7"/>
    <n v="3601921759.0999999"/>
  </r>
  <r>
    <x v="9"/>
    <x v="39"/>
    <n v="2023"/>
    <x v="3"/>
    <n v="67705.119999999995"/>
    <n v="63"/>
    <n v="239"/>
    <n v="176"/>
    <s v="Coupe"/>
    <n v="5"/>
    <x v="3"/>
    <x v="0"/>
    <n v="68305"/>
    <n v="3.3"/>
    <n v="8"/>
    <n v="4624598221.5999994"/>
  </r>
  <r>
    <x v="3"/>
    <x v="14"/>
    <n v="2023"/>
    <x v="3"/>
    <n v="36044.93"/>
    <n v="74.5"/>
    <n v="251"/>
    <n v="127"/>
    <s v="Truck"/>
    <n v="4"/>
    <x v="2"/>
    <x v="2"/>
    <n v="117310"/>
    <n v="3.57"/>
    <n v="5"/>
    <n v="4228430738.3000002"/>
  </r>
  <r>
    <x v="2"/>
    <x v="5"/>
    <n v="2023"/>
    <x v="3"/>
    <n v="44516.36"/>
    <n v="56.4"/>
    <n v="227"/>
    <n v="147"/>
    <s v="Sedan"/>
    <n v="4"/>
    <x v="1"/>
    <x v="2"/>
    <n v="403294"/>
    <n v="3.48"/>
    <n v="5"/>
    <n v="17953180889.84"/>
  </r>
  <r>
    <x v="2"/>
    <x v="35"/>
    <n v="2023"/>
    <x v="4"/>
    <n v="100324.34"/>
    <n v="79.900000000000006"/>
    <n v="300"/>
    <n v="150"/>
    <s v="Coupe"/>
    <n v="4"/>
    <x v="1"/>
    <x v="1"/>
    <n v="121739"/>
    <n v="3.62"/>
    <n v="4"/>
    <n v="12213384827.26"/>
  </r>
  <r>
    <x v="0"/>
    <x v="47"/>
    <n v="2023"/>
    <x v="2"/>
    <n v="53579.07"/>
    <n v="65.5"/>
    <n v="233"/>
    <n v="133"/>
    <s v="Coupe"/>
    <n v="4"/>
    <x v="0"/>
    <x v="2"/>
    <n v="16544"/>
    <n v="3.42"/>
    <n v="4"/>
    <n v="886412134.08000004"/>
  </r>
  <r>
    <x v="11"/>
    <x v="30"/>
    <n v="2023"/>
    <x v="3"/>
    <n v="81874.34"/>
    <n v="83.6"/>
    <n v="317"/>
    <n v="177"/>
    <s v="Sedan"/>
    <n v="4"/>
    <x v="1"/>
    <x v="0"/>
    <n v="1989"/>
    <n v="3.61"/>
    <n v="4"/>
    <n v="162848062.25999999"/>
  </r>
  <r>
    <x v="13"/>
    <x v="57"/>
    <n v="2023"/>
    <x v="1"/>
    <n v="181026.58"/>
    <n v="110.6"/>
    <n v="370"/>
    <n v="200"/>
    <s v="Truck"/>
    <n v="4"/>
    <x v="3"/>
    <x v="1"/>
    <n v="35248"/>
    <n v="3.91"/>
    <n v="8"/>
    <n v="6380824891.8399992"/>
  </r>
  <r>
    <x v="7"/>
    <x v="27"/>
    <n v="2023"/>
    <x v="4"/>
    <n v="40146.71"/>
    <n v="41.6"/>
    <n v="150"/>
    <n v="142"/>
    <s v="Coupe"/>
    <n v="4"/>
    <x v="3"/>
    <x v="2"/>
    <n v="229072"/>
    <n v="3.13"/>
    <n v="5"/>
    <n v="9196487153.1199989"/>
  </r>
  <r>
    <x v="13"/>
    <x v="48"/>
    <n v="2023"/>
    <x v="0"/>
    <n v="182443.72"/>
    <n v="104.6"/>
    <n v="359"/>
    <n v="174"/>
    <s v="Sedan"/>
    <n v="4"/>
    <x v="3"/>
    <x v="1"/>
    <n v="20765"/>
    <n v="4.0999999999999996"/>
    <n v="8"/>
    <n v="3788443845.8000002"/>
  </r>
  <r>
    <x v="2"/>
    <x v="2"/>
    <n v="2023"/>
    <x v="4"/>
    <n v="76607.64"/>
    <n v="81.099999999999994"/>
    <n v="288"/>
    <n v="137"/>
    <s v="Van"/>
    <n v="3"/>
    <x v="1"/>
    <x v="0"/>
    <n v="244244"/>
    <n v="3.81"/>
    <n v="4"/>
    <n v="18710956424.16"/>
  </r>
  <r>
    <x v="8"/>
    <x v="60"/>
    <n v="2023"/>
    <x v="0"/>
    <n v="63827.68"/>
    <n v="85.8"/>
    <n v="270"/>
    <n v="180"/>
    <s v="Truck"/>
    <n v="4"/>
    <x v="1"/>
    <x v="2"/>
    <n v="74506"/>
    <n v="3.43"/>
    <n v="3"/>
    <n v="4755545126.0799999"/>
  </r>
  <r>
    <x v="12"/>
    <x v="36"/>
    <n v="2023"/>
    <x v="1"/>
    <n v="74889.56"/>
    <n v="92.7"/>
    <n v="312"/>
    <n v="193"/>
    <s v="Coupe"/>
    <n v="4"/>
    <x v="1"/>
    <x v="0"/>
    <n v="29402"/>
    <n v="3.57"/>
    <n v="3"/>
    <n v="2201902843.1199999"/>
  </r>
  <r>
    <x v="2"/>
    <x v="31"/>
    <n v="2023"/>
    <x v="2"/>
    <n v="104581.09"/>
    <n v="50.5"/>
    <n v="185"/>
    <n v="165"/>
    <s v="Truck"/>
    <n v="5"/>
    <x v="1"/>
    <x v="1"/>
    <n v="156090"/>
    <n v="3.54"/>
    <n v="6"/>
    <n v="16324062338.1"/>
  </r>
  <r>
    <x v="2"/>
    <x v="2"/>
    <n v="2023"/>
    <x v="2"/>
    <n v="56750.25"/>
    <n v="40.5"/>
    <n v="163"/>
    <n v="136"/>
    <s v="Van"/>
    <n v="4"/>
    <x v="1"/>
    <x v="2"/>
    <n v="175034"/>
    <n v="3.89"/>
    <n v="4"/>
    <n v="9933223258.5"/>
  </r>
  <r>
    <x v="2"/>
    <x v="31"/>
    <n v="2023"/>
    <x v="2"/>
    <n v="62213.09"/>
    <n v="54.2"/>
    <n v="191"/>
    <n v="136"/>
    <s v="Truck"/>
    <n v="5"/>
    <x v="1"/>
    <x v="2"/>
    <n v="199768"/>
    <n v="3.77"/>
    <n v="5"/>
    <n v="12428184563.119999"/>
  </r>
  <r>
    <x v="9"/>
    <x v="39"/>
    <n v="2023"/>
    <x v="0"/>
    <n v="134039.99"/>
    <n v="84.4"/>
    <n v="313"/>
    <n v="177"/>
    <s v="Sedan"/>
    <n v="5"/>
    <x v="3"/>
    <x v="1"/>
    <n v="70841"/>
    <n v="3.71"/>
    <n v="5"/>
    <n v="9495526931.5900002"/>
  </r>
  <r>
    <x v="6"/>
    <x v="53"/>
    <n v="2023"/>
    <x v="0"/>
    <n v="65970"/>
    <n v="108.1"/>
    <n v="394"/>
    <n v="179"/>
    <s v="Coupe"/>
    <n v="5"/>
    <x v="4"/>
    <x v="0"/>
    <n v="146072"/>
    <n v="4.09"/>
    <n v="4"/>
    <n v="9636369840"/>
  </r>
  <r>
    <x v="8"/>
    <x v="21"/>
    <n v="2023"/>
    <x v="2"/>
    <n v="42208.33"/>
    <n v="66.3"/>
    <n v="224"/>
    <n v="165"/>
    <s v="SUV"/>
    <n v="5"/>
    <x v="1"/>
    <x v="2"/>
    <n v="47569"/>
    <n v="3.37"/>
    <n v="4"/>
    <n v="2007808049.77"/>
  </r>
  <r>
    <x v="2"/>
    <x v="31"/>
    <n v="2023"/>
    <x v="2"/>
    <n v="38622.29"/>
    <n v="51.5"/>
    <n v="186"/>
    <n v="124"/>
    <s v="Truck"/>
    <n v="5"/>
    <x v="1"/>
    <x v="2"/>
    <n v="174372"/>
    <n v="3.4"/>
    <n v="5"/>
    <n v="6734645951.8800001"/>
  </r>
  <r>
    <x v="2"/>
    <x v="35"/>
    <n v="2023"/>
    <x v="2"/>
    <n v="27433.3"/>
    <n v="82.4"/>
    <n v="258"/>
    <n v="161"/>
    <s v="Coupe"/>
    <n v="5"/>
    <x v="1"/>
    <x v="3"/>
    <n v="230869"/>
    <n v="3.79"/>
    <n v="4"/>
    <n v="6333498537.6999998"/>
  </r>
  <r>
    <x v="12"/>
    <x v="29"/>
    <n v="2023"/>
    <x v="3"/>
    <n v="64132.24"/>
    <n v="51.9"/>
    <n v="150"/>
    <n v="155"/>
    <s v="Truck"/>
    <n v="4"/>
    <x v="1"/>
    <x v="2"/>
    <n v="5462"/>
    <n v="3.44"/>
    <n v="4"/>
    <n v="350290294.88"/>
  </r>
  <r>
    <x v="3"/>
    <x v="8"/>
    <n v="2023"/>
    <x v="4"/>
    <n v="65383.31"/>
    <n v="69.599999999999994"/>
    <n v="240"/>
    <n v="161"/>
    <s v="Coupe"/>
    <n v="5"/>
    <x v="2"/>
    <x v="0"/>
    <n v="171261"/>
    <n v="3.56"/>
    <n v="4"/>
    <n v="11197611053.91"/>
  </r>
  <r>
    <x v="2"/>
    <x v="17"/>
    <n v="2023"/>
    <x v="2"/>
    <n v="33304.79"/>
    <n v="70.400000000000006"/>
    <n v="262"/>
    <n v="180"/>
    <s v="Van"/>
    <n v="4"/>
    <x v="1"/>
    <x v="3"/>
    <n v="239021"/>
    <n v="3.85"/>
    <n v="5"/>
    <n v="7960544210.5900002"/>
  </r>
  <r>
    <x v="2"/>
    <x v="2"/>
    <n v="2023"/>
    <x v="0"/>
    <n v="98608.05"/>
    <n v="77.7"/>
    <n v="286"/>
    <n v="183"/>
    <s v="Hatchback"/>
    <n v="4"/>
    <x v="1"/>
    <x v="0"/>
    <n v="246839"/>
    <n v="3.98"/>
    <n v="4"/>
    <n v="24340312453.950001"/>
  </r>
  <r>
    <x v="5"/>
    <x v="13"/>
    <n v="2023"/>
    <x v="4"/>
    <n v="95598.48"/>
    <n v="63.5"/>
    <n v="202"/>
    <n v="166"/>
    <s v="SUV"/>
    <n v="5"/>
    <x v="4"/>
    <x v="0"/>
    <n v="107457"/>
    <n v="3.32"/>
    <n v="5"/>
    <n v="10272725865.359999"/>
  </r>
  <r>
    <x v="14"/>
    <x v="66"/>
    <n v="2023"/>
    <x v="0"/>
    <n v="98011.85"/>
    <n v="106.2"/>
    <n v="364"/>
    <n v="171"/>
    <s v="Sedan"/>
    <n v="4"/>
    <x v="2"/>
    <x v="0"/>
    <n v="12631"/>
    <n v="3.86"/>
    <n v="5"/>
    <n v="1237987677.3500001"/>
  </r>
  <r>
    <x v="2"/>
    <x v="31"/>
    <n v="2023"/>
    <x v="3"/>
    <n v="121896.5"/>
    <n v="64.2"/>
    <n v="216"/>
    <n v="145"/>
    <s v="Truck"/>
    <n v="5"/>
    <x v="1"/>
    <x v="1"/>
    <n v="186743"/>
    <n v="3.62"/>
    <n v="4"/>
    <n v="22763318099.5"/>
  </r>
  <r>
    <x v="8"/>
    <x v="34"/>
    <n v="2023"/>
    <x v="2"/>
    <n v="35481.879999999997"/>
    <n v="41"/>
    <n v="173"/>
    <n v="155"/>
    <s v="Hatchback"/>
    <n v="5"/>
    <x v="1"/>
    <x v="2"/>
    <n v="63701"/>
    <n v="3.25"/>
    <n v="4"/>
    <n v="2260231237.8799996"/>
  </r>
  <r>
    <x v="3"/>
    <x v="37"/>
    <n v="2023"/>
    <x v="0"/>
    <n v="100157.25"/>
    <n v="105.4"/>
    <n v="362"/>
    <n v="177"/>
    <s v="Truck"/>
    <n v="4"/>
    <x v="2"/>
    <x v="1"/>
    <n v="107443"/>
    <n v="3.79"/>
    <n v="5"/>
    <n v="10761195411.75"/>
  </r>
  <r>
    <x v="2"/>
    <x v="5"/>
    <n v="2023"/>
    <x v="2"/>
    <n v="55299.28"/>
    <n v="40.9"/>
    <n v="150"/>
    <n v="151"/>
    <s v="Hatchback"/>
    <n v="5"/>
    <x v="1"/>
    <x v="2"/>
    <n v="449181"/>
    <n v="3.75"/>
    <n v="4"/>
    <n v="24839385889.68"/>
  </r>
  <r>
    <x v="8"/>
    <x v="34"/>
    <n v="2023"/>
    <x v="2"/>
    <n v="52080.38"/>
    <n v="54.7"/>
    <n v="222"/>
    <n v="143"/>
    <s v="Van"/>
    <n v="4"/>
    <x v="1"/>
    <x v="2"/>
    <n v="72053"/>
    <n v="3.42"/>
    <n v="3"/>
    <n v="3752547620.1399999"/>
  </r>
  <r>
    <x v="7"/>
    <x v="28"/>
    <n v="2023"/>
    <x v="1"/>
    <n v="50097.36"/>
    <n v="93.7"/>
    <n v="319"/>
    <n v="182"/>
    <s v="Van"/>
    <n v="4"/>
    <x v="3"/>
    <x v="2"/>
    <n v="238954"/>
    <n v="3.69"/>
    <n v="4"/>
    <n v="11970964561.440001"/>
  </r>
  <r>
    <x v="13"/>
    <x v="64"/>
    <n v="2023"/>
    <x v="0"/>
    <n v="123138.78"/>
    <n v="81.2"/>
    <n v="263"/>
    <n v="174"/>
    <s v="Truck"/>
    <n v="5"/>
    <x v="3"/>
    <x v="1"/>
    <n v="65127"/>
    <n v="3.77"/>
    <n v="5"/>
    <n v="8019659325.0599995"/>
  </r>
  <r>
    <x v="2"/>
    <x v="2"/>
    <n v="2023"/>
    <x v="4"/>
    <n v="131294.35999999999"/>
    <n v="66"/>
    <n v="236"/>
    <n v="159"/>
    <s v="SUV"/>
    <n v="4"/>
    <x v="1"/>
    <x v="1"/>
    <n v="154508"/>
    <n v="3.91"/>
    <n v="4"/>
    <n v="20286028974.879997"/>
  </r>
  <r>
    <x v="7"/>
    <x v="24"/>
    <n v="2023"/>
    <x v="4"/>
    <n v="44868.54"/>
    <n v="71"/>
    <n v="254"/>
    <n v="135"/>
    <s v="Sedan"/>
    <n v="3"/>
    <x v="3"/>
    <x v="2"/>
    <n v="264149"/>
    <n v="3.6"/>
    <n v="5"/>
    <n v="11851979972.460001"/>
  </r>
  <r>
    <x v="6"/>
    <x v="9"/>
    <n v="2023"/>
    <x v="3"/>
    <n v="68110.080000000002"/>
    <n v="72.3"/>
    <n v="255"/>
    <n v="152"/>
    <s v="Truck"/>
    <n v="4"/>
    <x v="4"/>
    <x v="0"/>
    <n v="73761"/>
    <n v="3.77"/>
    <n v="4"/>
    <n v="5023867610.8800001"/>
  </r>
  <r>
    <x v="2"/>
    <x v="5"/>
    <n v="2023"/>
    <x v="2"/>
    <n v="92950.35"/>
    <n v="77.5"/>
    <n v="263"/>
    <n v="166"/>
    <s v="SUV"/>
    <n v="5"/>
    <x v="1"/>
    <x v="0"/>
    <n v="491547"/>
    <n v="3.57"/>
    <n v="5"/>
    <n v="45689465691.450005"/>
  </r>
  <r>
    <x v="8"/>
    <x v="34"/>
    <n v="2023"/>
    <x v="3"/>
    <n v="73469.820000000007"/>
    <n v="58.2"/>
    <n v="186"/>
    <n v="134"/>
    <s v="Coupe"/>
    <n v="5"/>
    <x v="1"/>
    <x v="0"/>
    <n v="59218"/>
    <n v="3.38"/>
    <n v="3"/>
    <n v="4350735800.7600002"/>
  </r>
  <r>
    <x v="2"/>
    <x v="35"/>
    <n v="2023"/>
    <x v="1"/>
    <n v="93392.21"/>
    <n v="85.7"/>
    <n v="297"/>
    <n v="200"/>
    <s v="SUV"/>
    <n v="5"/>
    <x v="1"/>
    <x v="0"/>
    <n v="138082"/>
    <n v="3.74"/>
    <n v="5"/>
    <n v="12895783141.220001"/>
  </r>
  <r>
    <x v="2"/>
    <x v="2"/>
    <n v="2023"/>
    <x v="4"/>
    <n v="109016.04"/>
    <n v="46.6"/>
    <n v="178"/>
    <n v="137"/>
    <s v="Hatchback"/>
    <n v="5"/>
    <x v="1"/>
    <x v="1"/>
    <n v="113179"/>
    <n v="3.59"/>
    <n v="5"/>
    <n v="12338326391.16"/>
  </r>
  <r>
    <x v="15"/>
    <x v="67"/>
    <n v="2023"/>
    <x v="2"/>
    <n v="145262.78"/>
    <n v="70.599999999999994"/>
    <n v="265"/>
    <n v="148"/>
    <s v="Hatchback"/>
    <n v="4"/>
    <x v="3"/>
    <x v="1"/>
    <n v="24347"/>
    <n v="3.55"/>
    <n v="7"/>
    <n v="3536712904.6599998"/>
  </r>
  <r>
    <x v="8"/>
    <x v="21"/>
    <n v="2023"/>
    <x v="2"/>
    <n v="51056.88"/>
    <n v="78.599999999999994"/>
    <n v="262"/>
    <n v="156"/>
    <s v="Coupe"/>
    <n v="5"/>
    <x v="1"/>
    <x v="2"/>
    <n v="59730"/>
    <n v="3.53"/>
    <n v="4"/>
    <n v="3049627442.3999996"/>
  </r>
  <r>
    <x v="2"/>
    <x v="2"/>
    <n v="2023"/>
    <x v="4"/>
    <n v="137659.6"/>
    <n v="56.7"/>
    <n v="186"/>
    <n v="142"/>
    <s v="Coupe"/>
    <n v="4"/>
    <x v="1"/>
    <x v="1"/>
    <n v="167952"/>
    <n v="3.72"/>
    <n v="6"/>
    <n v="23120205139.200001"/>
  </r>
  <r>
    <x v="12"/>
    <x v="46"/>
    <n v="2023"/>
    <x v="2"/>
    <n v="37448.46"/>
    <n v="74.099999999999994"/>
    <n v="275"/>
    <n v="165"/>
    <s v="SUV"/>
    <n v="5"/>
    <x v="1"/>
    <x v="2"/>
    <n v="12182"/>
    <n v="3.71"/>
    <n v="5"/>
    <n v="456197139.71999997"/>
  </r>
  <r>
    <x v="5"/>
    <x v="22"/>
    <n v="2023"/>
    <x v="3"/>
    <n v="55591.96"/>
    <n v="80.5"/>
    <n v="283"/>
    <n v="166"/>
    <s v="SUV"/>
    <n v="4"/>
    <x v="4"/>
    <x v="2"/>
    <n v="113695"/>
    <n v="3.55"/>
    <n v="5"/>
    <n v="6320527892.1999998"/>
  </r>
  <r>
    <x v="3"/>
    <x v="14"/>
    <n v="2023"/>
    <x v="2"/>
    <n v="51321.91"/>
    <n v="45.9"/>
    <n v="150"/>
    <n v="156"/>
    <s v="Hatchback"/>
    <n v="5"/>
    <x v="2"/>
    <x v="2"/>
    <n v="135053"/>
    <n v="3.36"/>
    <n v="4"/>
    <n v="6931177911.2300005"/>
  </r>
  <r>
    <x v="9"/>
    <x v="39"/>
    <n v="2023"/>
    <x v="4"/>
    <n v="102426.61"/>
    <n v="53.1"/>
    <n v="197"/>
    <n v="146"/>
    <s v="Truck"/>
    <n v="5"/>
    <x v="3"/>
    <x v="1"/>
    <n v="26181"/>
    <n v="3.26"/>
    <n v="5"/>
    <n v="2681631076.4099998"/>
  </r>
  <r>
    <x v="2"/>
    <x v="2"/>
    <n v="2023"/>
    <x v="3"/>
    <n v="44024.89"/>
    <n v="81.599999999999994"/>
    <n v="284"/>
    <n v="143"/>
    <s v="Truck"/>
    <n v="5"/>
    <x v="1"/>
    <x v="2"/>
    <n v="124369"/>
    <n v="3.76"/>
    <n v="5"/>
    <n v="5475331544.4099998"/>
  </r>
  <r>
    <x v="9"/>
    <x v="16"/>
    <n v="2023"/>
    <x v="4"/>
    <n v="140938.73000000001"/>
    <n v="59.3"/>
    <n v="195"/>
    <n v="137"/>
    <s v="SUV"/>
    <n v="5"/>
    <x v="3"/>
    <x v="1"/>
    <n v="51811"/>
    <n v="3.11"/>
    <n v="8"/>
    <n v="7302176540.0300007"/>
  </r>
  <r>
    <x v="5"/>
    <x v="13"/>
    <n v="2023"/>
    <x v="2"/>
    <n v="42171.81"/>
    <n v="67.099999999999994"/>
    <n v="252"/>
    <n v="155"/>
    <s v="Hatchback"/>
    <n v="4"/>
    <x v="4"/>
    <x v="2"/>
    <n v="135630"/>
    <n v="3.6"/>
    <n v="5"/>
    <n v="5719762590.2999992"/>
  </r>
  <r>
    <x v="8"/>
    <x v="34"/>
    <n v="2023"/>
    <x v="3"/>
    <n v="68553.62"/>
    <n v="71.3"/>
    <n v="243"/>
    <n v="173"/>
    <s v="SUV"/>
    <n v="5"/>
    <x v="1"/>
    <x v="0"/>
    <n v="60519"/>
    <n v="3.36"/>
    <n v="5"/>
    <n v="4148796528.7799997"/>
  </r>
  <r>
    <x v="15"/>
    <x v="67"/>
    <n v="2023"/>
    <x v="1"/>
    <n v="254017.08"/>
    <n v="118.1"/>
    <n v="408"/>
    <n v="190"/>
    <s v="Sedan"/>
    <n v="5"/>
    <x v="3"/>
    <x v="1"/>
    <n v="26159"/>
    <n v="4.2"/>
    <n v="8"/>
    <n v="6644832795.7199993"/>
  </r>
  <r>
    <x v="8"/>
    <x v="60"/>
    <n v="2023"/>
    <x v="2"/>
    <n v="67976.38"/>
    <n v="49"/>
    <n v="179"/>
    <n v="166"/>
    <s v="SUV"/>
    <n v="4"/>
    <x v="1"/>
    <x v="0"/>
    <n v="21067"/>
    <n v="3.27"/>
    <n v="3"/>
    <n v="1432058397.46"/>
  </r>
  <r>
    <x v="0"/>
    <x v="47"/>
    <n v="2023"/>
    <x v="3"/>
    <n v="69285.919999999998"/>
    <n v="67.099999999999994"/>
    <n v="201"/>
    <n v="168"/>
    <s v="Hatchback"/>
    <n v="5"/>
    <x v="0"/>
    <x v="0"/>
    <n v="15625"/>
    <n v="3.58"/>
    <n v="4"/>
    <n v="1082592500"/>
  </r>
  <r>
    <x v="2"/>
    <x v="2"/>
    <n v="2023"/>
    <x v="1"/>
    <n v="82511.11"/>
    <n v="85.6"/>
    <n v="289"/>
    <n v="180"/>
    <s v="Coupe"/>
    <n v="4"/>
    <x v="1"/>
    <x v="0"/>
    <n v="243479"/>
    <n v="3.78"/>
    <n v="5"/>
    <n v="20089722551.689999"/>
  </r>
  <r>
    <x v="5"/>
    <x v="15"/>
    <n v="2023"/>
    <x v="4"/>
    <n v="102070.65"/>
    <n v="49.5"/>
    <n v="174"/>
    <n v="163"/>
    <s v="SUV"/>
    <n v="3"/>
    <x v="4"/>
    <x v="1"/>
    <n v="148039"/>
    <n v="3.37"/>
    <n v="4"/>
    <n v="15110436955.349998"/>
  </r>
  <r>
    <x v="5"/>
    <x v="7"/>
    <n v="2023"/>
    <x v="4"/>
    <n v="96493.02"/>
    <n v="59.1"/>
    <n v="207"/>
    <n v="146"/>
    <s v="Van"/>
    <n v="5"/>
    <x v="4"/>
    <x v="0"/>
    <n v="123691"/>
    <n v="3.45"/>
    <n v="4"/>
    <n v="11935318136.82"/>
  </r>
  <r>
    <x v="5"/>
    <x v="22"/>
    <n v="2023"/>
    <x v="2"/>
    <n v="52108.05"/>
    <n v="65.900000000000006"/>
    <n v="230"/>
    <n v="152"/>
    <s v="SUV"/>
    <n v="5"/>
    <x v="4"/>
    <x v="2"/>
    <n v="98868"/>
    <n v="3.23"/>
    <n v="3"/>
    <n v="5151818687.4000006"/>
  </r>
  <r>
    <x v="4"/>
    <x v="40"/>
    <n v="2023"/>
    <x v="2"/>
    <n v="93510.78"/>
    <n v="53"/>
    <n v="195"/>
    <n v="161"/>
    <s v="Hatchback"/>
    <n v="5"/>
    <x v="3"/>
    <x v="0"/>
    <n v="70832"/>
    <n v="3.16"/>
    <n v="6"/>
    <n v="6623555568.96"/>
  </r>
  <r>
    <x v="7"/>
    <x v="44"/>
    <n v="2023"/>
    <x v="4"/>
    <n v="87378.559999999998"/>
    <n v="46.6"/>
    <n v="155"/>
    <n v="162"/>
    <s v="Truck"/>
    <n v="3"/>
    <x v="3"/>
    <x v="0"/>
    <n v="280958"/>
    <n v="3.26"/>
    <n v="5"/>
    <n v="24549705460.48"/>
  </r>
  <r>
    <x v="6"/>
    <x v="9"/>
    <n v="2023"/>
    <x v="0"/>
    <n v="51553.1"/>
    <n v="75.3"/>
    <n v="265"/>
    <n v="174"/>
    <s v="Coupe"/>
    <n v="5"/>
    <x v="4"/>
    <x v="2"/>
    <n v="110986"/>
    <n v="3.76"/>
    <n v="4"/>
    <n v="5721672356.5999994"/>
  </r>
  <r>
    <x v="3"/>
    <x v="42"/>
    <n v="2023"/>
    <x v="3"/>
    <n v="70732.36"/>
    <n v="45.3"/>
    <n v="151"/>
    <n v="161"/>
    <s v="Hatchback"/>
    <n v="4"/>
    <x v="2"/>
    <x v="0"/>
    <n v="198624"/>
    <n v="3.14"/>
    <n v="3"/>
    <n v="14049144272.639999"/>
  </r>
  <r>
    <x v="9"/>
    <x v="16"/>
    <n v="2023"/>
    <x v="3"/>
    <n v="106048.4"/>
    <n v="47.8"/>
    <n v="195"/>
    <n v="167"/>
    <s v="Hatchback"/>
    <n v="5"/>
    <x v="3"/>
    <x v="1"/>
    <n v="52016"/>
    <n v="3.3"/>
    <n v="5"/>
    <n v="5516213574.3999996"/>
  </r>
  <r>
    <x v="7"/>
    <x v="10"/>
    <n v="2023"/>
    <x v="1"/>
    <n v="44275.35"/>
    <n v="90.4"/>
    <n v="308"/>
    <n v="180"/>
    <s v="Hatchback"/>
    <n v="5"/>
    <x v="3"/>
    <x v="2"/>
    <n v="209760"/>
    <n v="3.52"/>
    <n v="3"/>
    <n v="9287197416"/>
  </r>
  <r>
    <x v="12"/>
    <x v="45"/>
    <n v="2023"/>
    <x v="2"/>
    <n v="38369.910000000003"/>
    <n v="46.8"/>
    <n v="177"/>
    <n v="139"/>
    <s v="SUV"/>
    <n v="5"/>
    <x v="1"/>
    <x v="2"/>
    <n v="19280"/>
    <n v="3.34"/>
    <n v="3"/>
    <n v="739771864.80000007"/>
  </r>
  <r>
    <x v="2"/>
    <x v="2"/>
    <n v="2023"/>
    <x v="0"/>
    <n v="82872.710000000006"/>
    <n v="88.9"/>
    <n v="322"/>
    <n v="182"/>
    <s v="Coupe"/>
    <n v="5"/>
    <x v="1"/>
    <x v="0"/>
    <n v="233601"/>
    <n v="3.61"/>
    <n v="5"/>
    <n v="19359147928.710003"/>
  </r>
  <r>
    <x v="2"/>
    <x v="35"/>
    <n v="2023"/>
    <x v="3"/>
    <n v="43959.45"/>
    <n v="63.9"/>
    <n v="211"/>
    <n v="148"/>
    <s v="SUV"/>
    <n v="3"/>
    <x v="1"/>
    <x v="2"/>
    <n v="124556"/>
    <n v="3.97"/>
    <n v="4"/>
    <n v="5475413254.1999998"/>
  </r>
  <r>
    <x v="5"/>
    <x v="22"/>
    <n v="2023"/>
    <x v="2"/>
    <n v="65534.18"/>
    <n v="84.3"/>
    <n v="248"/>
    <n v="176"/>
    <s v="SUV"/>
    <n v="4"/>
    <x v="4"/>
    <x v="0"/>
    <n v="115671"/>
    <n v="3.43"/>
    <n v="4"/>
    <n v="7580404134.7799997"/>
  </r>
  <r>
    <x v="6"/>
    <x v="63"/>
    <n v="2023"/>
    <x v="3"/>
    <n v="66319.66"/>
    <n v="72.900000000000006"/>
    <n v="225"/>
    <n v="134"/>
    <s v="Van"/>
    <n v="4"/>
    <x v="4"/>
    <x v="0"/>
    <n v="139935"/>
    <n v="3.2"/>
    <n v="3"/>
    <n v="9280441622.1000004"/>
  </r>
  <r>
    <x v="4"/>
    <x v="40"/>
    <n v="2023"/>
    <x v="3"/>
    <n v="63313.85"/>
    <n v="56.2"/>
    <n v="189"/>
    <n v="138"/>
    <s v="Van"/>
    <n v="4"/>
    <x v="3"/>
    <x v="2"/>
    <n v="25175"/>
    <n v="3.27"/>
    <n v="6"/>
    <n v="1593926173.75"/>
  </r>
  <r>
    <x v="7"/>
    <x v="44"/>
    <n v="2023"/>
    <x v="1"/>
    <n v="62312.34"/>
    <n v="116.7"/>
    <n v="420"/>
    <n v="191"/>
    <s v="Sedan"/>
    <n v="4"/>
    <x v="3"/>
    <x v="2"/>
    <n v="298301"/>
    <n v="3.59"/>
    <n v="3"/>
    <n v="18587833334.34"/>
  </r>
  <r>
    <x v="3"/>
    <x v="6"/>
    <n v="2023"/>
    <x v="1"/>
    <n v="62874.95"/>
    <n v="71.7"/>
    <n v="262"/>
    <n v="200"/>
    <s v="Sedan"/>
    <n v="4"/>
    <x v="2"/>
    <x v="2"/>
    <n v="207361"/>
    <n v="3.74"/>
    <n v="4"/>
    <n v="13037812506.949999"/>
  </r>
  <r>
    <x v="9"/>
    <x v="38"/>
    <n v="2023"/>
    <x v="2"/>
    <n v="98461.71"/>
    <n v="53"/>
    <n v="185"/>
    <n v="142"/>
    <s v="Sedan"/>
    <n v="5"/>
    <x v="3"/>
    <x v="0"/>
    <n v="22686"/>
    <n v="3"/>
    <n v="7"/>
    <n v="2233702353.0599999"/>
  </r>
  <r>
    <x v="8"/>
    <x v="60"/>
    <n v="2023"/>
    <x v="4"/>
    <n v="61500.69"/>
    <n v="61.2"/>
    <n v="209"/>
    <n v="154"/>
    <s v="Sedan"/>
    <n v="5"/>
    <x v="1"/>
    <x v="2"/>
    <n v="52208"/>
    <n v="3.39"/>
    <n v="4"/>
    <n v="3210828023.52"/>
  </r>
  <r>
    <x v="2"/>
    <x v="17"/>
    <n v="2023"/>
    <x v="3"/>
    <n v="123171.93"/>
    <n v="71.8"/>
    <n v="246"/>
    <n v="150"/>
    <s v="Hatchback"/>
    <n v="4"/>
    <x v="1"/>
    <x v="1"/>
    <n v="165942"/>
    <n v="3.71"/>
    <n v="5"/>
    <n v="20439396408.059998"/>
  </r>
  <r>
    <x v="7"/>
    <x v="28"/>
    <n v="2023"/>
    <x v="2"/>
    <n v="31850.78"/>
    <n v="51.4"/>
    <n v="199"/>
    <n v="149"/>
    <s v="Sedan"/>
    <n v="5"/>
    <x v="3"/>
    <x v="3"/>
    <n v="272903"/>
    <n v="3.24"/>
    <n v="3"/>
    <n v="8692173414.3400002"/>
  </r>
  <r>
    <x v="15"/>
    <x v="43"/>
    <n v="2023"/>
    <x v="0"/>
    <n v="139594.69"/>
    <n v="75.599999999999994"/>
    <n v="252"/>
    <n v="179"/>
    <s v="Hatchback"/>
    <n v="3"/>
    <x v="3"/>
    <x v="1"/>
    <n v="9428"/>
    <n v="3.64"/>
    <n v="8"/>
    <n v="1316098737.3199999"/>
  </r>
  <r>
    <x v="5"/>
    <x v="7"/>
    <n v="2023"/>
    <x v="3"/>
    <n v="42128.98"/>
    <n v="66.599999999999994"/>
    <n v="226"/>
    <n v="145"/>
    <s v="Hatchback"/>
    <n v="4"/>
    <x v="4"/>
    <x v="2"/>
    <n v="121472"/>
    <n v="3.23"/>
    <n v="4"/>
    <n v="5117491458.5600004"/>
  </r>
  <r>
    <x v="3"/>
    <x v="11"/>
    <n v="2023"/>
    <x v="2"/>
    <n v="52361.13"/>
    <n v="60"/>
    <n v="186"/>
    <n v="142"/>
    <s v="Hatchback"/>
    <n v="4"/>
    <x v="2"/>
    <x v="2"/>
    <n v="203886"/>
    <n v="3.06"/>
    <n v="3"/>
    <n v="10675701351.18"/>
  </r>
  <r>
    <x v="3"/>
    <x v="8"/>
    <n v="2023"/>
    <x v="4"/>
    <n v="78664.3"/>
    <n v="82.8"/>
    <n v="301"/>
    <n v="137"/>
    <s v="Truck"/>
    <n v="5"/>
    <x v="2"/>
    <x v="0"/>
    <n v="238674"/>
    <n v="3.59"/>
    <n v="4"/>
    <n v="18775123138.200001"/>
  </r>
  <r>
    <x v="2"/>
    <x v="35"/>
    <n v="2023"/>
    <x v="1"/>
    <n v="84447.94"/>
    <n v="72.5"/>
    <n v="255"/>
    <n v="200"/>
    <s v="Sedan"/>
    <n v="4"/>
    <x v="1"/>
    <x v="0"/>
    <n v="103295"/>
    <n v="3.51"/>
    <n v="6"/>
    <n v="8723049962.3000011"/>
  </r>
  <r>
    <x v="8"/>
    <x v="21"/>
    <n v="2023"/>
    <x v="3"/>
    <n v="38404.42"/>
    <n v="49.1"/>
    <n v="193"/>
    <n v="148"/>
    <s v="Truck"/>
    <n v="3"/>
    <x v="1"/>
    <x v="2"/>
    <n v="49683"/>
    <n v="3.43"/>
    <n v="4"/>
    <n v="1908046798.8599999"/>
  </r>
  <r>
    <x v="3"/>
    <x v="8"/>
    <n v="2023"/>
    <x v="0"/>
    <n v="77360.56"/>
    <n v="106.1"/>
    <n v="386"/>
    <n v="176"/>
    <s v="Truck"/>
    <n v="5"/>
    <x v="2"/>
    <x v="0"/>
    <n v="154361"/>
    <n v="3.89"/>
    <n v="4"/>
    <n v="11941453402.16"/>
  </r>
  <r>
    <x v="3"/>
    <x v="6"/>
    <n v="2023"/>
    <x v="0"/>
    <n v="48954.46"/>
    <n v="94.7"/>
    <n v="326"/>
    <n v="184"/>
    <s v="Van"/>
    <n v="5"/>
    <x v="2"/>
    <x v="2"/>
    <n v="200483"/>
    <n v="3.75"/>
    <n v="4"/>
    <n v="9814537004.1800003"/>
  </r>
  <r>
    <x v="3"/>
    <x v="6"/>
    <n v="2023"/>
    <x v="2"/>
    <n v="53518.98"/>
    <n v="71.2"/>
    <n v="260"/>
    <n v="153"/>
    <s v="Hatchback"/>
    <n v="4"/>
    <x v="2"/>
    <x v="2"/>
    <n v="222794"/>
    <n v="3.15"/>
    <n v="4"/>
    <n v="11923707630.120001"/>
  </r>
  <r>
    <x v="13"/>
    <x v="57"/>
    <n v="2023"/>
    <x v="0"/>
    <n v="133058.62"/>
    <n v="89.4"/>
    <n v="309"/>
    <n v="158"/>
    <s v="Truck"/>
    <n v="5"/>
    <x v="3"/>
    <x v="1"/>
    <n v="29039"/>
    <n v="3.99"/>
    <n v="8"/>
    <n v="3863889266.1799998"/>
  </r>
  <r>
    <x v="2"/>
    <x v="5"/>
    <n v="2023"/>
    <x v="3"/>
    <n v="53432.36"/>
    <n v="79.599999999999994"/>
    <n v="289"/>
    <n v="146"/>
    <s v="Coupe"/>
    <n v="5"/>
    <x v="1"/>
    <x v="2"/>
    <n v="490497"/>
    <n v="3.93"/>
    <n v="6"/>
    <n v="26208412282.920002"/>
  </r>
  <r>
    <x v="6"/>
    <x v="50"/>
    <n v="2023"/>
    <x v="0"/>
    <n v="40702.92"/>
    <n v="77.5"/>
    <n v="277"/>
    <n v="183"/>
    <s v="SUV"/>
    <n v="4"/>
    <x v="4"/>
    <x v="2"/>
    <n v="128695"/>
    <n v="3.64"/>
    <n v="4"/>
    <n v="5238262289.3999996"/>
  </r>
  <r>
    <x v="4"/>
    <x v="32"/>
    <n v="2023"/>
    <x v="2"/>
    <n v="67690.27"/>
    <n v="64.3"/>
    <n v="232"/>
    <n v="158"/>
    <s v="Sedan"/>
    <n v="4"/>
    <x v="3"/>
    <x v="0"/>
    <n v="63429"/>
    <n v="3.38"/>
    <n v="5"/>
    <n v="4293526135.8300004"/>
  </r>
  <r>
    <x v="4"/>
    <x v="4"/>
    <n v="2023"/>
    <x v="2"/>
    <n v="103373.32"/>
    <n v="48"/>
    <n v="165"/>
    <n v="147"/>
    <s v="Sedan"/>
    <n v="4"/>
    <x v="3"/>
    <x v="1"/>
    <n v="46342"/>
    <n v="3.62"/>
    <n v="5"/>
    <n v="4790526395.4400005"/>
  </r>
  <r>
    <x v="4"/>
    <x v="4"/>
    <n v="2023"/>
    <x v="4"/>
    <n v="94046.97"/>
    <n v="47.5"/>
    <n v="160"/>
    <n v="155"/>
    <s v="Truck"/>
    <n v="5"/>
    <x v="3"/>
    <x v="0"/>
    <n v="36637"/>
    <n v="3.22"/>
    <n v="7"/>
    <n v="3445598839.8899999"/>
  </r>
  <r>
    <x v="14"/>
    <x v="41"/>
    <n v="2023"/>
    <x v="3"/>
    <n v="65637.97"/>
    <n v="69.5"/>
    <n v="270"/>
    <n v="162"/>
    <s v="Hatchback"/>
    <n v="5"/>
    <x v="2"/>
    <x v="0"/>
    <n v="24026"/>
    <n v="3.35"/>
    <n v="4"/>
    <n v="1577017867.22"/>
  </r>
  <r>
    <x v="9"/>
    <x v="39"/>
    <n v="2023"/>
    <x v="4"/>
    <n v="86679.02"/>
    <n v="53.8"/>
    <n v="171"/>
    <n v="146"/>
    <s v="Truck"/>
    <n v="5"/>
    <x v="3"/>
    <x v="0"/>
    <n v="68670"/>
    <n v="3.23"/>
    <n v="6"/>
    <n v="5952248303.4000006"/>
  </r>
  <r>
    <x v="8"/>
    <x v="34"/>
    <n v="2023"/>
    <x v="3"/>
    <n v="42429.66"/>
    <n v="63.3"/>
    <n v="218"/>
    <n v="140"/>
    <s v="Sedan"/>
    <n v="3"/>
    <x v="1"/>
    <x v="2"/>
    <n v="37998"/>
    <n v="3.47"/>
    <n v="3"/>
    <n v="1612242220.6800001"/>
  </r>
  <r>
    <x v="5"/>
    <x v="15"/>
    <n v="2023"/>
    <x v="4"/>
    <n v="59926.46"/>
    <n v="66.3"/>
    <n v="219"/>
    <n v="162"/>
    <s v="SUV"/>
    <n v="5"/>
    <x v="4"/>
    <x v="2"/>
    <n v="144832"/>
    <n v="3.14"/>
    <n v="4"/>
    <n v="8679269054.7199993"/>
  </r>
  <r>
    <x v="2"/>
    <x v="17"/>
    <n v="2023"/>
    <x v="3"/>
    <n v="106795.24"/>
    <n v="45.7"/>
    <n v="163"/>
    <n v="178"/>
    <s v="Van"/>
    <n v="5"/>
    <x v="1"/>
    <x v="1"/>
    <n v="212365"/>
    <n v="3.61"/>
    <n v="5"/>
    <n v="22679571142.600002"/>
  </r>
  <r>
    <x v="2"/>
    <x v="2"/>
    <n v="2023"/>
    <x v="4"/>
    <n v="64307.39"/>
    <n v="44.8"/>
    <n v="171"/>
    <n v="147"/>
    <s v="Hatchback"/>
    <n v="4"/>
    <x v="1"/>
    <x v="2"/>
    <n v="138801"/>
    <n v="3.7"/>
    <n v="5"/>
    <n v="8925930039.3899994"/>
  </r>
  <r>
    <x v="3"/>
    <x v="3"/>
    <n v="2023"/>
    <x v="0"/>
    <n v="99850.08"/>
    <n v="105.9"/>
    <n v="400"/>
    <n v="171"/>
    <s v="Truck"/>
    <n v="5"/>
    <x v="2"/>
    <x v="0"/>
    <n v="207644"/>
    <n v="3.65"/>
    <n v="3"/>
    <n v="20733270011.52"/>
  </r>
  <r>
    <x v="12"/>
    <x v="45"/>
    <n v="2023"/>
    <x v="2"/>
    <n v="59074.75"/>
    <n v="54.5"/>
    <n v="198"/>
    <n v="163"/>
    <s v="Coupe"/>
    <n v="4"/>
    <x v="1"/>
    <x v="2"/>
    <n v="15584"/>
    <n v="3.31"/>
    <n v="4"/>
    <n v="920620904"/>
  </r>
  <r>
    <x v="2"/>
    <x v="5"/>
    <n v="2023"/>
    <x v="3"/>
    <n v="100758.31"/>
    <n v="46"/>
    <n v="171"/>
    <n v="175"/>
    <s v="SUV"/>
    <n v="5"/>
    <x v="1"/>
    <x v="1"/>
    <n v="472436"/>
    <n v="3.4"/>
    <n v="4"/>
    <n v="47601852943.159996"/>
  </r>
  <r>
    <x v="8"/>
    <x v="34"/>
    <n v="2023"/>
    <x v="1"/>
    <n v="78508.55"/>
    <n v="73"/>
    <n v="274"/>
    <n v="200"/>
    <s v="Van"/>
    <n v="4"/>
    <x v="1"/>
    <x v="0"/>
    <n v="51688"/>
    <n v="3.3"/>
    <n v="3"/>
    <n v="4057949932.4000001"/>
  </r>
  <r>
    <x v="3"/>
    <x v="42"/>
    <n v="2023"/>
    <x v="0"/>
    <n v="44084.51"/>
    <n v="94"/>
    <n v="330"/>
    <n v="179"/>
    <s v="Coupe"/>
    <n v="4"/>
    <x v="2"/>
    <x v="2"/>
    <n v="187463"/>
    <n v="3.67"/>
    <n v="3"/>
    <n v="8264214498.1300001"/>
  </r>
  <r>
    <x v="7"/>
    <x v="44"/>
    <n v="2023"/>
    <x v="1"/>
    <n v="64071.199999999997"/>
    <n v="77.7"/>
    <n v="297"/>
    <n v="191"/>
    <s v="Coupe"/>
    <n v="3"/>
    <x v="3"/>
    <x v="2"/>
    <n v="290103"/>
    <n v="3.66"/>
    <n v="5"/>
    <n v="18587247333.599998"/>
  </r>
  <r>
    <x v="9"/>
    <x v="19"/>
    <n v="2023"/>
    <x v="2"/>
    <n v="89651.14"/>
    <n v="73.099999999999994"/>
    <n v="249"/>
    <n v="165"/>
    <s v="Truck"/>
    <n v="4"/>
    <x v="3"/>
    <x v="0"/>
    <n v="72062"/>
    <n v="3.37"/>
    <n v="6"/>
    <n v="6460440450.6800003"/>
  </r>
  <r>
    <x v="2"/>
    <x v="17"/>
    <n v="2023"/>
    <x v="1"/>
    <n v="125634.38"/>
    <n v="79.599999999999994"/>
    <n v="268"/>
    <n v="195"/>
    <s v="Hatchback"/>
    <n v="5"/>
    <x v="1"/>
    <x v="1"/>
    <n v="223587"/>
    <n v="3.94"/>
    <n v="4"/>
    <n v="28090214121.060001"/>
  </r>
  <r>
    <x v="0"/>
    <x v="0"/>
    <n v="2023"/>
    <x v="4"/>
    <n v="52160.99"/>
    <n v="69.400000000000006"/>
    <n v="234"/>
    <n v="169"/>
    <s v="SUV"/>
    <n v="5"/>
    <x v="0"/>
    <x v="2"/>
    <n v="7110"/>
    <n v="3.56"/>
    <n v="4"/>
    <n v="370864638.89999998"/>
  </r>
  <r>
    <x v="2"/>
    <x v="31"/>
    <n v="2023"/>
    <x v="3"/>
    <n v="35071.56"/>
    <n v="52.4"/>
    <n v="192"/>
    <n v="168"/>
    <s v="Truck"/>
    <n v="5"/>
    <x v="1"/>
    <x v="2"/>
    <n v="139628"/>
    <n v="3.17"/>
    <n v="5"/>
    <n v="4896971779.6799994"/>
  </r>
  <r>
    <x v="2"/>
    <x v="31"/>
    <n v="2023"/>
    <x v="4"/>
    <n v="118800.8"/>
    <n v="54.2"/>
    <n v="203"/>
    <n v="162"/>
    <s v="Truck"/>
    <n v="4"/>
    <x v="1"/>
    <x v="1"/>
    <n v="197139"/>
    <n v="3.38"/>
    <n v="5"/>
    <n v="23420270911.200001"/>
  </r>
  <r>
    <x v="7"/>
    <x v="10"/>
    <n v="2023"/>
    <x v="3"/>
    <n v="51298.81"/>
    <n v="63.2"/>
    <n v="237"/>
    <n v="162"/>
    <s v="Coupe"/>
    <n v="5"/>
    <x v="3"/>
    <x v="2"/>
    <n v="222298"/>
    <n v="3.5"/>
    <n v="3"/>
    <n v="11403622865.379999"/>
  </r>
  <r>
    <x v="9"/>
    <x v="55"/>
    <n v="2023"/>
    <x v="1"/>
    <n v="130983.67"/>
    <n v="110.9"/>
    <n v="390"/>
    <n v="200"/>
    <s v="Van"/>
    <n v="5"/>
    <x v="3"/>
    <x v="1"/>
    <n v="64205"/>
    <n v="3.82"/>
    <n v="5"/>
    <n v="8409806532.3499994"/>
  </r>
  <r>
    <x v="2"/>
    <x v="35"/>
    <n v="2023"/>
    <x v="4"/>
    <n v="53973.57"/>
    <n v="82.6"/>
    <n v="301"/>
    <n v="143"/>
    <s v="Sedan"/>
    <n v="5"/>
    <x v="1"/>
    <x v="2"/>
    <n v="206669"/>
    <n v="3.87"/>
    <n v="5"/>
    <n v="11154663738.33"/>
  </r>
  <r>
    <x v="9"/>
    <x v="39"/>
    <n v="2023"/>
    <x v="4"/>
    <n v="81481.72"/>
    <n v="64.8"/>
    <n v="209"/>
    <n v="180"/>
    <s v="Sedan"/>
    <n v="4"/>
    <x v="3"/>
    <x v="0"/>
    <n v="60859"/>
    <n v="3.29"/>
    <n v="8"/>
    <n v="4958895997.4800005"/>
  </r>
  <r>
    <x v="13"/>
    <x v="33"/>
    <n v="2023"/>
    <x v="0"/>
    <n v="142535.28"/>
    <n v="94.3"/>
    <n v="305"/>
    <n v="169"/>
    <s v="Sedan"/>
    <n v="4"/>
    <x v="3"/>
    <x v="1"/>
    <n v="32410"/>
    <n v="3.94"/>
    <n v="8"/>
    <n v="4619568424.8000002"/>
  </r>
  <r>
    <x v="3"/>
    <x v="14"/>
    <n v="2023"/>
    <x v="1"/>
    <n v="54457.48"/>
    <n v="80.599999999999994"/>
    <n v="251"/>
    <n v="193"/>
    <s v="Truck"/>
    <n v="4"/>
    <x v="2"/>
    <x v="2"/>
    <n v="205191"/>
    <n v="3.38"/>
    <n v="4"/>
    <n v="11174184778.68"/>
  </r>
  <r>
    <x v="3"/>
    <x v="3"/>
    <n v="2023"/>
    <x v="0"/>
    <n v="35900.230000000003"/>
    <n v="88"/>
    <n v="302"/>
    <n v="198"/>
    <s v="SUV"/>
    <n v="5"/>
    <x v="2"/>
    <x v="2"/>
    <n v="176515"/>
    <n v="3.84"/>
    <n v="4"/>
    <n v="6336929098.4500008"/>
  </r>
  <r>
    <x v="3"/>
    <x v="8"/>
    <n v="2023"/>
    <x v="4"/>
    <n v="25794.27"/>
    <n v="50.1"/>
    <n v="188"/>
    <n v="135"/>
    <s v="Truck"/>
    <n v="3"/>
    <x v="2"/>
    <x v="3"/>
    <n v="112218"/>
    <n v="3.59"/>
    <n v="4"/>
    <n v="2894581390.8600001"/>
  </r>
  <r>
    <x v="13"/>
    <x v="57"/>
    <n v="2023"/>
    <x v="2"/>
    <n v="82191.199999999997"/>
    <n v="71.099999999999994"/>
    <n v="281"/>
    <n v="154"/>
    <s v="Sedan"/>
    <n v="4"/>
    <x v="3"/>
    <x v="0"/>
    <n v="59566"/>
    <n v="3.91"/>
    <n v="8"/>
    <n v="4895801019.1999998"/>
  </r>
  <r>
    <x v="5"/>
    <x v="23"/>
    <n v="2023"/>
    <x v="2"/>
    <n v="37474.58"/>
    <n v="58.6"/>
    <n v="209"/>
    <n v="141"/>
    <s v="Truck"/>
    <n v="5"/>
    <x v="4"/>
    <x v="2"/>
    <n v="67143"/>
    <n v="3.33"/>
    <n v="4"/>
    <n v="2516155724.9400001"/>
  </r>
  <r>
    <x v="6"/>
    <x v="53"/>
    <n v="2023"/>
    <x v="2"/>
    <n v="37474.79"/>
    <n v="56.5"/>
    <n v="218"/>
    <n v="134"/>
    <s v="Van"/>
    <n v="4"/>
    <x v="4"/>
    <x v="2"/>
    <n v="129662"/>
    <n v="3.46"/>
    <n v="3"/>
    <n v="4859056220.9800005"/>
  </r>
  <r>
    <x v="7"/>
    <x v="24"/>
    <n v="2023"/>
    <x v="4"/>
    <n v="69215.27"/>
    <n v="62"/>
    <n v="197"/>
    <n v="136"/>
    <s v="Truck"/>
    <n v="5"/>
    <x v="3"/>
    <x v="0"/>
    <n v="211559"/>
    <n v="3.61"/>
    <n v="4"/>
    <n v="14643113305.93"/>
  </r>
  <r>
    <x v="6"/>
    <x v="63"/>
    <n v="2023"/>
    <x v="2"/>
    <n v="41678.26"/>
    <n v="66.400000000000006"/>
    <n v="252"/>
    <n v="155"/>
    <s v="Van"/>
    <n v="4"/>
    <x v="4"/>
    <x v="2"/>
    <n v="52756"/>
    <n v="3.29"/>
    <n v="4"/>
    <n v="2198778284.5599999"/>
  </r>
  <r>
    <x v="12"/>
    <x v="52"/>
    <n v="2023"/>
    <x v="1"/>
    <n v="60380.4"/>
    <n v="91.2"/>
    <n v="308"/>
    <n v="199"/>
    <s v="Van"/>
    <n v="3"/>
    <x v="1"/>
    <x v="2"/>
    <n v="8909"/>
    <n v="3.76"/>
    <n v="3"/>
    <n v="537928983.60000002"/>
  </r>
  <r>
    <x v="9"/>
    <x v="55"/>
    <n v="2023"/>
    <x v="3"/>
    <n v="101992.19"/>
    <n v="49.3"/>
    <n v="168"/>
    <n v="165"/>
    <s v="Sedan"/>
    <n v="5"/>
    <x v="3"/>
    <x v="1"/>
    <n v="24913"/>
    <n v="3.34"/>
    <n v="6"/>
    <n v="2540931429.4700003"/>
  </r>
  <r>
    <x v="12"/>
    <x v="52"/>
    <n v="2023"/>
    <x v="1"/>
    <n v="77802.210000000006"/>
    <n v="81.5"/>
    <n v="300"/>
    <n v="195"/>
    <s v="Truck"/>
    <n v="5"/>
    <x v="1"/>
    <x v="0"/>
    <n v="18415"/>
    <n v="3.87"/>
    <n v="4"/>
    <n v="1432727697.1500001"/>
  </r>
  <r>
    <x v="3"/>
    <x v="14"/>
    <n v="2023"/>
    <x v="2"/>
    <n v="40160.18"/>
    <n v="61.8"/>
    <n v="214"/>
    <n v="164"/>
    <s v="Hatchback"/>
    <n v="5"/>
    <x v="2"/>
    <x v="2"/>
    <n v="234883"/>
    <n v="3.4"/>
    <n v="3"/>
    <n v="9432943558.9400005"/>
  </r>
  <r>
    <x v="5"/>
    <x v="13"/>
    <n v="2023"/>
    <x v="3"/>
    <n v="66396.28"/>
    <n v="40.4"/>
    <n v="150"/>
    <n v="172"/>
    <s v="Sedan"/>
    <n v="4"/>
    <x v="4"/>
    <x v="0"/>
    <n v="93251"/>
    <n v="3.17"/>
    <n v="3"/>
    <n v="6191519506.2799997"/>
  </r>
  <r>
    <x v="2"/>
    <x v="17"/>
    <n v="2023"/>
    <x v="2"/>
    <n v="50661.72"/>
    <n v="45"/>
    <n v="150"/>
    <n v="132"/>
    <s v="Truck"/>
    <n v="5"/>
    <x v="1"/>
    <x v="2"/>
    <n v="240645"/>
    <n v="3.26"/>
    <n v="6"/>
    <n v="12191489609.4"/>
  </r>
  <r>
    <x v="11"/>
    <x v="56"/>
    <n v="2023"/>
    <x v="2"/>
    <n v="71764.23"/>
    <n v="63.3"/>
    <n v="216"/>
    <n v="179"/>
    <s v="Coupe"/>
    <n v="4"/>
    <x v="1"/>
    <x v="0"/>
    <n v="16601"/>
    <n v="3.25"/>
    <n v="4"/>
    <n v="1191357982.23"/>
  </r>
  <r>
    <x v="7"/>
    <x v="28"/>
    <n v="2023"/>
    <x v="4"/>
    <n v="99863.63"/>
    <n v="66.5"/>
    <n v="227"/>
    <n v="134"/>
    <s v="Truck"/>
    <n v="5"/>
    <x v="3"/>
    <x v="0"/>
    <n v="237739"/>
    <n v="3.79"/>
    <n v="4"/>
    <n v="23741479532.57"/>
  </r>
  <r>
    <x v="12"/>
    <x v="46"/>
    <n v="2023"/>
    <x v="0"/>
    <n v="33127.160000000003"/>
    <n v="87.4"/>
    <n v="303"/>
    <n v="160"/>
    <s v="SUV"/>
    <n v="4"/>
    <x v="1"/>
    <x v="3"/>
    <n v="19880"/>
    <n v="3.66"/>
    <n v="5"/>
    <n v="658567940.80000007"/>
  </r>
  <r>
    <x v="8"/>
    <x v="34"/>
    <n v="2023"/>
    <x v="1"/>
    <n v="66131.67"/>
    <n v="96.5"/>
    <n v="322"/>
    <n v="200"/>
    <s v="Truck"/>
    <n v="5"/>
    <x v="1"/>
    <x v="0"/>
    <n v="34351"/>
    <n v="3.53"/>
    <n v="4"/>
    <n v="2271688996.1700001"/>
  </r>
  <r>
    <x v="3"/>
    <x v="37"/>
    <n v="2023"/>
    <x v="1"/>
    <n v="25921.47"/>
    <n v="101.8"/>
    <n v="344"/>
    <n v="188"/>
    <s v="Truck"/>
    <n v="5"/>
    <x v="2"/>
    <x v="3"/>
    <n v="110847"/>
    <n v="3.94"/>
    <n v="4"/>
    <n v="2873317185.0900002"/>
  </r>
  <r>
    <x v="6"/>
    <x v="63"/>
    <n v="2023"/>
    <x v="3"/>
    <n v="53342.39"/>
    <n v="42.5"/>
    <n v="150"/>
    <n v="179"/>
    <s v="Sedan"/>
    <n v="4"/>
    <x v="4"/>
    <x v="2"/>
    <n v="142003"/>
    <n v="3.16"/>
    <n v="4"/>
    <n v="7574779407.1700001"/>
  </r>
  <r>
    <x v="5"/>
    <x v="22"/>
    <n v="2023"/>
    <x v="3"/>
    <n v="33510.99"/>
    <n v="40.1"/>
    <n v="152"/>
    <n v="135"/>
    <s v="SUV"/>
    <n v="4"/>
    <x v="4"/>
    <x v="3"/>
    <n v="137108"/>
    <n v="3.43"/>
    <n v="4"/>
    <n v="4594624816.9200001"/>
  </r>
  <r>
    <x v="3"/>
    <x v="11"/>
    <n v="2023"/>
    <x v="3"/>
    <n v="84139.98"/>
    <n v="72.3"/>
    <n v="261"/>
    <n v="130"/>
    <s v="Truck"/>
    <n v="5"/>
    <x v="2"/>
    <x v="0"/>
    <n v="236926"/>
    <n v="3.41"/>
    <n v="3"/>
    <n v="19934948901.48"/>
  </r>
  <r>
    <x v="14"/>
    <x v="68"/>
    <n v="2023"/>
    <x v="4"/>
    <n v="114240.51"/>
    <n v="65.599999999999994"/>
    <n v="218"/>
    <n v="162"/>
    <s v="Truck"/>
    <n v="5"/>
    <x v="2"/>
    <x v="1"/>
    <n v="26747"/>
    <n v="3.64"/>
    <n v="5"/>
    <n v="3055590920.9699998"/>
  </r>
  <r>
    <x v="12"/>
    <x v="29"/>
    <n v="2023"/>
    <x v="4"/>
    <n v="41711.199999999997"/>
    <n v="58.9"/>
    <n v="204"/>
    <n v="135"/>
    <s v="Hatchback"/>
    <n v="4"/>
    <x v="1"/>
    <x v="2"/>
    <n v="776"/>
    <n v="3.17"/>
    <n v="4"/>
    <n v="32367891.199999999"/>
  </r>
  <r>
    <x v="7"/>
    <x v="10"/>
    <n v="2023"/>
    <x v="4"/>
    <n v="60337.62"/>
    <n v="44.2"/>
    <n v="158"/>
    <n v="175"/>
    <s v="Hatchback"/>
    <n v="5"/>
    <x v="3"/>
    <x v="2"/>
    <n v="201954"/>
    <n v="3.3"/>
    <n v="3"/>
    <n v="12185423709.480001"/>
  </r>
  <r>
    <x v="7"/>
    <x v="27"/>
    <n v="2023"/>
    <x v="4"/>
    <n v="53064.54"/>
    <n v="68.099999999999994"/>
    <n v="226"/>
    <n v="141"/>
    <s v="Truck"/>
    <n v="3"/>
    <x v="3"/>
    <x v="2"/>
    <n v="243991"/>
    <n v="3.26"/>
    <n v="4"/>
    <n v="12947270179.139999"/>
  </r>
  <r>
    <x v="8"/>
    <x v="12"/>
    <n v="2023"/>
    <x v="1"/>
    <n v="69526.3"/>
    <n v="114.5"/>
    <n v="415"/>
    <n v="200"/>
    <s v="Truck"/>
    <n v="5"/>
    <x v="1"/>
    <x v="0"/>
    <n v="23821"/>
    <n v="3.84"/>
    <n v="3"/>
    <n v="1656185992.3"/>
  </r>
  <r>
    <x v="6"/>
    <x v="20"/>
    <n v="2023"/>
    <x v="3"/>
    <n v="73470.2"/>
    <n v="61.6"/>
    <n v="217"/>
    <n v="167"/>
    <s v="Truck"/>
    <n v="5"/>
    <x v="4"/>
    <x v="0"/>
    <n v="142666"/>
    <n v="3.15"/>
    <n v="4"/>
    <n v="10481699553.199999"/>
  </r>
  <r>
    <x v="2"/>
    <x v="2"/>
    <n v="2023"/>
    <x v="1"/>
    <n v="105706.18"/>
    <n v="114.7"/>
    <n v="391"/>
    <n v="200"/>
    <s v="Coupe"/>
    <n v="3"/>
    <x v="1"/>
    <x v="1"/>
    <n v="247669"/>
    <n v="4.2"/>
    <n v="5"/>
    <n v="26180143894.419998"/>
  </r>
  <r>
    <x v="2"/>
    <x v="2"/>
    <n v="2023"/>
    <x v="3"/>
    <n v="95125.11"/>
    <n v="45.3"/>
    <n v="150"/>
    <n v="135"/>
    <s v="Hatchback"/>
    <n v="3"/>
    <x v="1"/>
    <x v="0"/>
    <n v="116755"/>
    <n v="3.27"/>
    <n v="5"/>
    <n v="11106332218.049999"/>
  </r>
  <r>
    <x v="4"/>
    <x v="32"/>
    <n v="2023"/>
    <x v="0"/>
    <n v="64643.29"/>
    <n v="83.8"/>
    <n v="293"/>
    <n v="173"/>
    <s v="SUV"/>
    <n v="5"/>
    <x v="3"/>
    <x v="2"/>
    <n v="67458"/>
    <n v="3.6"/>
    <n v="5"/>
    <n v="4360707056.8199997"/>
  </r>
  <r>
    <x v="12"/>
    <x v="29"/>
    <n v="2023"/>
    <x v="4"/>
    <n v="73891.199999999997"/>
    <n v="45"/>
    <n v="150"/>
    <n v="134"/>
    <s v="SUV"/>
    <n v="5"/>
    <x v="1"/>
    <x v="0"/>
    <n v="7223"/>
    <n v="3.41"/>
    <n v="4"/>
    <n v="533716137.59999996"/>
  </r>
  <r>
    <x v="3"/>
    <x v="42"/>
    <n v="2023"/>
    <x v="2"/>
    <n v="36015.660000000003"/>
    <n v="52.4"/>
    <n v="178"/>
    <n v="160"/>
    <s v="SUV"/>
    <n v="5"/>
    <x v="2"/>
    <x v="2"/>
    <n v="143487"/>
    <n v="3.37"/>
    <n v="4"/>
    <n v="5167779006.4200001"/>
  </r>
  <r>
    <x v="5"/>
    <x v="22"/>
    <n v="2023"/>
    <x v="3"/>
    <n v="63386.57"/>
    <n v="61.3"/>
    <n v="218"/>
    <n v="167"/>
    <s v="SUV"/>
    <n v="5"/>
    <x v="4"/>
    <x v="2"/>
    <n v="97503"/>
    <n v="3.22"/>
    <n v="5"/>
    <n v="6180380734.71"/>
  </r>
  <r>
    <x v="9"/>
    <x v="38"/>
    <n v="2023"/>
    <x v="1"/>
    <n v="101590.86"/>
    <n v="116.4"/>
    <n v="426"/>
    <n v="174"/>
    <s v="Van"/>
    <n v="5"/>
    <x v="3"/>
    <x v="1"/>
    <n v="73116"/>
    <n v="3.97"/>
    <n v="5"/>
    <n v="7427917319.7600002"/>
  </r>
  <r>
    <x v="2"/>
    <x v="17"/>
    <n v="2023"/>
    <x v="4"/>
    <n v="67810.929999999993"/>
    <n v="55.5"/>
    <n v="175"/>
    <n v="166"/>
    <s v="Sedan"/>
    <n v="5"/>
    <x v="1"/>
    <x v="0"/>
    <n v="194039"/>
    <n v="3.62"/>
    <n v="4"/>
    <n v="13157965046.269999"/>
  </r>
  <r>
    <x v="8"/>
    <x v="34"/>
    <n v="2023"/>
    <x v="3"/>
    <n v="37298.339999999997"/>
    <n v="72.7"/>
    <n v="262"/>
    <n v="154"/>
    <s v="SUV"/>
    <n v="4"/>
    <x v="1"/>
    <x v="2"/>
    <n v="60230"/>
    <n v="3.57"/>
    <n v="4"/>
    <n v="2246479018.1999998"/>
  </r>
  <r>
    <x v="3"/>
    <x v="11"/>
    <n v="2023"/>
    <x v="3"/>
    <n v="62912.21"/>
    <n v="54"/>
    <n v="188"/>
    <n v="142"/>
    <s v="Hatchback"/>
    <n v="5"/>
    <x v="2"/>
    <x v="2"/>
    <n v="196923"/>
    <n v="3.56"/>
    <n v="3"/>
    <n v="12388861129.83"/>
  </r>
  <r>
    <x v="9"/>
    <x v="55"/>
    <n v="2023"/>
    <x v="2"/>
    <n v="63735.58"/>
    <n v="75.400000000000006"/>
    <n v="276"/>
    <n v="154"/>
    <s v="Sedan"/>
    <n v="5"/>
    <x v="3"/>
    <x v="2"/>
    <n v="28907"/>
    <n v="3.44"/>
    <n v="7"/>
    <n v="1842404411.0599999"/>
  </r>
  <r>
    <x v="2"/>
    <x v="5"/>
    <n v="2023"/>
    <x v="4"/>
    <n v="144885.91"/>
    <n v="67.7"/>
    <n v="230"/>
    <n v="156"/>
    <s v="Hatchback"/>
    <n v="5"/>
    <x v="1"/>
    <x v="1"/>
    <n v="416711"/>
    <n v="3.88"/>
    <n v="5"/>
    <n v="60375552442.010002"/>
  </r>
  <r>
    <x v="12"/>
    <x v="52"/>
    <n v="2023"/>
    <x v="3"/>
    <n v="62461.41"/>
    <n v="54"/>
    <n v="168"/>
    <n v="138"/>
    <s v="Hatchback"/>
    <n v="4"/>
    <x v="1"/>
    <x v="2"/>
    <n v="6024"/>
    <n v="3.32"/>
    <n v="4"/>
    <n v="376267533.84000003"/>
  </r>
  <r>
    <x v="3"/>
    <x v="8"/>
    <n v="2023"/>
    <x v="3"/>
    <n v="23505.59"/>
    <n v="75.5"/>
    <n v="261"/>
    <n v="166"/>
    <s v="Hatchback"/>
    <n v="3"/>
    <x v="2"/>
    <x v="3"/>
    <n v="178149"/>
    <n v="3.42"/>
    <n v="4"/>
    <n v="4187497352.9099998"/>
  </r>
  <r>
    <x v="8"/>
    <x v="21"/>
    <n v="2023"/>
    <x v="1"/>
    <n v="78714.850000000006"/>
    <n v="111.5"/>
    <n v="393"/>
    <n v="184"/>
    <s v="Coupe"/>
    <n v="4"/>
    <x v="1"/>
    <x v="0"/>
    <n v="41203"/>
    <n v="3.73"/>
    <n v="4"/>
    <n v="3243287964.5500002"/>
  </r>
  <r>
    <x v="13"/>
    <x v="33"/>
    <n v="2023"/>
    <x v="3"/>
    <n v="142019.75"/>
    <n v="58.7"/>
    <n v="200"/>
    <n v="166"/>
    <s v="Hatchback"/>
    <n v="5"/>
    <x v="3"/>
    <x v="1"/>
    <n v="57178"/>
    <n v="3.68"/>
    <n v="7"/>
    <n v="8120405265.5"/>
  </r>
  <r>
    <x v="6"/>
    <x v="20"/>
    <n v="2023"/>
    <x v="0"/>
    <n v="48459.839999999997"/>
    <n v="100"/>
    <n v="358"/>
    <n v="175"/>
    <s v="Van"/>
    <n v="4"/>
    <x v="4"/>
    <x v="2"/>
    <n v="128198"/>
    <n v="3.66"/>
    <n v="4"/>
    <n v="6212454568.3199997"/>
  </r>
  <r>
    <x v="9"/>
    <x v="19"/>
    <n v="2023"/>
    <x v="1"/>
    <n v="121734.94"/>
    <n v="72.7"/>
    <n v="249"/>
    <n v="200"/>
    <s v="Coupe"/>
    <n v="5"/>
    <x v="3"/>
    <x v="1"/>
    <n v="71997"/>
    <n v="3.55"/>
    <n v="6"/>
    <n v="8764550475.1800003"/>
  </r>
  <r>
    <x v="3"/>
    <x v="14"/>
    <n v="2023"/>
    <x v="0"/>
    <n v="82830.36"/>
    <n v="90.4"/>
    <n v="294"/>
    <n v="175"/>
    <s v="Van"/>
    <n v="5"/>
    <x v="2"/>
    <x v="0"/>
    <n v="213531"/>
    <n v="3.84"/>
    <n v="3"/>
    <n v="17686849601.16"/>
  </r>
  <r>
    <x v="2"/>
    <x v="2"/>
    <n v="2023"/>
    <x v="1"/>
    <n v="170972.65"/>
    <n v="105.1"/>
    <n v="373"/>
    <n v="200"/>
    <s v="Van"/>
    <n v="3"/>
    <x v="1"/>
    <x v="1"/>
    <n v="177006"/>
    <n v="3.89"/>
    <n v="4"/>
    <n v="30263184885.899998"/>
  </r>
  <r>
    <x v="2"/>
    <x v="31"/>
    <n v="2023"/>
    <x v="4"/>
    <n v="172193.15"/>
    <n v="58.2"/>
    <n v="181"/>
    <n v="147"/>
    <s v="Truck"/>
    <n v="5"/>
    <x v="1"/>
    <x v="1"/>
    <n v="199763"/>
    <n v="3.42"/>
    <n v="5"/>
    <n v="34397820223.449997"/>
  </r>
  <r>
    <x v="6"/>
    <x v="9"/>
    <n v="2023"/>
    <x v="4"/>
    <n v="42532.36"/>
    <n v="70.099999999999994"/>
    <n v="253"/>
    <n v="167"/>
    <s v="Hatchback"/>
    <n v="5"/>
    <x v="4"/>
    <x v="2"/>
    <n v="118099"/>
    <n v="3.33"/>
    <n v="4"/>
    <n v="5023029183.6400003"/>
  </r>
  <r>
    <x v="2"/>
    <x v="2"/>
    <n v="2023"/>
    <x v="2"/>
    <n v="29555.66"/>
    <n v="54.9"/>
    <n v="182"/>
    <n v="163"/>
    <s v="Truck"/>
    <n v="4"/>
    <x v="1"/>
    <x v="3"/>
    <n v="119019"/>
    <n v="3.56"/>
    <n v="5"/>
    <n v="3517685097.54"/>
  </r>
  <r>
    <x v="3"/>
    <x v="42"/>
    <n v="2023"/>
    <x v="4"/>
    <n v="62695.67"/>
    <n v="55.1"/>
    <n v="191"/>
    <n v="143"/>
    <s v="Truck"/>
    <n v="3"/>
    <x v="2"/>
    <x v="2"/>
    <n v="249959"/>
    <n v="3.49"/>
    <n v="4"/>
    <n v="15671346977.529999"/>
  </r>
  <r>
    <x v="2"/>
    <x v="2"/>
    <n v="2023"/>
    <x v="0"/>
    <n v="41849.58"/>
    <n v="96.1"/>
    <n v="319"/>
    <n v="174"/>
    <s v="Van"/>
    <n v="5"/>
    <x v="1"/>
    <x v="2"/>
    <n v="211387"/>
    <n v="4"/>
    <n v="4"/>
    <n v="8846457167.460001"/>
  </r>
  <r>
    <x v="9"/>
    <x v="39"/>
    <n v="2023"/>
    <x v="0"/>
    <n v="113237.82"/>
    <n v="108.8"/>
    <n v="398"/>
    <n v="174"/>
    <s v="Hatchback"/>
    <n v="4"/>
    <x v="3"/>
    <x v="1"/>
    <n v="31347"/>
    <n v="3.49"/>
    <n v="7"/>
    <n v="3549665943.5400004"/>
  </r>
  <r>
    <x v="12"/>
    <x v="46"/>
    <n v="2023"/>
    <x v="0"/>
    <n v="53068.74"/>
    <n v="78.7"/>
    <n v="273"/>
    <n v="184"/>
    <s v="SUV"/>
    <n v="5"/>
    <x v="1"/>
    <x v="2"/>
    <n v="9605"/>
    <n v="3.25"/>
    <n v="5"/>
    <n v="509725247.69999999"/>
  </r>
  <r>
    <x v="4"/>
    <x v="61"/>
    <n v="2023"/>
    <x v="2"/>
    <n v="76292.22"/>
    <n v="51.4"/>
    <n v="180"/>
    <n v="174"/>
    <s v="Truck"/>
    <n v="5"/>
    <x v="3"/>
    <x v="0"/>
    <n v="57167"/>
    <n v="3.32"/>
    <n v="8"/>
    <n v="4361397340.7399998"/>
  </r>
  <r>
    <x v="13"/>
    <x v="64"/>
    <n v="2023"/>
    <x v="2"/>
    <n v="129584.74"/>
    <n v="64.2"/>
    <n v="260"/>
    <n v="126"/>
    <s v="Hatchback"/>
    <n v="5"/>
    <x v="3"/>
    <x v="1"/>
    <n v="24901"/>
    <n v="3.81"/>
    <n v="6"/>
    <n v="3226789610.7400002"/>
  </r>
  <r>
    <x v="2"/>
    <x v="5"/>
    <n v="2023"/>
    <x v="2"/>
    <n v="112472.41"/>
    <n v="74.3"/>
    <n v="238"/>
    <n v="142"/>
    <s v="Van"/>
    <n v="5"/>
    <x v="1"/>
    <x v="1"/>
    <n v="485203"/>
    <n v="3.66"/>
    <n v="4"/>
    <n v="54571950749.230003"/>
  </r>
  <r>
    <x v="6"/>
    <x v="9"/>
    <n v="2023"/>
    <x v="1"/>
    <n v="107017.27"/>
    <n v="75.2"/>
    <n v="259"/>
    <n v="184"/>
    <s v="SUV"/>
    <n v="5"/>
    <x v="4"/>
    <x v="1"/>
    <n v="67872"/>
    <n v="3.44"/>
    <n v="4"/>
    <n v="7263476149.4400005"/>
  </r>
  <r>
    <x v="12"/>
    <x v="46"/>
    <n v="2023"/>
    <x v="0"/>
    <n v="65559.399999999994"/>
    <n v="97.3"/>
    <n v="331"/>
    <n v="177"/>
    <s v="SUV"/>
    <n v="4"/>
    <x v="1"/>
    <x v="0"/>
    <n v="6658"/>
    <n v="3.7"/>
    <n v="4"/>
    <n v="436494485.19999999"/>
  </r>
  <r>
    <x v="7"/>
    <x v="27"/>
    <n v="2023"/>
    <x v="3"/>
    <n v="32332.16"/>
    <n v="53.1"/>
    <n v="184"/>
    <n v="170"/>
    <s v="Hatchback"/>
    <n v="5"/>
    <x v="3"/>
    <x v="3"/>
    <n v="283336"/>
    <n v="3.52"/>
    <n v="3"/>
    <n v="9160864885.7600002"/>
  </r>
  <r>
    <x v="7"/>
    <x v="28"/>
    <n v="2023"/>
    <x v="1"/>
    <n v="114648.63"/>
    <n v="104.8"/>
    <n v="352"/>
    <n v="197"/>
    <s v="SUV"/>
    <n v="4"/>
    <x v="3"/>
    <x v="1"/>
    <n v="297615"/>
    <n v="3.66"/>
    <n v="4"/>
    <n v="34121152017.450001"/>
  </r>
  <r>
    <x v="5"/>
    <x v="22"/>
    <n v="2023"/>
    <x v="1"/>
    <n v="76777.22"/>
    <n v="72.5"/>
    <n v="254"/>
    <n v="200"/>
    <s v="SUV"/>
    <n v="4"/>
    <x v="4"/>
    <x v="0"/>
    <n v="99948"/>
    <n v="3.66"/>
    <n v="5"/>
    <n v="7673729584.5600004"/>
  </r>
  <r>
    <x v="9"/>
    <x v="39"/>
    <n v="2023"/>
    <x v="1"/>
    <n v="111495.73"/>
    <n v="82.7"/>
    <n v="283"/>
    <n v="188"/>
    <s v="Coupe"/>
    <n v="4"/>
    <x v="3"/>
    <x v="1"/>
    <n v="41408"/>
    <n v="3.72"/>
    <n v="6"/>
    <n v="4616815187.8400002"/>
  </r>
  <r>
    <x v="2"/>
    <x v="2"/>
    <n v="2023"/>
    <x v="4"/>
    <n v="163320.60999999999"/>
    <n v="72.8"/>
    <n v="240"/>
    <n v="147"/>
    <s v="Hatchback"/>
    <n v="4"/>
    <x v="1"/>
    <x v="1"/>
    <n v="220716"/>
    <n v="3.73"/>
    <n v="5"/>
    <n v="36047471756.759995"/>
  </r>
  <r>
    <x v="3"/>
    <x v="14"/>
    <n v="2023"/>
    <x v="1"/>
    <n v="89614.35"/>
    <n v="100.7"/>
    <n v="334"/>
    <n v="192"/>
    <s v="Hatchback"/>
    <n v="5"/>
    <x v="2"/>
    <x v="0"/>
    <n v="198687"/>
    <n v="4"/>
    <n v="3"/>
    <n v="17805206358.450001"/>
  </r>
  <r>
    <x v="3"/>
    <x v="3"/>
    <n v="2023"/>
    <x v="1"/>
    <n v="102394.49"/>
    <n v="115.2"/>
    <n v="421"/>
    <n v="174"/>
    <s v="Truck"/>
    <n v="5"/>
    <x v="2"/>
    <x v="1"/>
    <n v="226612"/>
    <n v="3.99"/>
    <n v="4"/>
    <n v="23203820167.880001"/>
  </r>
  <r>
    <x v="7"/>
    <x v="24"/>
    <n v="2023"/>
    <x v="4"/>
    <n v="78484.960000000006"/>
    <n v="48.2"/>
    <n v="168"/>
    <n v="144"/>
    <s v="Sedan"/>
    <n v="4"/>
    <x v="3"/>
    <x v="0"/>
    <n v="208905"/>
    <n v="3.41"/>
    <n v="4"/>
    <n v="16395900568.800001"/>
  </r>
  <r>
    <x v="3"/>
    <x v="3"/>
    <n v="2023"/>
    <x v="0"/>
    <n v="30609.19"/>
    <n v="78.599999999999994"/>
    <n v="268"/>
    <n v="184"/>
    <s v="Hatchback"/>
    <n v="5"/>
    <x v="2"/>
    <x v="3"/>
    <n v="111239"/>
    <n v="3.49"/>
    <n v="4"/>
    <n v="3404935686.4099998"/>
  </r>
  <r>
    <x v="12"/>
    <x v="36"/>
    <n v="2023"/>
    <x v="1"/>
    <n v="73854.22"/>
    <n v="104.5"/>
    <n v="365"/>
    <n v="200"/>
    <s v="Coupe"/>
    <n v="4"/>
    <x v="1"/>
    <x v="0"/>
    <n v="27191"/>
    <n v="3.61"/>
    <n v="3"/>
    <n v="2008170096.02"/>
  </r>
  <r>
    <x v="13"/>
    <x v="33"/>
    <n v="2023"/>
    <x v="1"/>
    <n v="91688.58"/>
    <n v="90.5"/>
    <n v="311"/>
    <n v="192"/>
    <s v="Van"/>
    <n v="5"/>
    <x v="3"/>
    <x v="0"/>
    <n v="45385"/>
    <n v="4.0599999999999996"/>
    <n v="5"/>
    <n v="4161286203.3000002"/>
  </r>
  <r>
    <x v="3"/>
    <x v="6"/>
    <n v="2023"/>
    <x v="4"/>
    <n v="72252.78"/>
    <n v="40.799999999999997"/>
    <n v="150"/>
    <n v="162"/>
    <s v="Hatchback"/>
    <n v="4"/>
    <x v="2"/>
    <x v="0"/>
    <n v="245833"/>
    <n v="3.12"/>
    <n v="3"/>
    <n v="17762117665.739998"/>
  </r>
  <r>
    <x v="3"/>
    <x v="3"/>
    <n v="2023"/>
    <x v="2"/>
    <n v="20788.8"/>
    <n v="46.9"/>
    <n v="161"/>
    <n v="150"/>
    <s v="Van"/>
    <n v="4"/>
    <x v="2"/>
    <x v="3"/>
    <n v="208014"/>
    <n v="3.15"/>
    <n v="4"/>
    <n v="4324361443.1999998"/>
  </r>
  <r>
    <x v="15"/>
    <x v="43"/>
    <n v="2023"/>
    <x v="3"/>
    <n v="107490.34"/>
    <n v="61.7"/>
    <n v="224"/>
    <n v="161"/>
    <s v="SUV"/>
    <n v="4"/>
    <x v="3"/>
    <x v="1"/>
    <n v="2249"/>
    <n v="3.5"/>
    <n v="8"/>
    <n v="241745774.66"/>
  </r>
  <r>
    <x v="1"/>
    <x v="51"/>
    <n v="2023"/>
    <x v="4"/>
    <n v="100837.22"/>
    <n v="71.599999999999994"/>
    <n v="259"/>
    <n v="163"/>
    <s v="Sedan"/>
    <n v="5"/>
    <x v="1"/>
    <x v="1"/>
    <n v="27700"/>
    <n v="3.3"/>
    <n v="5"/>
    <n v="2793190994"/>
  </r>
  <r>
    <x v="6"/>
    <x v="20"/>
    <n v="2023"/>
    <x v="1"/>
    <n v="69817.039999999994"/>
    <n v="113.2"/>
    <n v="415"/>
    <n v="198"/>
    <s v="Van"/>
    <n v="5"/>
    <x v="4"/>
    <x v="0"/>
    <n v="127527"/>
    <n v="3.55"/>
    <n v="4"/>
    <n v="8903557660.0799999"/>
  </r>
  <r>
    <x v="2"/>
    <x v="2"/>
    <n v="2023"/>
    <x v="0"/>
    <n v="122960.47"/>
    <n v="98.5"/>
    <n v="350"/>
    <n v="178"/>
    <s v="SUV"/>
    <n v="4"/>
    <x v="1"/>
    <x v="1"/>
    <n v="114585"/>
    <n v="4.09"/>
    <n v="4"/>
    <n v="14089425454.950001"/>
  </r>
  <r>
    <x v="12"/>
    <x v="29"/>
    <n v="2023"/>
    <x v="1"/>
    <n v="42948.13"/>
    <n v="93.8"/>
    <n v="328"/>
    <n v="200"/>
    <s v="Sedan"/>
    <n v="4"/>
    <x v="1"/>
    <x v="2"/>
    <n v="14040"/>
    <n v="3.76"/>
    <n v="4"/>
    <n v="602991745.19999993"/>
  </r>
  <r>
    <x v="2"/>
    <x v="17"/>
    <n v="2023"/>
    <x v="3"/>
    <n v="128698.36"/>
    <n v="60.8"/>
    <n v="240"/>
    <n v="154"/>
    <s v="Truck"/>
    <n v="5"/>
    <x v="1"/>
    <x v="1"/>
    <n v="132614"/>
    <n v="3.6"/>
    <n v="5"/>
    <n v="17067204313.040001"/>
  </r>
  <r>
    <x v="2"/>
    <x v="17"/>
    <n v="2023"/>
    <x v="3"/>
    <n v="68205.179999999993"/>
    <n v="50.5"/>
    <n v="178"/>
    <n v="121"/>
    <s v="Van"/>
    <n v="4"/>
    <x v="1"/>
    <x v="0"/>
    <n v="179048"/>
    <n v="3.64"/>
    <n v="4"/>
    <n v="12212001068.639999"/>
  </r>
  <r>
    <x v="7"/>
    <x v="10"/>
    <n v="2023"/>
    <x v="4"/>
    <n v="107650.74"/>
    <n v="66"/>
    <n v="238"/>
    <n v="169"/>
    <s v="Hatchback"/>
    <n v="4"/>
    <x v="3"/>
    <x v="1"/>
    <n v="215531"/>
    <n v="3.43"/>
    <n v="4"/>
    <n v="23202071642.940002"/>
  </r>
  <r>
    <x v="6"/>
    <x v="20"/>
    <n v="2023"/>
    <x v="0"/>
    <n v="85387.82"/>
    <n v="78.5"/>
    <n v="251"/>
    <n v="178"/>
    <s v="Sedan"/>
    <n v="4"/>
    <x v="4"/>
    <x v="0"/>
    <n v="131774"/>
    <n v="3.48"/>
    <n v="3"/>
    <n v="11251894592.68"/>
  </r>
  <r>
    <x v="2"/>
    <x v="2"/>
    <n v="2023"/>
    <x v="4"/>
    <n v="84622.11"/>
    <n v="73.7"/>
    <n v="264"/>
    <n v="143"/>
    <s v="SUV"/>
    <n v="4"/>
    <x v="1"/>
    <x v="0"/>
    <n v="193331"/>
    <n v="3.64"/>
    <n v="5"/>
    <n v="16360077148.41"/>
  </r>
  <r>
    <x v="5"/>
    <x v="23"/>
    <n v="2023"/>
    <x v="0"/>
    <n v="68881.259999999995"/>
    <n v="85.2"/>
    <n v="297"/>
    <n v="172"/>
    <s v="SUV"/>
    <n v="4"/>
    <x v="4"/>
    <x v="0"/>
    <n v="85490"/>
    <n v="3.48"/>
    <n v="4"/>
    <n v="5888658917.3999996"/>
  </r>
  <r>
    <x v="5"/>
    <x v="7"/>
    <n v="2023"/>
    <x v="2"/>
    <n v="53627.18"/>
    <n v="75.2"/>
    <n v="266"/>
    <n v="154"/>
    <s v="Sedan"/>
    <n v="3"/>
    <x v="4"/>
    <x v="2"/>
    <n v="65815"/>
    <n v="3.66"/>
    <n v="4"/>
    <n v="3529472851.6999998"/>
  </r>
  <r>
    <x v="0"/>
    <x v="0"/>
    <n v="2023"/>
    <x v="0"/>
    <n v="79916.17"/>
    <n v="85.7"/>
    <n v="295"/>
    <n v="176"/>
    <s v="SUV"/>
    <n v="4"/>
    <x v="0"/>
    <x v="0"/>
    <n v="29619"/>
    <n v="3.47"/>
    <n v="3"/>
    <n v="2367037039.23"/>
  </r>
  <r>
    <x v="3"/>
    <x v="3"/>
    <n v="2023"/>
    <x v="1"/>
    <n v="93434.880000000005"/>
    <n v="89.1"/>
    <n v="321"/>
    <n v="200"/>
    <s v="Van"/>
    <n v="5"/>
    <x v="2"/>
    <x v="0"/>
    <n v="220329"/>
    <n v="3.35"/>
    <n v="4"/>
    <n v="20586413675.52"/>
  </r>
  <r>
    <x v="3"/>
    <x v="14"/>
    <n v="2023"/>
    <x v="0"/>
    <n v="27057.77"/>
    <n v="108.5"/>
    <n v="385"/>
    <n v="162"/>
    <s v="Sedan"/>
    <n v="4"/>
    <x v="2"/>
    <x v="3"/>
    <n v="176350"/>
    <n v="3.6"/>
    <n v="4"/>
    <n v="4771637739.5"/>
  </r>
  <r>
    <x v="2"/>
    <x v="31"/>
    <n v="2023"/>
    <x v="1"/>
    <n v="56003.28"/>
    <n v="108.7"/>
    <n v="392"/>
    <n v="192"/>
    <s v="Truck"/>
    <n v="4"/>
    <x v="1"/>
    <x v="2"/>
    <n v="102435"/>
    <n v="4.04"/>
    <n v="4"/>
    <n v="5736695986.8000002"/>
  </r>
  <r>
    <x v="5"/>
    <x v="22"/>
    <n v="2023"/>
    <x v="0"/>
    <n v="62846.87"/>
    <n v="96.2"/>
    <n v="339"/>
    <n v="186"/>
    <s v="SUV"/>
    <n v="5"/>
    <x v="4"/>
    <x v="2"/>
    <n v="73090"/>
    <n v="3.76"/>
    <n v="4"/>
    <n v="4593477728.3000002"/>
  </r>
  <r>
    <x v="3"/>
    <x v="42"/>
    <n v="2023"/>
    <x v="4"/>
    <n v="44973.03"/>
    <n v="70.2"/>
    <n v="272"/>
    <n v="156"/>
    <s v="Hatchback"/>
    <n v="4"/>
    <x v="2"/>
    <x v="2"/>
    <n v="163237"/>
    <n v="3.63"/>
    <n v="4"/>
    <n v="7341262498.1099997"/>
  </r>
  <r>
    <x v="5"/>
    <x v="13"/>
    <n v="2023"/>
    <x v="1"/>
    <n v="84710.91"/>
    <n v="95.4"/>
    <n v="364"/>
    <n v="192"/>
    <s v="Sedan"/>
    <n v="4"/>
    <x v="4"/>
    <x v="0"/>
    <n v="109134"/>
    <n v="3.67"/>
    <n v="4"/>
    <n v="9244840451.9400005"/>
  </r>
  <r>
    <x v="8"/>
    <x v="60"/>
    <n v="2023"/>
    <x v="3"/>
    <n v="61247.58"/>
    <n v="43"/>
    <n v="150"/>
    <n v="145"/>
    <s v="Hatchback"/>
    <n v="4"/>
    <x v="1"/>
    <x v="2"/>
    <n v="76286"/>
    <n v="3.13"/>
    <n v="5"/>
    <n v="4672332887.8800001"/>
  </r>
  <r>
    <x v="3"/>
    <x v="3"/>
    <n v="2023"/>
    <x v="3"/>
    <n v="26581.17"/>
    <n v="76.3"/>
    <n v="257"/>
    <n v="143"/>
    <s v="SUV"/>
    <n v="5"/>
    <x v="2"/>
    <x v="3"/>
    <n v="206659"/>
    <n v="3.36"/>
    <n v="4"/>
    <n v="5493238011.0299997"/>
  </r>
  <r>
    <x v="5"/>
    <x v="15"/>
    <n v="2023"/>
    <x v="1"/>
    <n v="92527.86"/>
    <n v="110.6"/>
    <n v="404"/>
    <n v="200"/>
    <s v="SUV"/>
    <n v="4"/>
    <x v="4"/>
    <x v="0"/>
    <n v="118664"/>
    <n v="3.6"/>
    <n v="4"/>
    <n v="10979725979.040001"/>
  </r>
  <r>
    <x v="2"/>
    <x v="5"/>
    <n v="2023"/>
    <x v="2"/>
    <n v="106611.48"/>
    <n v="81.099999999999994"/>
    <n v="298"/>
    <n v="153"/>
    <s v="Hatchback"/>
    <n v="5"/>
    <x v="1"/>
    <x v="1"/>
    <n v="481578"/>
    <n v="4.09"/>
    <n v="4"/>
    <n v="51341743315.439995"/>
  </r>
  <r>
    <x v="3"/>
    <x v="14"/>
    <n v="2023"/>
    <x v="4"/>
    <n v="33832.39"/>
    <n v="82.8"/>
    <n v="276"/>
    <n v="128"/>
    <s v="SUV"/>
    <n v="4"/>
    <x v="2"/>
    <x v="3"/>
    <n v="177176"/>
    <n v="3.68"/>
    <n v="4"/>
    <n v="5994287530.6400003"/>
  </r>
  <r>
    <x v="7"/>
    <x v="27"/>
    <n v="2023"/>
    <x v="4"/>
    <n v="92433.279999999999"/>
    <n v="70.099999999999994"/>
    <n v="250"/>
    <n v="162"/>
    <s v="Coupe"/>
    <n v="4"/>
    <x v="3"/>
    <x v="0"/>
    <n v="212147"/>
    <n v="3.39"/>
    <n v="3"/>
    <n v="19609443052.16"/>
  </r>
  <r>
    <x v="2"/>
    <x v="35"/>
    <n v="2023"/>
    <x v="2"/>
    <n v="55932.63"/>
    <n v="59.8"/>
    <n v="209"/>
    <n v="155"/>
    <s v="SUV"/>
    <n v="3"/>
    <x v="1"/>
    <x v="2"/>
    <n v="183636"/>
    <n v="3.65"/>
    <n v="5"/>
    <n v="10271244442.68"/>
  </r>
  <r>
    <x v="9"/>
    <x v="19"/>
    <n v="2023"/>
    <x v="0"/>
    <n v="131127.44"/>
    <n v="88.4"/>
    <n v="275"/>
    <n v="175"/>
    <s v="Van"/>
    <n v="4"/>
    <x v="3"/>
    <x v="1"/>
    <n v="49932"/>
    <n v="3.32"/>
    <n v="7"/>
    <n v="6547455334.0799999"/>
  </r>
  <r>
    <x v="2"/>
    <x v="5"/>
    <n v="2023"/>
    <x v="0"/>
    <n v="63692.69"/>
    <n v="107.7"/>
    <n v="357"/>
    <n v="188"/>
    <s v="Van"/>
    <n v="3"/>
    <x v="1"/>
    <x v="2"/>
    <n v="462962"/>
    <n v="4.05"/>
    <n v="4"/>
    <n v="29487295147.780003"/>
  </r>
  <r>
    <x v="7"/>
    <x v="10"/>
    <n v="2023"/>
    <x v="1"/>
    <n v="82345.289999999994"/>
    <n v="78.400000000000006"/>
    <n v="276"/>
    <n v="200"/>
    <s v="Hatchback"/>
    <n v="4"/>
    <x v="3"/>
    <x v="0"/>
    <n v="291745"/>
    <n v="3.72"/>
    <n v="4"/>
    <n v="24023826631.049999"/>
  </r>
  <r>
    <x v="5"/>
    <x v="7"/>
    <n v="2023"/>
    <x v="1"/>
    <n v="59632.87"/>
    <n v="90.3"/>
    <n v="325"/>
    <n v="196"/>
    <s v="Coupe"/>
    <n v="5"/>
    <x v="4"/>
    <x v="2"/>
    <n v="97616"/>
    <n v="3.74"/>
    <n v="4"/>
    <n v="5821122237.9200001"/>
  </r>
  <r>
    <x v="12"/>
    <x v="45"/>
    <n v="2023"/>
    <x v="1"/>
    <n v="39441.22"/>
    <n v="70.400000000000006"/>
    <n v="238"/>
    <n v="192"/>
    <s v="Coupe"/>
    <n v="3"/>
    <x v="1"/>
    <x v="2"/>
    <n v="9783"/>
    <n v="3.17"/>
    <n v="5"/>
    <n v="385853455.25999999"/>
  </r>
  <r>
    <x v="5"/>
    <x v="15"/>
    <n v="2023"/>
    <x v="2"/>
    <n v="47384.85"/>
    <n v="55.2"/>
    <n v="193"/>
    <n v="168"/>
    <s v="SUV"/>
    <n v="4"/>
    <x v="4"/>
    <x v="2"/>
    <n v="57685"/>
    <n v="3.6"/>
    <n v="4"/>
    <n v="2733395072.25"/>
  </r>
  <r>
    <x v="2"/>
    <x v="35"/>
    <n v="2023"/>
    <x v="1"/>
    <n v="111766.84"/>
    <n v="104.9"/>
    <n v="361"/>
    <n v="200"/>
    <s v="Hatchback"/>
    <n v="4"/>
    <x v="1"/>
    <x v="1"/>
    <n v="176852"/>
    <n v="4.05"/>
    <n v="5"/>
    <n v="19766189187.68"/>
  </r>
  <r>
    <x v="5"/>
    <x v="23"/>
    <n v="2023"/>
    <x v="4"/>
    <n v="82403.5"/>
    <n v="78.599999999999994"/>
    <n v="288"/>
    <n v="151"/>
    <s v="Van"/>
    <n v="4"/>
    <x v="4"/>
    <x v="0"/>
    <n v="95064"/>
    <n v="3.74"/>
    <n v="4"/>
    <n v="7833606324"/>
  </r>
  <r>
    <x v="9"/>
    <x v="16"/>
    <n v="2023"/>
    <x v="4"/>
    <n v="104739.58"/>
    <n v="54.5"/>
    <n v="189"/>
    <n v="151"/>
    <s v="Coupe"/>
    <n v="5"/>
    <x v="3"/>
    <x v="1"/>
    <n v="58894"/>
    <n v="3.16"/>
    <n v="8"/>
    <n v="6168532824.5200005"/>
  </r>
  <r>
    <x v="2"/>
    <x v="31"/>
    <n v="2023"/>
    <x v="0"/>
    <n v="40789.910000000003"/>
    <n v="106.8"/>
    <n v="379"/>
    <n v="177"/>
    <s v="Truck"/>
    <n v="5"/>
    <x v="1"/>
    <x v="2"/>
    <n v="187262"/>
    <n v="4.38"/>
    <n v="6"/>
    <n v="7638400126.420001"/>
  </r>
  <r>
    <x v="10"/>
    <x v="69"/>
    <n v="2023"/>
    <x v="1"/>
    <n v="90903.84"/>
    <n v="95"/>
    <n v="337"/>
    <n v="185"/>
    <s v="Coupe"/>
    <n v="5"/>
    <x v="5"/>
    <x v="0"/>
    <n v="18672"/>
    <n v="3.64"/>
    <n v="3"/>
    <n v="1697356500.48"/>
  </r>
  <r>
    <x v="3"/>
    <x v="3"/>
    <n v="2023"/>
    <x v="0"/>
    <n v="98961.38"/>
    <n v="90.2"/>
    <n v="294"/>
    <n v="171"/>
    <s v="Van"/>
    <n v="4"/>
    <x v="2"/>
    <x v="0"/>
    <n v="230275"/>
    <n v="3.52"/>
    <n v="5"/>
    <n v="22788331779.5"/>
  </r>
  <r>
    <x v="3"/>
    <x v="14"/>
    <n v="2023"/>
    <x v="0"/>
    <n v="52355.75"/>
    <n v="87.1"/>
    <n v="286"/>
    <n v="184"/>
    <s v="Sedan"/>
    <n v="5"/>
    <x v="2"/>
    <x v="2"/>
    <n v="146928"/>
    <n v="3.27"/>
    <n v="4"/>
    <n v="7692525636"/>
  </r>
  <r>
    <x v="4"/>
    <x v="32"/>
    <n v="2023"/>
    <x v="4"/>
    <n v="88280.78"/>
    <n v="42.7"/>
    <n v="156"/>
    <n v="173"/>
    <s v="Coupe"/>
    <n v="4"/>
    <x v="3"/>
    <x v="0"/>
    <n v="66857"/>
    <n v="3.24"/>
    <n v="5"/>
    <n v="5902188108.46"/>
  </r>
  <r>
    <x v="2"/>
    <x v="2"/>
    <n v="2023"/>
    <x v="2"/>
    <n v="45116.56"/>
    <n v="45.3"/>
    <n v="169"/>
    <n v="158"/>
    <s v="Sedan"/>
    <n v="3"/>
    <x v="1"/>
    <x v="2"/>
    <n v="116884"/>
    <n v="3.58"/>
    <n v="5"/>
    <n v="5273403999.04"/>
  </r>
  <r>
    <x v="7"/>
    <x v="24"/>
    <n v="2023"/>
    <x v="0"/>
    <n v="49537.91"/>
    <n v="82.9"/>
    <n v="278"/>
    <n v="191"/>
    <s v="Coupe"/>
    <n v="5"/>
    <x v="3"/>
    <x v="2"/>
    <n v="250021"/>
    <n v="3.64"/>
    <n v="3"/>
    <n v="12385517796.110001"/>
  </r>
  <r>
    <x v="2"/>
    <x v="17"/>
    <n v="2023"/>
    <x v="1"/>
    <n v="53096.09"/>
    <n v="113.8"/>
    <n v="404"/>
    <n v="200"/>
    <s v="Van"/>
    <n v="4"/>
    <x v="1"/>
    <x v="2"/>
    <n v="123687"/>
    <n v="4.34"/>
    <n v="5"/>
    <n v="6567296083.8299999"/>
  </r>
  <r>
    <x v="6"/>
    <x v="9"/>
    <n v="2023"/>
    <x v="2"/>
    <n v="40063.519999999997"/>
    <n v="83"/>
    <n v="298"/>
    <n v="134"/>
    <s v="Van"/>
    <n v="5"/>
    <x v="4"/>
    <x v="2"/>
    <n v="95016"/>
    <n v="3.55"/>
    <n v="4"/>
    <n v="3806675416.3199997"/>
  </r>
  <r>
    <x v="3"/>
    <x v="11"/>
    <n v="2023"/>
    <x v="2"/>
    <n v="72565.72"/>
    <n v="43.8"/>
    <n v="153"/>
    <n v="175"/>
    <s v="Hatchback"/>
    <n v="5"/>
    <x v="2"/>
    <x v="0"/>
    <n v="193019"/>
    <n v="3.17"/>
    <n v="4"/>
    <n v="14006562708.68"/>
  </r>
  <r>
    <x v="2"/>
    <x v="2"/>
    <n v="2023"/>
    <x v="4"/>
    <n v="90489.19"/>
    <n v="66.8"/>
    <n v="227"/>
    <n v="144"/>
    <s v="Van"/>
    <n v="4"/>
    <x v="1"/>
    <x v="0"/>
    <n v="231411"/>
    <n v="3.84"/>
    <n v="4"/>
    <n v="20940193947.09"/>
  </r>
  <r>
    <x v="6"/>
    <x v="63"/>
    <n v="2023"/>
    <x v="0"/>
    <n v="79421.070000000007"/>
    <n v="79.2"/>
    <n v="250"/>
    <n v="164"/>
    <s v="Van"/>
    <n v="5"/>
    <x v="4"/>
    <x v="0"/>
    <n v="120050"/>
    <n v="3.41"/>
    <n v="3"/>
    <n v="9534499453.5"/>
  </r>
  <r>
    <x v="6"/>
    <x v="50"/>
    <n v="2023"/>
    <x v="0"/>
    <n v="89541.119999999995"/>
    <n v="95.4"/>
    <n v="330"/>
    <n v="179"/>
    <s v="SUV"/>
    <n v="5"/>
    <x v="4"/>
    <x v="0"/>
    <n v="122583"/>
    <n v="3.74"/>
    <n v="3"/>
    <n v="10976219112.959999"/>
  </r>
  <r>
    <x v="9"/>
    <x v="39"/>
    <n v="2023"/>
    <x v="2"/>
    <n v="89086.86"/>
    <n v="79.5"/>
    <n v="279"/>
    <n v="179"/>
    <s v="Truck"/>
    <n v="4"/>
    <x v="3"/>
    <x v="0"/>
    <n v="63501"/>
    <n v="3.78"/>
    <n v="5"/>
    <n v="5657104696.8599997"/>
  </r>
  <r>
    <x v="13"/>
    <x v="64"/>
    <n v="2023"/>
    <x v="4"/>
    <n v="111693.41"/>
    <n v="44.9"/>
    <n v="154"/>
    <n v="144"/>
    <s v="Hatchback"/>
    <n v="4"/>
    <x v="3"/>
    <x v="1"/>
    <n v="72096"/>
    <n v="3.64"/>
    <n v="6"/>
    <n v="8052648087.3600006"/>
  </r>
  <r>
    <x v="9"/>
    <x v="38"/>
    <n v="2023"/>
    <x v="0"/>
    <n v="130324.5"/>
    <n v="105"/>
    <n v="370"/>
    <n v="186"/>
    <s v="Sedan"/>
    <n v="5"/>
    <x v="3"/>
    <x v="1"/>
    <n v="62481"/>
    <n v="3.82"/>
    <n v="6"/>
    <n v="8142805084.5"/>
  </r>
  <r>
    <x v="2"/>
    <x v="17"/>
    <n v="2023"/>
    <x v="4"/>
    <n v="98229.28"/>
    <n v="82.6"/>
    <n v="290"/>
    <n v="142"/>
    <s v="Sedan"/>
    <n v="4"/>
    <x v="1"/>
    <x v="0"/>
    <n v="151125"/>
    <n v="4.05"/>
    <n v="4"/>
    <n v="14844899940"/>
  </r>
  <r>
    <x v="9"/>
    <x v="39"/>
    <n v="2023"/>
    <x v="4"/>
    <n v="126296.04"/>
    <n v="69.400000000000006"/>
    <n v="238"/>
    <n v="158"/>
    <s v="Truck"/>
    <n v="4"/>
    <x v="3"/>
    <x v="1"/>
    <n v="27018"/>
    <n v="3.73"/>
    <n v="8"/>
    <n v="3412266408.7199998"/>
  </r>
  <r>
    <x v="2"/>
    <x v="31"/>
    <n v="2023"/>
    <x v="1"/>
    <n v="182463.57"/>
    <n v="109.2"/>
    <n v="389"/>
    <n v="200"/>
    <s v="Truck"/>
    <n v="5"/>
    <x v="1"/>
    <x v="1"/>
    <n v="202403"/>
    <n v="3.98"/>
    <n v="5"/>
    <n v="36931173958.709999"/>
  </r>
  <r>
    <x v="2"/>
    <x v="35"/>
    <n v="2023"/>
    <x v="4"/>
    <n v="43481.03"/>
    <n v="65.2"/>
    <n v="217"/>
    <n v="143"/>
    <s v="SUV"/>
    <n v="5"/>
    <x v="1"/>
    <x v="2"/>
    <n v="134257"/>
    <n v="3.73"/>
    <n v="6"/>
    <n v="5837632644.71"/>
  </r>
  <r>
    <x v="3"/>
    <x v="6"/>
    <n v="2023"/>
    <x v="2"/>
    <n v="73542.570000000007"/>
    <n v="52.6"/>
    <n v="178"/>
    <n v="142"/>
    <s v="Hatchback"/>
    <n v="5"/>
    <x v="2"/>
    <x v="0"/>
    <n v="164917"/>
    <n v="3"/>
    <n v="4"/>
    <n v="12128420016.690001"/>
  </r>
  <r>
    <x v="2"/>
    <x v="2"/>
    <n v="2023"/>
    <x v="4"/>
    <n v="51643.69"/>
    <n v="41.7"/>
    <n v="150"/>
    <n v="153"/>
    <s v="Truck"/>
    <n v="5"/>
    <x v="1"/>
    <x v="2"/>
    <n v="247691"/>
    <n v="3.41"/>
    <n v="6"/>
    <n v="12791677219.790001"/>
  </r>
  <r>
    <x v="8"/>
    <x v="21"/>
    <n v="2023"/>
    <x v="3"/>
    <n v="53190.35"/>
    <n v="62.2"/>
    <n v="200"/>
    <n v="148"/>
    <s v="Hatchback"/>
    <n v="4"/>
    <x v="1"/>
    <x v="2"/>
    <n v="73417"/>
    <n v="3.13"/>
    <n v="4"/>
    <n v="3905075925.9499998"/>
  </r>
  <r>
    <x v="6"/>
    <x v="50"/>
    <n v="2023"/>
    <x v="0"/>
    <n v="49376.97"/>
    <n v="105.9"/>
    <n v="348"/>
    <n v="175"/>
    <s v="Hatchback"/>
    <n v="5"/>
    <x v="4"/>
    <x v="2"/>
    <n v="113770"/>
    <n v="3.51"/>
    <n v="4"/>
    <n v="5617617876.9000006"/>
  </r>
  <r>
    <x v="1"/>
    <x v="51"/>
    <n v="2023"/>
    <x v="2"/>
    <n v="81514.31"/>
    <n v="48.1"/>
    <n v="186"/>
    <n v="157"/>
    <s v="Hatchback"/>
    <n v="4"/>
    <x v="1"/>
    <x v="0"/>
    <n v="16427"/>
    <n v="3.38"/>
    <n v="3"/>
    <n v="1339035570.3699999"/>
  </r>
  <r>
    <x v="10"/>
    <x v="70"/>
    <n v="2023"/>
    <x v="0"/>
    <n v="77182.19"/>
    <n v="88.8"/>
    <n v="337"/>
    <n v="160"/>
    <s v="Hatchback"/>
    <n v="5"/>
    <x v="5"/>
    <x v="0"/>
    <n v="5412"/>
    <n v="3.55"/>
    <n v="3"/>
    <n v="417710012.28000003"/>
  </r>
  <r>
    <x v="8"/>
    <x v="34"/>
    <n v="2023"/>
    <x v="3"/>
    <n v="38433.81"/>
    <n v="45.5"/>
    <n v="152"/>
    <n v="137"/>
    <s v="Truck"/>
    <n v="4"/>
    <x v="1"/>
    <x v="2"/>
    <n v="31451"/>
    <n v="3.08"/>
    <n v="3"/>
    <n v="1208781758.3099999"/>
  </r>
  <r>
    <x v="7"/>
    <x v="27"/>
    <n v="2023"/>
    <x v="4"/>
    <n v="99609.58"/>
    <n v="83.8"/>
    <n v="287"/>
    <n v="141"/>
    <s v="Coupe"/>
    <n v="4"/>
    <x v="3"/>
    <x v="0"/>
    <n v="245824"/>
    <n v="3.56"/>
    <n v="5"/>
    <n v="24486425393.920002"/>
  </r>
  <r>
    <x v="3"/>
    <x v="3"/>
    <n v="2023"/>
    <x v="0"/>
    <n v="94064.69"/>
    <n v="95.8"/>
    <n v="342"/>
    <n v="180"/>
    <s v="Hatchback"/>
    <n v="5"/>
    <x v="2"/>
    <x v="0"/>
    <n v="117049"/>
    <n v="3.64"/>
    <n v="5"/>
    <n v="11010177899.809999"/>
  </r>
  <r>
    <x v="5"/>
    <x v="15"/>
    <n v="2023"/>
    <x v="2"/>
    <n v="31014.43"/>
    <n v="43.7"/>
    <n v="167"/>
    <n v="149"/>
    <s v="SUV"/>
    <n v="5"/>
    <x v="4"/>
    <x v="3"/>
    <n v="68930"/>
    <n v="3.05"/>
    <n v="4"/>
    <n v="2137824659.9000001"/>
  </r>
  <r>
    <x v="12"/>
    <x v="52"/>
    <n v="2023"/>
    <x v="3"/>
    <n v="45534.53"/>
    <n v="61.3"/>
    <n v="201"/>
    <n v="130"/>
    <s v="Sedan"/>
    <n v="5"/>
    <x v="1"/>
    <x v="2"/>
    <n v="7422"/>
    <n v="3.31"/>
    <n v="3"/>
    <n v="337957281.65999997"/>
  </r>
  <r>
    <x v="12"/>
    <x v="52"/>
    <n v="2023"/>
    <x v="2"/>
    <n v="30572.73"/>
    <n v="55.2"/>
    <n v="208"/>
    <n v="134"/>
    <s v="Coupe"/>
    <n v="4"/>
    <x v="1"/>
    <x v="3"/>
    <n v="13459"/>
    <n v="3.31"/>
    <n v="4"/>
    <n v="411478373.06999999"/>
  </r>
  <r>
    <x v="2"/>
    <x v="2"/>
    <n v="2023"/>
    <x v="2"/>
    <n v="41460.269999999997"/>
    <n v="53.8"/>
    <n v="191"/>
    <n v="155"/>
    <s v="Van"/>
    <n v="4"/>
    <x v="1"/>
    <x v="2"/>
    <n v="119951"/>
    <n v="3.56"/>
    <n v="4"/>
    <n v="4973200846.7699995"/>
  </r>
  <r>
    <x v="7"/>
    <x v="27"/>
    <n v="2023"/>
    <x v="1"/>
    <n v="70444.740000000005"/>
    <n v="90.5"/>
    <n v="338"/>
    <n v="185"/>
    <s v="Truck"/>
    <n v="4"/>
    <x v="3"/>
    <x v="0"/>
    <n v="214221"/>
    <n v="3.69"/>
    <n v="4"/>
    <n v="15090742647.540001"/>
  </r>
  <r>
    <x v="4"/>
    <x v="61"/>
    <n v="2023"/>
    <x v="2"/>
    <n v="48523.32"/>
    <n v="82.6"/>
    <n v="283"/>
    <n v="137"/>
    <s v="SUV"/>
    <n v="5"/>
    <x v="3"/>
    <x v="2"/>
    <n v="57366"/>
    <n v="3.57"/>
    <n v="6"/>
    <n v="2783588775.1199999"/>
  </r>
  <r>
    <x v="7"/>
    <x v="27"/>
    <n v="2023"/>
    <x v="4"/>
    <n v="57817.4"/>
    <n v="40.4"/>
    <n v="167"/>
    <n v="156"/>
    <s v="Truck"/>
    <n v="5"/>
    <x v="3"/>
    <x v="2"/>
    <n v="227778"/>
    <n v="3.41"/>
    <n v="3"/>
    <n v="13169531737.200001"/>
  </r>
  <r>
    <x v="4"/>
    <x v="40"/>
    <n v="2023"/>
    <x v="0"/>
    <n v="82135.990000000005"/>
    <n v="78.3"/>
    <n v="272"/>
    <n v="170"/>
    <s v="Sedan"/>
    <n v="4"/>
    <x v="3"/>
    <x v="0"/>
    <n v="56851"/>
    <n v="3.65"/>
    <n v="6"/>
    <n v="4669513167.4900007"/>
  </r>
  <r>
    <x v="13"/>
    <x v="33"/>
    <n v="2023"/>
    <x v="3"/>
    <n v="112177.54"/>
    <n v="67.5"/>
    <n v="236"/>
    <n v="128"/>
    <s v="Van"/>
    <n v="4"/>
    <x v="3"/>
    <x v="1"/>
    <n v="38676"/>
    <n v="3.75"/>
    <n v="6"/>
    <n v="4338578537.04"/>
  </r>
  <r>
    <x v="6"/>
    <x v="53"/>
    <n v="2023"/>
    <x v="3"/>
    <n v="33062.26"/>
    <n v="78.5"/>
    <n v="266"/>
    <n v="128"/>
    <s v="Van"/>
    <n v="5"/>
    <x v="4"/>
    <x v="3"/>
    <n v="88310"/>
    <n v="3.39"/>
    <n v="4"/>
    <n v="2919728180.6000004"/>
  </r>
  <r>
    <x v="7"/>
    <x v="28"/>
    <n v="2023"/>
    <x v="1"/>
    <n v="110994.9"/>
    <n v="76.8"/>
    <n v="250"/>
    <n v="198"/>
    <s v="SUV"/>
    <n v="5"/>
    <x v="3"/>
    <x v="1"/>
    <n v="225518"/>
    <n v="3.24"/>
    <n v="4"/>
    <n v="25031347858.199997"/>
  </r>
  <r>
    <x v="12"/>
    <x v="29"/>
    <n v="2023"/>
    <x v="1"/>
    <n v="95648.05"/>
    <n v="112.2"/>
    <n v="409"/>
    <n v="200"/>
    <s v="Truck"/>
    <n v="4"/>
    <x v="1"/>
    <x v="0"/>
    <n v="20948"/>
    <n v="3.66"/>
    <n v="5"/>
    <n v="2003635351.4000001"/>
  </r>
  <r>
    <x v="7"/>
    <x v="10"/>
    <n v="2023"/>
    <x v="2"/>
    <n v="44658.67"/>
    <n v="73.2"/>
    <n v="219"/>
    <n v="140"/>
    <s v="Sedan"/>
    <n v="5"/>
    <x v="3"/>
    <x v="2"/>
    <n v="256210"/>
    <n v="3.39"/>
    <n v="5"/>
    <n v="11441997840.699999"/>
  </r>
  <r>
    <x v="7"/>
    <x v="24"/>
    <n v="2023"/>
    <x v="0"/>
    <n v="78653.83"/>
    <n v="94.4"/>
    <n v="350"/>
    <n v="189"/>
    <s v="Coupe"/>
    <n v="5"/>
    <x v="3"/>
    <x v="0"/>
    <n v="204287"/>
    <n v="3.97"/>
    <n v="4"/>
    <n v="16067954969.210001"/>
  </r>
  <r>
    <x v="3"/>
    <x v="37"/>
    <n v="2023"/>
    <x v="3"/>
    <n v="74284.45"/>
    <n v="84.2"/>
    <n v="286"/>
    <n v="162"/>
    <s v="Truck"/>
    <n v="5"/>
    <x v="2"/>
    <x v="0"/>
    <n v="128075"/>
    <n v="3.77"/>
    <n v="5"/>
    <n v="9513980933.75"/>
  </r>
  <r>
    <x v="3"/>
    <x v="11"/>
    <n v="2023"/>
    <x v="4"/>
    <n v="109450.6"/>
    <n v="64.2"/>
    <n v="232"/>
    <n v="143"/>
    <s v="Sedan"/>
    <n v="5"/>
    <x v="2"/>
    <x v="1"/>
    <n v="128508"/>
    <n v="3.59"/>
    <n v="4"/>
    <n v="14065277704.800001"/>
  </r>
  <r>
    <x v="2"/>
    <x v="35"/>
    <n v="2023"/>
    <x v="1"/>
    <n v="164467.67000000001"/>
    <n v="113.9"/>
    <n v="371"/>
    <n v="200"/>
    <s v="Van"/>
    <n v="5"/>
    <x v="1"/>
    <x v="1"/>
    <n v="146842"/>
    <n v="3.92"/>
    <n v="4"/>
    <n v="24150761598.140003"/>
  </r>
  <r>
    <x v="6"/>
    <x v="9"/>
    <n v="2023"/>
    <x v="3"/>
    <n v="55335.519999999997"/>
    <n v="51.9"/>
    <n v="156"/>
    <n v="176"/>
    <s v="Van"/>
    <n v="3"/>
    <x v="4"/>
    <x v="2"/>
    <n v="84896"/>
    <n v="3.28"/>
    <n v="5"/>
    <n v="4697764305.9200001"/>
  </r>
  <r>
    <x v="6"/>
    <x v="9"/>
    <n v="2023"/>
    <x v="0"/>
    <n v="41738.1"/>
    <n v="88.1"/>
    <n v="330"/>
    <n v="167"/>
    <s v="Hatchback"/>
    <n v="5"/>
    <x v="4"/>
    <x v="2"/>
    <n v="92151"/>
    <n v="3.69"/>
    <n v="4"/>
    <n v="3846207653.0999999"/>
  </r>
  <r>
    <x v="9"/>
    <x v="39"/>
    <n v="2023"/>
    <x v="0"/>
    <n v="122665.71"/>
    <n v="102.1"/>
    <n v="360"/>
    <n v="190"/>
    <s v="Hatchback"/>
    <n v="5"/>
    <x v="3"/>
    <x v="1"/>
    <n v="66187"/>
    <n v="3.78"/>
    <n v="7"/>
    <n v="8118875347.7700005"/>
  </r>
  <r>
    <x v="12"/>
    <x v="45"/>
    <n v="2024"/>
    <x v="4"/>
    <n v="49651.12"/>
    <n v="58.2"/>
    <n v="225"/>
    <n v="148"/>
    <s v="Van"/>
    <n v="4"/>
    <x v="1"/>
    <x v="2"/>
    <n v="16590"/>
    <n v="3.7"/>
    <n v="3"/>
    <n v="823712080.80000007"/>
  </r>
  <r>
    <x v="5"/>
    <x v="15"/>
    <n v="2024"/>
    <x v="0"/>
    <n v="38131.56"/>
    <n v="102.5"/>
    <n v="349"/>
    <n v="176"/>
    <s v="SUV"/>
    <n v="4"/>
    <x v="4"/>
    <x v="2"/>
    <n v="127201"/>
    <n v="3.81"/>
    <n v="3"/>
    <n v="4850372563.5599995"/>
  </r>
  <r>
    <x v="2"/>
    <x v="17"/>
    <n v="2024"/>
    <x v="4"/>
    <n v="128427.66"/>
    <n v="68.599999999999994"/>
    <n v="222"/>
    <n v="149"/>
    <s v="Coupe"/>
    <n v="5"/>
    <x v="1"/>
    <x v="1"/>
    <n v="213937"/>
    <n v="3.54"/>
    <n v="6"/>
    <n v="27475428297.420002"/>
  </r>
  <r>
    <x v="2"/>
    <x v="17"/>
    <n v="2024"/>
    <x v="4"/>
    <n v="95912.83"/>
    <n v="49.8"/>
    <n v="167"/>
    <n v="138"/>
    <s v="Sedan"/>
    <n v="4"/>
    <x v="1"/>
    <x v="0"/>
    <n v="124780"/>
    <n v="3.56"/>
    <n v="5"/>
    <n v="11968002927.4"/>
  </r>
  <r>
    <x v="2"/>
    <x v="2"/>
    <n v="2024"/>
    <x v="4"/>
    <n v="134964.13"/>
    <n v="67.400000000000006"/>
    <n v="250"/>
    <n v="135"/>
    <s v="Van"/>
    <n v="5"/>
    <x v="1"/>
    <x v="1"/>
    <n v="235048"/>
    <n v="3.81"/>
    <n v="5"/>
    <n v="31723048828.240002"/>
  </r>
  <r>
    <x v="3"/>
    <x v="6"/>
    <n v="2024"/>
    <x v="3"/>
    <n v="64427.02"/>
    <n v="70.5"/>
    <n v="265"/>
    <n v="138"/>
    <s v="Truck"/>
    <n v="5"/>
    <x v="2"/>
    <x v="2"/>
    <n v="204232"/>
    <n v="3.52"/>
    <n v="4"/>
    <n v="13158059148.639999"/>
  </r>
  <r>
    <x v="6"/>
    <x v="50"/>
    <n v="2024"/>
    <x v="4"/>
    <n v="63139.95"/>
    <n v="81"/>
    <n v="275"/>
    <n v="141"/>
    <s v="Coupe"/>
    <n v="4"/>
    <x v="4"/>
    <x v="2"/>
    <n v="132242"/>
    <n v="3.43"/>
    <n v="5"/>
    <n v="8349753267.8999996"/>
  </r>
  <r>
    <x v="7"/>
    <x v="24"/>
    <n v="2024"/>
    <x v="0"/>
    <n v="77030"/>
    <n v="88"/>
    <n v="332"/>
    <n v="183"/>
    <s v="Sedan"/>
    <n v="4"/>
    <x v="3"/>
    <x v="0"/>
    <n v="238587"/>
    <n v="3.37"/>
    <n v="4"/>
    <n v="18378356610"/>
  </r>
  <r>
    <x v="3"/>
    <x v="6"/>
    <n v="2024"/>
    <x v="4"/>
    <n v="72336.67"/>
    <n v="77.900000000000006"/>
    <n v="295"/>
    <n v="178"/>
    <s v="Van"/>
    <n v="3"/>
    <x v="2"/>
    <x v="0"/>
    <n v="168778"/>
    <n v="3.53"/>
    <n v="3"/>
    <n v="12208838489.26"/>
  </r>
  <r>
    <x v="3"/>
    <x v="42"/>
    <n v="2024"/>
    <x v="1"/>
    <n v="114839.62"/>
    <n v="76.599999999999994"/>
    <n v="293"/>
    <n v="200"/>
    <s v="SUV"/>
    <n v="5"/>
    <x v="2"/>
    <x v="1"/>
    <n v="229532"/>
    <n v="3.41"/>
    <n v="4"/>
    <n v="26359367657.84"/>
  </r>
  <r>
    <x v="7"/>
    <x v="44"/>
    <n v="2024"/>
    <x v="0"/>
    <n v="51142.17"/>
    <n v="101.7"/>
    <n v="359"/>
    <n v="161"/>
    <s v="Coupe"/>
    <n v="4"/>
    <x v="3"/>
    <x v="2"/>
    <n v="203079"/>
    <n v="3.64"/>
    <n v="5"/>
    <n v="10385900741.43"/>
  </r>
  <r>
    <x v="5"/>
    <x v="22"/>
    <n v="2024"/>
    <x v="3"/>
    <n v="66876.75"/>
    <n v="66.7"/>
    <n v="236"/>
    <n v="164"/>
    <s v="SUV"/>
    <n v="4"/>
    <x v="4"/>
    <x v="0"/>
    <n v="117514"/>
    <n v="3.53"/>
    <n v="3"/>
    <n v="7858954399.5"/>
  </r>
  <r>
    <x v="5"/>
    <x v="7"/>
    <n v="2024"/>
    <x v="1"/>
    <n v="105946.66"/>
    <n v="79.3"/>
    <n v="245"/>
    <n v="200"/>
    <s v="Coupe"/>
    <n v="4"/>
    <x v="4"/>
    <x v="1"/>
    <n v="147459"/>
    <n v="3.43"/>
    <n v="3"/>
    <n v="15622788536.940001"/>
  </r>
  <r>
    <x v="2"/>
    <x v="31"/>
    <n v="2024"/>
    <x v="1"/>
    <n v="42827.24"/>
    <n v="89.9"/>
    <n v="311"/>
    <n v="200"/>
    <s v="Truck"/>
    <n v="4"/>
    <x v="1"/>
    <x v="2"/>
    <n v="133489"/>
    <n v="3.82"/>
    <n v="5"/>
    <n v="5716965440.3599997"/>
  </r>
  <r>
    <x v="2"/>
    <x v="31"/>
    <n v="2024"/>
    <x v="3"/>
    <n v="121805.3"/>
    <n v="58.9"/>
    <n v="204"/>
    <n v="173"/>
    <s v="Truck"/>
    <n v="4"/>
    <x v="1"/>
    <x v="1"/>
    <n v="225373"/>
    <n v="3.75"/>
    <n v="5"/>
    <n v="27451625876.900002"/>
  </r>
  <r>
    <x v="2"/>
    <x v="35"/>
    <n v="2024"/>
    <x v="0"/>
    <n v="117517.98"/>
    <n v="101"/>
    <n v="350"/>
    <n v="186"/>
    <s v="Truck"/>
    <n v="5"/>
    <x v="1"/>
    <x v="1"/>
    <n v="122440"/>
    <n v="3.96"/>
    <n v="5"/>
    <n v="14388901471.199999"/>
  </r>
  <r>
    <x v="3"/>
    <x v="3"/>
    <n v="2024"/>
    <x v="2"/>
    <n v="24029.61"/>
    <n v="45.6"/>
    <n v="153"/>
    <n v="177"/>
    <s v="Sedan"/>
    <n v="5"/>
    <x v="2"/>
    <x v="3"/>
    <n v="157077"/>
    <n v="3.46"/>
    <n v="3"/>
    <n v="3774499049.9700003"/>
  </r>
  <r>
    <x v="9"/>
    <x v="39"/>
    <n v="2024"/>
    <x v="0"/>
    <n v="120387.4"/>
    <n v="79.400000000000006"/>
    <n v="285"/>
    <n v="193"/>
    <s v="Truck"/>
    <n v="4"/>
    <x v="3"/>
    <x v="1"/>
    <n v="62864"/>
    <n v="3.27"/>
    <n v="8"/>
    <n v="7568033513.5999994"/>
  </r>
  <r>
    <x v="5"/>
    <x v="15"/>
    <n v="2024"/>
    <x v="0"/>
    <n v="95244.75"/>
    <n v="77.2"/>
    <n v="262"/>
    <n v="194"/>
    <s v="SUV"/>
    <n v="4"/>
    <x v="4"/>
    <x v="0"/>
    <n v="76023"/>
    <n v="3.44"/>
    <n v="3"/>
    <n v="7240791629.25"/>
  </r>
  <r>
    <x v="11"/>
    <x v="30"/>
    <n v="2024"/>
    <x v="2"/>
    <n v="66816.36"/>
    <n v="69.900000000000006"/>
    <n v="247"/>
    <n v="171"/>
    <s v="Sedan"/>
    <n v="5"/>
    <x v="1"/>
    <x v="0"/>
    <n v="27456"/>
    <n v="3.39"/>
    <n v="6"/>
    <n v="1834509980.1600001"/>
  </r>
  <r>
    <x v="7"/>
    <x v="10"/>
    <n v="2024"/>
    <x v="0"/>
    <n v="42431.05"/>
    <n v="88.6"/>
    <n v="306"/>
    <n v="166"/>
    <s v="Coupe"/>
    <n v="3"/>
    <x v="3"/>
    <x v="2"/>
    <n v="260840"/>
    <n v="3.53"/>
    <n v="4"/>
    <n v="11067715082"/>
  </r>
  <r>
    <x v="3"/>
    <x v="8"/>
    <n v="2024"/>
    <x v="1"/>
    <n v="30671.06"/>
    <n v="87.5"/>
    <n v="303"/>
    <n v="190"/>
    <s v="Sedan"/>
    <n v="5"/>
    <x v="2"/>
    <x v="3"/>
    <n v="201621"/>
    <n v="3.28"/>
    <n v="4"/>
    <n v="6183929788.2600002"/>
  </r>
  <r>
    <x v="3"/>
    <x v="8"/>
    <n v="2024"/>
    <x v="4"/>
    <n v="83518.44"/>
    <n v="77.099999999999994"/>
    <n v="267"/>
    <n v="146"/>
    <s v="Coupe"/>
    <n v="3"/>
    <x v="2"/>
    <x v="0"/>
    <n v="148454"/>
    <n v="3.28"/>
    <n v="5"/>
    <n v="12398646491.76"/>
  </r>
  <r>
    <x v="5"/>
    <x v="7"/>
    <n v="2024"/>
    <x v="4"/>
    <n v="68436.66"/>
    <n v="70"/>
    <n v="249"/>
    <n v="141"/>
    <s v="Coupe"/>
    <n v="3"/>
    <x v="4"/>
    <x v="0"/>
    <n v="81219"/>
    <n v="3.63"/>
    <n v="3"/>
    <n v="5558357088.54"/>
  </r>
  <r>
    <x v="8"/>
    <x v="34"/>
    <n v="2024"/>
    <x v="0"/>
    <n v="66402.61"/>
    <n v="90.5"/>
    <n v="334"/>
    <n v="162"/>
    <s v="Van"/>
    <n v="5"/>
    <x v="1"/>
    <x v="0"/>
    <n v="36517"/>
    <n v="3.69"/>
    <n v="3"/>
    <n v="2424824109.3699999"/>
  </r>
  <r>
    <x v="2"/>
    <x v="35"/>
    <n v="2024"/>
    <x v="1"/>
    <n v="42932.18"/>
    <n v="99"/>
    <n v="356"/>
    <n v="192"/>
    <s v="Hatchback"/>
    <n v="5"/>
    <x v="1"/>
    <x v="2"/>
    <n v="238196"/>
    <n v="4"/>
    <n v="5"/>
    <n v="10226273547.280001"/>
  </r>
  <r>
    <x v="2"/>
    <x v="2"/>
    <n v="2024"/>
    <x v="4"/>
    <n v="66707.72"/>
    <n v="45.8"/>
    <n v="150"/>
    <n v="166"/>
    <s v="Van"/>
    <n v="5"/>
    <x v="1"/>
    <x v="0"/>
    <n v="187104"/>
    <n v="3.23"/>
    <n v="5"/>
    <n v="12481281242.880001"/>
  </r>
  <r>
    <x v="8"/>
    <x v="34"/>
    <n v="2024"/>
    <x v="0"/>
    <n v="69723.399999999994"/>
    <n v="91.5"/>
    <n v="331"/>
    <n v="180"/>
    <s v="Truck"/>
    <n v="5"/>
    <x v="1"/>
    <x v="0"/>
    <n v="54063"/>
    <n v="3.64"/>
    <n v="4"/>
    <n v="3769456174.1999998"/>
  </r>
  <r>
    <x v="12"/>
    <x v="46"/>
    <n v="2024"/>
    <x v="0"/>
    <n v="78668.52"/>
    <n v="102.9"/>
    <n v="368"/>
    <n v="179"/>
    <s v="SUV"/>
    <n v="5"/>
    <x v="1"/>
    <x v="0"/>
    <n v="14020"/>
    <n v="3.97"/>
    <n v="4"/>
    <n v="1102932650.4000001"/>
  </r>
  <r>
    <x v="8"/>
    <x v="60"/>
    <n v="2024"/>
    <x v="3"/>
    <n v="79438.2"/>
    <n v="82.5"/>
    <n v="299"/>
    <n v="149"/>
    <s v="Van"/>
    <n v="5"/>
    <x v="1"/>
    <x v="0"/>
    <n v="21827"/>
    <n v="3.81"/>
    <n v="3"/>
    <n v="1733897591.3999999"/>
  </r>
  <r>
    <x v="2"/>
    <x v="17"/>
    <n v="2024"/>
    <x v="1"/>
    <n v="139025.28"/>
    <n v="93.4"/>
    <n v="320"/>
    <n v="200"/>
    <s v="Coupe"/>
    <n v="4"/>
    <x v="1"/>
    <x v="1"/>
    <n v="220216"/>
    <n v="4.07"/>
    <n v="5"/>
    <n v="30615591060.48"/>
  </r>
  <r>
    <x v="2"/>
    <x v="31"/>
    <n v="2024"/>
    <x v="0"/>
    <n v="158925.9"/>
    <n v="82.5"/>
    <n v="291"/>
    <n v="186"/>
    <s v="Truck"/>
    <n v="5"/>
    <x v="1"/>
    <x v="1"/>
    <n v="138950"/>
    <n v="3.85"/>
    <n v="6"/>
    <n v="22082753805"/>
  </r>
  <r>
    <x v="3"/>
    <x v="37"/>
    <n v="2024"/>
    <x v="4"/>
    <n v="100360.19"/>
    <n v="50"/>
    <n v="193"/>
    <n v="155"/>
    <s v="Van"/>
    <n v="5"/>
    <x v="2"/>
    <x v="1"/>
    <n v="137465"/>
    <n v="3.1"/>
    <n v="4"/>
    <n v="13796013518.35"/>
  </r>
  <r>
    <x v="9"/>
    <x v="39"/>
    <n v="2024"/>
    <x v="3"/>
    <n v="84405.92"/>
    <n v="52.5"/>
    <n v="173"/>
    <n v="169"/>
    <s v="Truck"/>
    <n v="3"/>
    <x v="3"/>
    <x v="0"/>
    <n v="42777"/>
    <n v="3.19"/>
    <n v="6"/>
    <n v="3610632039.8400002"/>
  </r>
  <r>
    <x v="4"/>
    <x v="4"/>
    <n v="2024"/>
    <x v="3"/>
    <n v="73910.789999999994"/>
    <n v="41.9"/>
    <n v="150"/>
    <n v="142"/>
    <s v="SUV"/>
    <n v="4"/>
    <x v="3"/>
    <x v="0"/>
    <n v="36319"/>
    <n v="3"/>
    <n v="5"/>
    <n v="2684365982.0099998"/>
  </r>
  <r>
    <x v="2"/>
    <x v="31"/>
    <n v="2024"/>
    <x v="2"/>
    <n v="38394.15"/>
    <n v="47.7"/>
    <n v="189"/>
    <n v="169"/>
    <s v="Truck"/>
    <n v="3"/>
    <x v="1"/>
    <x v="2"/>
    <n v="246203"/>
    <n v="3.51"/>
    <n v="4"/>
    <n v="9452754912.4500008"/>
  </r>
  <r>
    <x v="12"/>
    <x v="52"/>
    <n v="2024"/>
    <x v="0"/>
    <n v="76560.479999999996"/>
    <n v="82.9"/>
    <n v="300"/>
    <n v="184"/>
    <s v="Van"/>
    <n v="4"/>
    <x v="1"/>
    <x v="0"/>
    <n v="12139"/>
    <n v="3.5"/>
    <n v="4"/>
    <n v="929367666.71999991"/>
  </r>
  <r>
    <x v="6"/>
    <x v="20"/>
    <n v="2024"/>
    <x v="3"/>
    <n v="44654.99"/>
    <n v="65.400000000000006"/>
    <n v="223"/>
    <n v="146"/>
    <s v="SUV"/>
    <n v="4"/>
    <x v="4"/>
    <x v="2"/>
    <n v="128091"/>
    <n v="3"/>
    <n v="4"/>
    <n v="5719902324.0900002"/>
  </r>
  <r>
    <x v="2"/>
    <x v="31"/>
    <n v="2024"/>
    <x v="1"/>
    <n v="177944.09"/>
    <n v="93"/>
    <n v="295"/>
    <n v="193"/>
    <s v="Truck"/>
    <n v="3"/>
    <x v="1"/>
    <x v="1"/>
    <n v="234160"/>
    <n v="3.91"/>
    <n v="6"/>
    <n v="41667388114.400002"/>
  </r>
  <r>
    <x v="2"/>
    <x v="31"/>
    <n v="2024"/>
    <x v="2"/>
    <n v="59967.87"/>
    <n v="70"/>
    <n v="238"/>
    <n v="159"/>
    <s v="Truck"/>
    <n v="4"/>
    <x v="1"/>
    <x v="2"/>
    <n v="228933"/>
    <n v="3.44"/>
    <n v="5"/>
    <n v="13728624382.710001"/>
  </r>
  <r>
    <x v="9"/>
    <x v="38"/>
    <n v="2024"/>
    <x v="1"/>
    <n v="84125.95"/>
    <n v="98.9"/>
    <n v="363"/>
    <n v="192"/>
    <s v="Hatchback"/>
    <n v="5"/>
    <x v="3"/>
    <x v="0"/>
    <n v="33561"/>
    <n v="3.47"/>
    <n v="7"/>
    <n v="2823351007.9499998"/>
  </r>
  <r>
    <x v="7"/>
    <x v="27"/>
    <n v="2024"/>
    <x v="1"/>
    <n v="50097.49"/>
    <n v="98.3"/>
    <n v="341"/>
    <n v="200"/>
    <s v="Van"/>
    <n v="3"/>
    <x v="3"/>
    <x v="2"/>
    <n v="263009"/>
    <n v="3.76"/>
    <n v="5"/>
    <n v="13176090747.41"/>
  </r>
  <r>
    <x v="12"/>
    <x v="36"/>
    <n v="2024"/>
    <x v="4"/>
    <n v="43668.28"/>
    <n v="79.400000000000006"/>
    <n v="284"/>
    <n v="120"/>
    <s v="Truck"/>
    <n v="4"/>
    <x v="1"/>
    <x v="2"/>
    <n v="1211"/>
    <n v="3.34"/>
    <n v="3"/>
    <n v="52882287.079999998"/>
  </r>
  <r>
    <x v="8"/>
    <x v="12"/>
    <n v="2024"/>
    <x v="0"/>
    <n v="54997.37"/>
    <n v="100.7"/>
    <n v="353"/>
    <n v="183"/>
    <s v="Truck"/>
    <n v="5"/>
    <x v="1"/>
    <x v="2"/>
    <n v="49671"/>
    <n v="3.66"/>
    <n v="3"/>
    <n v="2731774365.27"/>
  </r>
  <r>
    <x v="4"/>
    <x v="4"/>
    <n v="2024"/>
    <x v="0"/>
    <n v="130606.12"/>
    <n v="106.6"/>
    <n v="385"/>
    <n v="169"/>
    <s v="SUV"/>
    <n v="5"/>
    <x v="3"/>
    <x v="1"/>
    <n v="39897"/>
    <n v="3.7"/>
    <n v="7"/>
    <n v="5210792369.6399994"/>
  </r>
  <r>
    <x v="3"/>
    <x v="6"/>
    <n v="2024"/>
    <x v="0"/>
    <n v="47823.41"/>
    <n v="77.2"/>
    <n v="258"/>
    <n v="182"/>
    <s v="Coupe"/>
    <n v="5"/>
    <x v="2"/>
    <x v="2"/>
    <n v="108045"/>
    <n v="3.61"/>
    <n v="4"/>
    <n v="5167080333.4500008"/>
  </r>
  <r>
    <x v="3"/>
    <x v="14"/>
    <n v="2024"/>
    <x v="3"/>
    <n v="21712.400000000001"/>
    <n v="83.3"/>
    <n v="307"/>
    <n v="171"/>
    <s v="Van"/>
    <n v="4"/>
    <x v="2"/>
    <x v="3"/>
    <n v="169389"/>
    <n v="3.37"/>
    <n v="3"/>
    <n v="3677841723.6000004"/>
  </r>
  <r>
    <x v="7"/>
    <x v="10"/>
    <n v="2024"/>
    <x v="0"/>
    <n v="54335.65"/>
    <n v="77.599999999999994"/>
    <n v="286"/>
    <n v="186"/>
    <s v="Sedan"/>
    <n v="5"/>
    <x v="3"/>
    <x v="2"/>
    <n v="284565"/>
    <n v="3.65"/>
    <n v="3"/>
    <n v="15462024242.25"/>
  </r>
  <r>
    <x v="8"/>
    <x v="34"/>
    <n v="2024"/>
    <x v="2"/>
    <n v="53737.95"/>
    <n v="61.5"/>
    <n v="226"/>
    <n v="152"/>
    <s v="Sedan"/>
    <n v="3"/>
    <x v="1"/>
    <x v="2"/>
    <n v="62660"/>
    <n v="3.28"/>
    <n v="3"/>
    <n v="3367219947"/>
  </r>
  <r>
    <x v="2"/>
    <x v="5"/>
    <n v="2024"/>
    <x v="2"/>
    <n v="105607.38"/>
    <n v="44.4"/>
    <n v="150"/>
    <n v="163"/>
    <s v="Van"/>
    <n v="4"/>
    <x v="1"/>
    <x v="1"/>
    <n v="422392"/>
    <n v="3.52"/>
    <n v="5"/>
    <n v="44607712452.959999"/>
  </r>
  <r>
    <x v="2"/>
    <x v="17"/>
    <n v="2024"/>
    <x v="0"/>
    <n v="138760.95999999999"/>
    <n v="99.4"/>
    <n v="376"/>
    <n v="175"/>
    <s v="Sedan"/>
    <n v="5"/>
    <x v="1"/>
    <x v="1"/>
    <n v="204411"/>
    <n v="3.95"/>
    <n v="5"/>
    <n v="28364266594.559998"/>
  </r>
  <r>
    <x v="3"/>
    <x v="8"/>
    <n v="2024"/>
    <x v="4"/>
    <n v="89340.39"/>
    <n v="64.599999999999994"/>
    <n v="223"/>
    <n v="132"/>
    <s v="Van"/>
    <n v="5"/>
    <x v="2"/>
    <x v="0"/>
    <n v="229760"/>
    <n v="3.35"/>
    <n v="4"/>
    <n v="20526848006.400002"/>
  </r>
  <r>
    <x v="6"/>
    <x v="20"/>
    <n v="2024"/>
    <x v="2"/>
    <n v="29445.040000000001"/>
    <n v="64.2"/>
    <n v="222"/>
    <n v="173"/>
    <s v="Hatchback"/>
    <n v="5"/>
    <x v="4"/>
    <x v="3"/>
    <n v="53245"/>
    <n v="3.2"/>
    <n v="3"/>
    <n v="1567801154.8"/>
  </r>
  <r>
    <x v="2"/>
    <x v="31"/>
    <n v="2024"/>
    <x v="0"/>
    <n v="57586.87"/>
    <n v="108.4"/>
    <n v="364"/>
    <n v="163"/>
    <s v="Truck"/>
    <n v="4"/>
    <x v="1"/>
    <x v="2"/>
    <n v="136381"/>
    <n v="3.84"/>
    <n v="4"/>
    <n v="7853754917.4700003"/>
  </r>
  <r>
    <x v="4"/>
    <x v="4"/>
    <n v="2024"/>
    <x v="3"/>
    <n v="112837.91"/>
    <n v="61"/>
    <n v="222"/>
    <n v="144"/>
    <s v="Sedan"/>
    <n v="3"/>
    <x v="3"/>
    <x v="1"/>
    <n v="45029"/>
    <n v="3.56"/>
    <n v="8"/>
    <n v="5080978249.3900003"/>
  </r>
  <r>
    <x v="2"/>
    <x v="5"/>
    <n v="2024"/>
    <x v="2"/>
    <n v="40219.61"/>
    <n v="80.099999999999994"/>
    <n v="308"/>
    <n v="171"/>
    <s v="Coupe"/>
    <n v="5"/>
    <x v="1"/>
    <x v="2"/>
    <n v="429025"/>
    <n v="3.73"/>
    <n v="5"/>
    <n v="17255218180.25"/>
  </r>
  <r>
    <x v="15"/>
    <x v="67"/>
    <n v="2024"/>
    <x v="4"/>
    <n v="142936.98000000001"/>
    <n v="54.2"/>
    <n v="186"/>
    <n v="130"/>
    <s v="SUV"/>
    <n v="5"/>
    <x v="3"/>
    <x v="1"/>
    <n v="23751"/>
    <n v="3.87"/>
    <n v="5"/>
    <n v="3394896211.98"/>
  </r>
  <r>
    <x v="3"/>
    <x v="14"/>
    <n v="2024"/>
    <x v="1"/>
    <n v="99381.36"/>
    <n v="80.7"/>
    <n v="289"/>
    <n v="200"/>
    <s v="Truck"/>
    <n v="4"/>
    <x v="2"/>
    <x v="0"/>
    <n v="152043"/>
    <n v="3.48"/>
    <n v="4"/>
    <n v="15110240118.48"/>
  </r>
  <r>
    <x v="9"/>
    <x v="39"/>
    <n v="2024"/>
    <x v="4"/>
    <n v="109123.19"/>
    <n v="75.8"/>
    <n v="284"/>
    <n v="136"/>
    <s v="Van"/>
    <n v="5"/>
    <x v="3"/>
    <x v="1"/>
    <n v="54152"/>
    <n v="3.63"/>
    <n v="8"/>
    <n v="5909238984.8800001"/>
  </r>
  <r>
    <x v="3"/>
    <x v="11"/>
    <n v="2024"/>
    <x v="2"/>
    <n v="19470.990000000002"/>
    <n v="82.7"/>
    <n v="291"/>
    <n v="159"/>
    <s v="Truck"/>
    <n v="3"/>
    <x v="2"/>
    <x v="3"/>
    <n v="210937"/>
    <n v="3.48"/>
    <n v="3"/>
    <n v="4107152217.6300001"/>
  </r>
  <r>
    <x v="13"/>
    <x v="48"/>
    <n v="2024"/>
    <x v="4"/>
    <n v="194076.68"/>
    <n v="41.1"/>
    <n v="160"/>
    <n v="136"/>
    <s v="Hatchback"/>
    <n v="3"/>
    <x v="3"/>
    <x v="1"/>
    <n v="69583"/>
    <n v="3.65"/>
    <n v="7"/>
    <n v="13504437624.439999"/>
  </r>
  <r>
    <x v="2"/>
    <x v="5"/>
    <n v="2024"/>
    <x v="3"/>
    <n v="31623.119999999999"/>
    <n v="77.5"/>
    <n v="246"/>
    <n v="165"/>
    <s v="Hatchback"/>
    <n v="5"/>
    <x v="1"/>
    <x v="3"/>
    <n v="457458"/>
    <n v="3.75"/>
    <n v="5"/>
    <n v="14466249228.959999"/>
  </r>
  <r>
    <x v="3"/>
    <x v="37"/>
    <n v="2024"/>
    <x v="2"/>
    <n v="77144.36"/>
    <n v="70.900000000000006"/>
    <n v="259"/>
    <n v="137"/>
    <s v="Hatchback"/>
    <n v="4"/>
    <x v="2"/>
    <x v="0"/>
    <n v="140199"/>
    <n v="3.58"/>
    <n v="5"/>
    <n v="10815562127.639999"/>
  </r>
  <r>
    <x v="3"/>
    <x v="37"/>
    <n v="2024"/>
    <x v="3"/>
    <n v="55111.29"/>
    <n v="68.400000000000006"/>
    <n v="223"/>
    <n v="171"/>
    <s v="Hatchback"/>
    <n v="4"/>
    <x v="2"/>
    <x v="2"/>
    <n v="112631"/>
    <n v="3.46"/>
    <n v="5"/>
    <n v="6207239703.9899998"/>
  </r>
  <r>
    <x v="5"/>
    <x v="22"/>
    <n v="2024"/>
    <x v="4"/>
    <n v="65472.17"/>
    <n v="78.2"/>
    <n v="224"/>
    <n v="133"/>
    <s v="SUV"/>
    <n v="4"/>
    <x v="4"/>
    <x v="0"/>
    <n v="60682"/>
    <n v="3.3"/>
    <n v="3"/>
    <n v="3972982219.9400001"/>
  </r>
  <r>
    <x v="2"/>
    <x v="2"/>
    <n v="2024"/>
    <x v="1"/>
    <n v="119857.21"/>
    <n v="83.5"/>
    <n v="307"/>
    <n v="200"/>
    <s v="Truck"/>
    <n v="4"/>
    <x v="1"/>
    <x v="1"/>
    <n v="142701"/>
    <n v="4.1399999999999997"/>
    <n v="5"/>
    <n v="17103743724.210001"/>
  </r>
  <r>
    <x v="8"/>
    <x v="34"/>
    <n v="2024"/>
    <x v="1"/>
    <n v="105603.42"/>
    <n v="114.4"/>
    <n v="427"/>
    <n v="200"/>
    <s v="Van"/>
    <n v="4"/>
    <x v="1"/>
    <x v="1"/>
    <n v="31600"/>
    <n v="4.03"/>
    <n v="5"/>
    <n v="3337068072"/>
  </r>
  <r>
    <x v="9"/>
    <x v="19"/>
    <n v="2024"/>
    <x v="0"/>
    <n v="93724.2"/>
    <n v="100"/>
    <n v="326"/>
    <n v="188"/>
    <s v="Van"/>
    <n v="4"/>
    <x v="3"/>
    <x v="0"/>
    <n v="36760"/>
    <n v="3.63"/>
    <n v="6"/>
    <n v="3445301592"/>
  </r>
  <r>
    <x v="3"/>
    <x v="11"/>
    <n v="2024"/>
    <x v="3"/>
    <n v="32276.7"/>
    <n v="53.8"/>
    <n v="220"/>
    <n v="142"/>
    <s v="Hatchback"/>
    <n v="5"/>
    <x v="2"/>
    <x v="3"/>
    <n v="236029"/>
    <n v="3.7"/>
    <n v="4"/>
    <n v="7618237224.3000002"/>
  </r>
  <r>
    <x v="12"/>
    <x v="45"/>
    <n v="2024"/>
    <x v="3"/>
    <n v="61070.92"/>
    <n v="75.7"/>
    <n v="280"/>
    <n v="156"/>
    <s v="Hatchback"/>
    <n v="5"/>
    <x v="1"/>
    <x v="2"/>
    <n v="2434"/>
    <n v="3.31"/>
    <n v="4"/>
    <n v="148646619.28"/>
  </r>
  <r>
    <x v="12"/>
    <x v="45"/>
    <n v="2024"/>
    <x v="2"/>
    <n v="56305.37"/>
    <n v="52"/>
    <n v="170"/>
    <n v="149"/>
    <s v="Van"/>
    <n v="4"/>
    <x v="1"/>
    <x v="2"/>
    <n v="2728"/>
    <n v="3.2"/>
    <n v="5"/>
    <n v="153601049.36000001"/>
  </r>
  <r>
    <x v="5"/>
    <x v="23"/>
    <n v="2024"/>
    <x v="3"/>
    <n v="44920.54"/>
    <n v="57.9"/>
    <n v="198"/>
    <n v="122"/>
    <s v="Truck"/>
    <n v="5"/>
    <x v="4"/>
    <x v="2"/>
    <n v="145791"/>
    <n v="3"/>
    <n v="5"/>
    <n v="6549010447.1400003"/>
  </r>
  <r>
    <x v="2"/>
    <x v="31"/>
    <n v="2024"/>
    <x v="4"/>
    <n v="47891.48"/>
    <n v="42.5"/>
    <n v="164"/>
    <n v="175"/>
    <s v="Truck"/>
    <n v="3"/>
    <x v="1"/>
    <x v="2"/>
    <n v="118665"/>
    <n v="3.65"/>
    <n v="6"/>
    <n v="5683042474.2000008"/>
  </r>
  <r>
    <x v="1"/>
    <x v="1"/>
    <n v="2024"/>
    <x v="4"/>
    <n v="67456.63"/>
    <n v="41.7"/>
    <n v="150"/>
    <n v="169"/>
    <s v="Coupe"/>
    <n v="4"/>
    <x v="1"/>
    <x v="0"/>
    <n v="20333"/>
    <n v="3.29"/>
    <n v="4"/>
    <n v="1371595657.7900002"/>
  </r>
  <r>
    <x v="6"/>
    <x v="9"/>
    <n v="2024"/>
    <x v="0"/>
    <n v="83570.149999999994"/>
    <n v="78.5"/>
    <n v="258"/>
    <n v="189"/>
    <s v="Coupe"/>
    <n v="5"/>
    <x v="4"/>
    <x v="0"/>
    <n v="145959"/>
    <n v="3.37"/>
    <n v="4"/>
    <n v="12197815523.849998"/>
  </r>
  <r>
    <x v="3"/>
    <x v="42"/>
    <n v="2024"/>
    <x v="4"/>
    <n v="107358.88"/>
    <n v="58.4"/>
    <n v="205"/>
    <n v="132"/>
    <s v="Coupe"/>
    <n v="3"/>
    <x v="2"/>
    <x v="1"/>
    <n v="110469"/>
    <n v="3.56"/>
    <n v="4"/>
    <n v="11859828114.720001"/>
  </r>
  <r>
    <x v="7"/>
    <x v="10"/>
    <n v="2024"/>
    <x v="0"/>
    <n v="59514"/>
    <n v="103.6"/>
    <n v="337"/>
    <n v="183"/>
    <s v="SUV"/>
    <n v="4"/>
    <x v="3"/>
    <x v="2"/>
    <n v="230145"/>
    <n v="3.7"/>
    <n v="3"/>
    <n v="13696849530"/>
  </r>
  <r>
    <x v="11"/>
    <x v="25"/>
    <n v="2024"/>
    <x v="3"/>
    <n v="84156.92"/>
    <n v="68.400000000000006"/>
    <n v="226"/>
    <n v="165"/>
    <s v="Coupe"/>
    <n v="4"/>
    <x v="1"/>
    <x v="0"/>
    <n v="29685"/>
    <n v="3.44"/>
    <n v="4"/>
    <n v="2498198170.1999998"/>
  </r>
  <r>
    <x v="7"/>
    <x v="44"/>
    <n v="2024"/>
    <x v="2"/>
    <n v="39960.53"/>
    <n v="63.9"/>
    <n v="252"/>
    <n v="165"/>
    <s v="Sedan"/>
    <n v="4"/>
    <x v="3"/>
    <x v="2"/>
    <n v="212818"/>
    <n v="3.48"/>
    <n v="3"/>
    <n v="8504320073.54"/>
  </r>
  <r>
    <x v="1"/>
    <x v="1"/>
    <n v="2024"/>
    <x v="0"/>
    <n v="115878.52"/>
    <n v="94.5"/>
    <n v="334"/>
    <n v="166"/>
    <s v="Truck"/>
    <n v="4"/>
    <x v="1"/>
    <x v="1"/>
    <n v="6077"/>
    <n v="3.64"/>
    <n v="5"/>
    <n v="704193766.04000008"/>
  </r>
  <r>
    <x v="0"/>
    <x v="0"/>
    <n v="2024"/>
    <x v="0"/>
    <n v="64461.760000000002"/>
    <n v="85.4"/>
    <n v="288"/>
    <n v="180"/>
    <s v="SUV"/>
    <n v="4"/>
    <x v="0"/>
    <x v="2"/>
    <n v="1214"/>
    <n v="3.76"/>
    <n v="4"/>
    <n v="78256576.640000001"/>
  </r>
  <r>
    <x v="6"/>
    <x v="20"/>
    <n v="2024"/>
    <x v="2"/>
    <n v="50276.57"/>
    <n v="73.2"/>
    <n v="241"/>
    <n v="138"/>
    <s v="Van"/>
    <n v="3"/>
    <x v="4"/>
    <x v="2"/>
    <n v="126203"/>
    <n v="3.42"/>
    <n v="4"/>
    <n v="6345053963.71"/>
  </r>
  <r>
    <x v="3"/>
    <x v="37"/>
    <n v="2024"/>
    <x v="1"/>
    <n v="118468.84"/>
    <n v="86.8"/>
    <n v="291"/>
    <n v="200"/>
    <s v="Coupe"/>
    <n v="4"/>
    <x v="2"/>
    <x v="1"/>
    <n v="209498"/>
    <n v="3.76"/>
    <n v="3"/>
    <n v="24818985042.32"/>
  </r>
  <r>
    <x v="8"/>
    <x v="60"/>
    <n v="2024"/>
    <x v="2"/>
    <n v="52120.46"/>
    <n v="64.5"/>
    <n v="208"/>
    <n v="181"/>
    <s v="Coupe"/>
    <n v="4"/>
    <x v="1"/>
    <x v="2"/>
    <n v="29029"/>
    <n v="3.16"/>
    <n v="4"/>
    <n v="1513004833.3399999"/>
  </r>
  <r>
    <x v="13"/>
    <x v="59"/>
    <n v="2024"/>
    <x v="0"/>
    <n v="169395.24"/>
    <n v="99.7"/>
    <n v="323"/>
    <n v="172"/>
    <s v="Truck"/>
    <n v="3"/>
    <x v="3"/>
    <x v="1"/>
    <n v="60151"/>
    <n v="3.87"/>
    <n v="7"/>
    <n v="10189293081.24"/>
  </r>
  <r>
    <x v="6"/>
    <x v="20"/>
    <n v="2024"/>
    <x v="1"/>
    <n v="50087.55"/>
    <n v="104.8"/>
    <n v="362"/>
    <n v="188"/>
    <s v="Truck"/>
    <n v="5"/>
    <x v="4"/>
    <x v="2"/>
    <n v="62703"/>
    <n v="3.86"/>
    <n v="3"/>
    <n v="3140639647.6500001"/>
  </r>
  <r>
    <x v="3"/>
    <x v="3"/>
    <n v="2024"/>
    <x v="2"/>
    <n v="36467.370000000003"/>
    <n v="45"/>
    <n v="150"/>
    <n v="169"/>
    <s v="Coupe"/>
    <n v="4"/>
    <x v="2"/>
    <x v="2"/>
    <n v="220450"/>
    <n v="3.22"/>
    <n v="4"/>
    <n v="8039231716.500001"/>
  </r>
  <r>
    <x v="13"/>
    <x v="48"/>
    <n v="2024"/>
    <x v="2"/>
    <n v="116775.93"/>
    <n v="78.599999999999994"/>
    <n v="259"/>
    <n v="166"/>
    <s v="Hatchback"/>
    <n v="4"/>
    <x v="3"/>
    <x v="1"/>
    <n v="43904"/>
    <n v="3.6"/>
    <n v="6"/>
    <n v="5126930430.7199993"/>
  </r>
  <r>
    <x v="7"/>
    <x v="27"/>
    <n v="2024"/>
    <x v="4"/>
    <n v="98791.59"/>
    <n v="77"/>
    <n v="250"/>
    <n v="133"/>
    <s v="Hatchback"/>
    <n v="5"/>
    <x v="3"/>
    <x v="0"/>
    <n v="289215"/>
    <n v="3.46"/>
    <n v="4"/>
    <n v="28572009701.849998"/>
  </r>
  <r>
    <x v="6"/>
    <x v="50"/>
    <n v="2024"/>
    <x v="4"/>
    <n v="75053.58"/>
    <n v="43"/>
    <n v="154"/>
    <n v="150"/>
    <s v="Truck"/>
    <n v="4"/>
    <x v="4"/>
    <x v="0"/>
    <n v="86699"/>
    <n v="3.36"/>
    <n v="4"/>
    <n v="6507070332.4200001"/>
  </r>
  <r>
    <x v="3"/>
    <x v="3"/>
    <n v="2024"/>
    <x v="3"/>
    <n v="39727.71"/>
    <n v="45.3"/>
    <n v="154"/>
    <n v="170"/>
    <s v="Van"/>
    <n v="4"/>
    <x v="2"/>
    <x v="2"/>
    <n v="139199"/>
    <n v="3.11"/>
    <n v="5"/>
    <n v="5530057504.29"/>
  </r>
  <r>
    <x v="6"/>
    <x v="9"/>
    <n v="2024"/>
    <x v="4"/>
    <n v="80948.92"/>
    <n v="68.599999999999994"/>
    <n v="262"/>
    <n v="162"/>
    <s v="Van"/>
    <n v="5"/>
    <x v="4"/>
    <x v="0"/>
    <n v="134570"/>
    <n v="3.64"/>
    <n v="3"/>
    <n v="10893296164.4"/>
  </r>
  <r>
    <x v="3"/>
    <x v="14"/>
    <n v="2024"/>
    <x v="4"/>
    <n v="67622.89"/>
    <n v="80.400000000000006"/>
    <n v="289"/>
    <n v="131"/>
    <s v="Hatchback"/>
    <n v="4"/>
    <x v="2"/>
    <x v="0"/>
    <n v="235660"/>
    <n v="3.57"/>
    <n v="5"/>
    <n v="15936010257.4"/>
  </r>
  <r>
    <x v="3"/>
    <x v="37"/>
    <n v="2024"/>
    <x v="2"/>
    <n v="56388.91"/>
    <n v="73.7"/>
    <n v="242"/>
    <n v="156"/>
    <s v="Sedan"/>
    <n v="5"/>
    <x v="2"/>
    <x v="2"/>
    <n v="205113"/>
    <n v="3.4"/>
    <n v="4"/>
    <n v="11566098496.83"/>
  </r>
  <r>
    <x v="2"/>
    <x v="31"/>
    <n v="2024"/>
    <x v="2"/>
    <n v="37365.06"/>
    <n v="44.7"/>
    <n v="150"/>
    <n v="169"/>
    <s v="Truck"/>
    <n v="5"/>
    <x v="1"/>
    <x v="2"/>
    <n v="220616"/>
    <n v="3.81"/>
    <n v="5"/>
    <n v="8243330076.9599991"/>
  </r>
  <r>
    <x v="3"/>
    <x v="37"/>
    <n v="2024"/>
    <x v="2"/>
    <n v="76472.570000000007"/>
    <n v="67.2"/>
    <n v="227"/>
    <n v="139"/>
    <s v="Van"/>
    <n v="4"/>
    <x v="2"/>
    <x v="0"/>
    <n v="191416"/>
    <n v="3.33"/>
    <n v="4"/>
    <n v="14638073459.120001"/>
  </r>
  <r>
    <x v="3"/>
    <x v="11"/>
    <n v="2024"/>
    <x v="1"/>
    <n v="117281.9"/>
    <n v="115.7"/>
    <n v="431"/>
    <n v="195"/>
    <s v="Sedan"/>
    <n v="3"/>
    <x v="2"/>
    <x v="1"/>
    <n v="111137"/>
    <n v="3.92"/>
    <n v="3"/>
    <n v="13034358520.299999"/>
  </r>
  <r>
    <x v="6"/>
    <x v="50"/>
    <n v="2024"/>
    <x v="2"/>
    <n v="52223.31"/>
    <n v="42.1"/>
    <n v="150"/>
    <n v="161"/>
    <s v="Van"/>
    <n v="4"/>
    <x v="4"/>
    <x v="2"/>
    <n v="89573"/>
    <n v="3.43"/>
    <n v="3"/>
    <n v="4677798546.6300001"/>
  </r>
  <r>
    <x v="9"/>
    <x v="16"/>
    <n v="2024"/>
    <x v="1"/>
    <n v="76696.39"/>
    <n v="87.4"/>
    <n v="313"/>
    <n v="192"/>
    <s v="SUV"/>
    <n v="5"/>
    <x v="3"/>
    <x v="0"/>
    <n v="21525"/>
    <n v="3.69"/>
    <n v="5"/>
    <n v="1650889794.75"/>
  </r>
  <r>
    <x v="13"/>
    <x v="64"/>
    <n v="2024"/>
    <x v="4"/>
    <n v="99625.48"/>
    <n v="81.2"/>
    <n v="306"/>
    <n v="153"/>
    <s v="SUV"/>
    <n v="4"/>
    <x v="3"/>
    <x v="0"/>
    <n v="71016"/>
    <n v="3.79"/>
    <n v="7"/>
    <n v="7075003087.6799994"/>
  </r>
  <r>
    <x v="2"/>
    <x v="5"/>
    <n v="2024"/>
    <x v="3"/>
    <n v="110939.31"/>
    <n v="48.7"/>
    <n v="160"/>
    <n v="169"/>
    <s v="Coupe"/>
    <n v="4"/>
    <x v="1"/>
    <x v="1"/>
    <n v="456268"/>
    <n v="3.43"/>
    <n v="6"/>
    <n v="50618057095.080002"/>
  </r>
  <r>
    <x v="9"/>
    <x v="39"/>
    <n v="2024"/>
    <x v="4"/>
    <n v="69442.009999999995"/>
    <n v="54.1"/>
    <n v="193"/>
    <n v="169"/>
    <s v="Van"/>
    <n v="4"/>
    <x v="3"/>
    <x v="0"/>
    <n v="51378"/>
    <n v="3.2"/>
    <n v="5"/>
    <n v="3567791589.7799997"/>
  </r>
  <r>
    <x v="5"/>
    <x v="13"/>
    <n v="2024"/>
    <x v="4"/>
    <n v="56096.47"/>
    <n v="47.3"/>
    <n v="176"/>
    <n v="159"/>
    <s v="Coupe"/>
    <n v="3"/>
    <x v="4"/>
    <x v="2"/>
    <n v="113782"/>
    <n v="3.4"/>
    <n v="3"/>
    <n v="6382768549.54"/>
  </r>
  <r>
    <x v="14"/>
    <x v="41"/>
    <n v="2024"/>
    <x v="2"/>
    <n v="82536.87"/>
    <n v="69.7"/>
    <n v="264"/>
    <n v="127"/>
    <s v="Truck"/>
    <n v="5"/>
    <x v="2"/>
    <x v="0"/>
    <n v="17477"/>
    <n v="3.38"/>
    <n v="5"/>
    <n v="1442496876.99"/>
  </r>
  <r>
    <x v="6"/>
    <x v="63"/>
    <n v="2024"/>
    <x v="2"/>
    <n v="54234.95"/>
    <n v="58.4"/>
    <n v="217"/>
    <n v="132"/>
    <s v="Truck"/>
    <n v="5"/>
    <x v="4"/>
    <x v="2"/>
    <n v="136935"/>
    <n v="3.41"/>
    <n v="4"/>
    <n v="7426662878.25"/>
  </r>
  <r>
    <x v="0"/>
    <x v="0"/>
    <n v="2024"/>
    <x v="2"/>
    <n v="62799.62"/>
    <n v="80.2"/>
    <n v="271"/>
    <n v="143"/>
    <s v="SUV"/>
    <n v="4"/>
    <x v="0"/>
    <x v="2"/>
    <n v="8458"/>
    <n v="3.67"/>
    <n v="4"/>
    <n v="531159185.96000004"/>
  </r>
  <r>
    <x v="2"/>
    <x v="31"/>
    <n v="2024"/>
    <x v="3"/>
    <n v="130803.06"/>
    <n v="83.1"/>
    <n v="289"/>
    <n v="150"/>
    <s v="Truck"/>
    <n v="4"/>
    <x v="1"/>
    <x v="1"/>
    <n v="105012"/>
    <n v="4.03"/>
    <n v="6"/>
    <n v="13735890936.719999"/>
  </r>
  <r>
    <x v="2"/>
    <x v="5"/>
    <n v="2024"/>
    <x v="0"/>
    <n v="85409.4"/>
    <n v="94.6"/>
    <n v="338"/>
    <n v="167"/>
    <s v="Sedan"/>
    <n v="4"/>
    <x v="1"/>
    <x v="0"/>
    <n v="497556"/>
    <n v="4.0599999999999996"/>
    <n v="5"/>
    <n v="42495959426.399994"/>
  </r>
  <r>
    <x v="2"/>
    <x v="5"/>
    <n v="2024"/>
    <x v="2"/>
    <n v="43315.76"/>
    <n v="61.7"/>
    <n v="224"/>
    <n v="136"/>
    <s v="Sedan"/>
    <n v="5"/>
    <x v="1"/>
    <x v="2"/>
    <n v="424937"/>
    <n v="3.73"/>
    <n v="6"/>
    <n v="18406469107.120003"/>
  </r>
  <r>
    <x v="2"/>
    <x v="35"/>
    <n v="2024"/>
    <x v="3"/>
    <n v="79315.78"/>
    <n v="60.6"/>
    <n v="195"/>
    <n v="164"/>
    <s v="Truck"/>
    <n v="5"/>
    <x v="1"/>
    <x v="0"/>
    <n v="122128"/>
    <n v="3.66"/>
    <n v="4"/>
    <n v="9686677579.8400002"/>
  </r>
  <r>
    <x v="4"/>
    <x v="40"/>
    <n v="2024"/>
    <x v="0"/>
    <n v="130131.59"/>
    <n v="94"/>
    <n v="322"/>
    <n v="163"/>
    <s v="Sedan"/>
    <n v="4"/>
    <x v="3"/>
    <x v="1"/>
    <n v="36875"/>
    <n v="3.63"/>
    <n v="8"/>
    <n v="4798602381.25"/>
  </r>
  <r>
    <x v="12"/>
    <x v="45"/>
    <n v="2024"/>
    <x v="0"/>
    <n v="56344.05"/>
    <n v="94.4"/>
    <n v="351"/>
    <n v="176"/>
    <s v="Coupe"/>
    <n v="5"/>
    <x v="1"/>
    <x v="2"/>
    <n v="12802"/>
    <n v="3.81"/>
    <n v="4"/>
    <n v="721316528.10000002"/>
  </r>
  <r>
    <x v="8"/>
    <x v="12"/>
    <n v="2024"/>
    <x v="3"/>
    <n v="59797.58"/>
    <n v="46.4"/>
    <n v="171"/>
    <n v="154"/>
    <s v="Truck"/>
    <n v="4"/>
    <x v="1"/>
    <x v="2"/>
    <n v="57357"/>
    <n v="3.14"/>
    <n v="4"/>
    <n v="3429809796.0599999"/>
  </r>
  <r>
    <x v="8"/>
    <x v="21"/>
    <n v="2024"/>
    <x v="1"/>
    <n v="98104.320000000007"/>
    <n v="80.3"/>
    <n v="266"/>
    <n v="181"/>
    <s v="Van"/>
    <n v="4"/>
    <x v="1"/>
    <x v="0"/>
    <n v="47356"/>
    <n v="3.62"/>
    <n v="4"/>
    <n v="4645828177.9200001"/>
  </r>
  <r>
    <x v="7"/>
    <x v="27"/>
    <n v="2024"/>
    <x v="2"/>
    <n v="32753.54"/>
    <n v="42.3"/>
    <n v="178"/>
    <n v="139"/>
    <s v="Truck"/>
    <n v="5"/>
    <x v="3"/>
    <x v="3"/>
    <n v="224478"/>
    <n v="3.16"/>
    <n v="3"/>
    <n v="7352449152.1199999"/>
  </r>
  <r>
    <x v="11"/>
    <x v="56"/>
    <n v="2024"/>
    <x v="0"/>
    <n v="99040.38"/>
    <n v="77.599999999999994"/>
    <n v="294"/>
    <n v="169"/>
    <s v="Coupe"/>
    <n v="5"/>
    <x v="1"/>
    <x v="0"/>
    <n v="10950"/>
    <n v="3.77"/>
    <n v="6"/>
    <n v="1084492161"/>
  </r>
  <r>
    <x v="4"/>
    <x v="40"/>
    <n v="2024"/>
    <x v="0"/>
    <n v="92779.16"/>
    <n v="80"/>
    <n v="260"/>
    <n v="178"/>
    <s v="Hatchback"/>
    <n v="4"/>
    <x v="3"/>
    <x v="0"/>
    <n v="22988"/>
    <n v="3.55"/>
    <n v="6"/>
    <n v="2132807330.0800002"/>
  </r>
  <r>
    <x v="7"/>
    <x v="24"/>
    <n v="2024"/>
    <x v="4"/>
    <n v="93014.64"/>
    <n v="70.2"/>
    <n v="255"/>
    <n v="169"/>
    <s v="Truck"/>
    <n v="5"/>
    <x v="3"/>
    <x v="0"/>
    <n v="264436"/>
    <n v="3.26"/>
    <n v="4"/>
    <n v="24596419343.040001"/>
  </r>
  <r>
    <x v="0"/>
    <x v="0"/>
    <n v="2024"/>
    <x v="3"/>
    <n v="62299.25"/>
    <n v="60.9"/>
    <n v="213"/>
    <n v="169"/>
    <s v="SUV"/>
    <n v="3"/>
    <x v="0"/>
    <x v="2"/>
    <n v="25820"/>
    <n v="3.36"/>
    <n v="4"/>
    <n v="1608566635"/>
  </r>
  <r>
    <x v="4"/>
    <x v="61"/>
    <n v="2024"/>
    <x v="2"/>
    <n v="108294.87"/>
    <n v="84.2"/>
    <n v="297"/>
    <n v="142"/>
    <s v="Truck"/>
    <n v="5"/>
    <x v="3"/>
    <x v="1"/>
    <n v="75960"/>
    <n v="3.64"/>
    <n v="6"/>
    <n v="8226078325.1999998"/>
  </r>
  <r>
    <x v="12"/>
    <x v="45"/>
    <n v="2024"/>
    <x v="3"/>
    <n v="40534.339999999997"/>
    <n v="52"/>
    <n v="170"/>
    <n v="148"/>
    <s v="Coupe"/>
    <n v="5"/>
    <x v="1"/>
    <x v="2"/>
    <n v="24616"/>
    <n v="3.08"/>
    <n v="4"/>
    <n v="997793313.43999994"/>
  </r>
  <r>
    <x v="2"/>
    <x v="5"/>
    <n v="2024"/>
    <x v="4"/>
    <n v="47765.25"/>
    <n v="45.3"/>
    <n v="171"/>
    <n v="167"/>
    <s v="Sedan"/>
    <n v="5"/>
    <x v="1"/>
    <x v="2"/>
    <n v="423769"/>
    <n v="3.45"/>
    <n v="4"/>
    <n v="20241432227.25"/>
  </r>
  <r>
    <x v="8"/>
    <x v="60"/>
    <n v="2024"/>
    <x v="1"/>
    <n v="92734.95"/>
    <n v="71.599999999999994"/>
    <n v="257"/>
    <n v="183"/>
    <s v="Van"/>
    <n v="4"/>
    <x v="1"/>
    <x v="0"/>
    <n v="52532"/>
    <n v="3.34"/>
    <n v="5"/>
    <n v="4871552393.3999996"/>
  </r>
  <r>
    <x v="12"/>
    <x v="36"/>
    <n v="2024"/>
    <x v="3"/>
    <n v="53007.41"/>
    <n v="82.4"/>
    <n v="303"/>
    <n v="145"/>
    <s v="SUV"/>
    <n v="4"/>
    <x v="1"/>
    <x v="2"/>
    <n v="25295"/>
    <n v="3.72"/>
    <n v="5"/>
    <n v="1340822435.95"/>
  </r>
  <r>
    <x v="2"/>
    <x v="17"/>
    <n v="2024"/>
    <x v="0"/>
    <n v="74766.45"/>
    <n v="76.5"/>
    <n v="284"/>
    <n v="169"/>
    <s v="Sedan"/>
    <n v="5"/>
    <x v="1"/>
    <x v="0"/>
    <n v="155185"/>
    <n v="4.1399999999999997"/>
    <n v="5"/>
    <n v="11602631543.25"/>
  </r>
  <r>
    <x v="0"/>
    <x v="0"/>
    <n v="2024"/>
    <x v="0"/>
    <n v="87515.62"/>
    <n v="75.8"/>
    <n v="273"/>
    <n v="170"/>
    <s v="SUV"/>
    <n v="4"/>
    <x v="0"/>
    <x v="0"/>
    <n v="24507"/>
    <n v="3.51"/>
    <n v="4"/>
    <n v="2144745299.3399999"/>
  </r>
  <r>
    <x v="7"/>
    <x v="24"/>
    <n v="2024"/>
    <x v="4"/>
    <n v="114364.87"/>
    <n v="45.2"/>
    <n v="151"/>
    <n v="150"/>
    <s v="Hatchback"/>
    <n v="5"/>
    <x v="3"/>
    <x v="1"/>
    <n v="233971"/>
    <n v="3.16"/>
    <n v="5"/>
    <n v="26758062998.77"/>
  </r>
  <r>
    <x v="2"/>
    <x v="17"/>
    <n v="2024"/>
    <x v="2"/>
    <n v="32105.759999999998"/>
    <n v="54.4"/>
    <n v="214"/>
    <n v="129"/>
    <s v="Coupe"/>
    <n v="4"/>
    <x v="1"/>
    <x v="3"/>
    <n v="245170"/>
    <n v="3.53"/>
    <n v="5"/>
    <n v="7871369179.1999998"/>
  </r>
  <r>
    <x v="0"/>
    <x v="47"/>
    <n v="2024"/>
    <x v="0"/>
    <n v="55686.21"/>
    <n v="91.7"/>
    <n v="324"/>
    <n v="179"/>
    <s v="Van"/>
    <n v="5"/>
    <x v="0"/>
    <x v="2"/>
    <n v="18558"/>
    <n v="3.6"/>
    <n v="4"/>
    <n v="1033424685.1799999"/>
  </r>
  <r>
    <x v="0"/>
    <x v="47"/>
    <n v="2024"/>
    <x v="2"/>
    <n v="36014.199999999997"/>
    <n v="52.5"/>
    <n v="186"/>
    <n v="177"/>
    <s v="Coupe"/>
    <n v="4"/>
    <x v="0"/>
    <x v="2"/>
    <n v="5267"/>
    <n v="3.41"/>
    <n v="3"/>
    <n v="189686791.39999998"/>
  </r>
  <r>
    <x v="1"/>
    <x v="1"/>
    <n v="2024"/>
    <x v="2"/>
    <n v="65556.39"/>
    <n v="55.1"/>
    <n v="194"/>
    <n v="143"/>
    <s v="Van"/>
    <n v="5"/>
    <x v="1"/>
    <x v="0"/>
    <n v="2927"/>
    <n v="3.38"/>
    <n v="4"/>
    <n v="191883553.53"/>
  </r>
  <r>
    <x v="5"/>
    <x v="22"/>
    <n v="2024"/>
    <x v="3"/>
    <n v="70066.61"/>
    <n v="55.2"/>
    <n v="186"/>
    <n v="169"/>
    <s v="SUV"/>
    <n v="4"/>
    <x v="4"/>
    <x v="0"/>
    <n v="125092"/>
    <n v="3.1"/>
    <n v="3"/>
    <n v="8764772378.1200008"/>
  </r>
  <r>
    <x v="9"/>
    <x v="19"/>
    <n v="2024"/>
    <x v="3"/>
    <n v="64827.83"/>
    <n v="42.9"/>
    <n v="150"/>
    <n v="176"/>
    <s v="SUV"/>
    <n v="4"/>
    <x v="3"/>
    <x v="2"/>
    <n v="69279"/>
    <n v="3.23"/>
    <n v="7"/>
    <n v="4491207234.5699997"/>
  </r>
  <r>
    <x v="0"/>
    <x v="47"/>
    <n v="2024"/>
    <x v="3"/>
    <n v="61582.84"/>
    <n v="62.3"/>
    <n v="215"/>
    <n v="130"/>
    <s v="Hatchback"/>
    <n v="5"/>
    <x v="0"/>
    <x v="2"/>
    <n v="26767"/>
    <n v="3.22"/>
    <n v="3"/>
    <n v="1648387878.28"/>
  </r>
  <r>
    <x v="6"/>
    <x v="63"/>
    <n v="2024"/>
    <x v="4"/>
    <n v="45546.32"/>
    <n v="45.1"/>
    <n v="160"/>
    <n v="171"/>
    <s v="Sedan"/>
    <n v="4"/>
    <x v="4"/>
    <x v="2"/>
    <n v="71807"/>
    <n v="3.28"/>
    <n v="4"/>
    <n v="3270544600.2399998"/>
  </r>
  <r>
    <x v="1"/>
    <x v="51"/>
    <n v="2024"/>
    <x v="0"/>
    <n v="113331.61"/>
    <n v="84.6"/>
    <n v="274"/>
    <n v="170"/>
    <s v="Truck"/>
    <n v="5"/>
    <x v="1"/>
    <x v="1"/>
    <n v="17978"/>
    <n v="3.23"/>
    <n v="3"/>
    <n v="2037475684.5799999"/>
  </r>
  <r>
    <x v="15"/>
    <x v="67"/>
    <n v="2024"/>
    <x v="0"/>
    <n v="111922.96"/>
    <n v="102.7"/>
    <n v="358"/>
    <n v="188"/>
    <s v="Hatchback"/>
    <n v="5"/>
    <x v="3"/>
    <x v="1"/>
    <n v="28429"/>
    <n v="3.99"/>
    <n v="5"/>
    <n v="3181857829.8400002"/>
  </r>
  <r>
    <x v="12"/>
    <x v="29"/>
    <n v="2024"/>
    <x v="1"/>
    <n v="74262.98"/>
    <n v="80.7"/>
    <n v="285"/>
    <n v="197"/>
    <s v="Sedan"/>
    <n v="5"/>
    <x v="1"/>
    <x v="0"/>
    <n v="24171"/>
    <n v="3.38"/>
    <n v="4"/>
    <n v="1795010489.5799999"/>
  </r>
  <r>
    <x v="6"/>
    <x v="9"/>
    <n v="2024"/>
    <x v="0"/>
    <n v="41621.620000000003"/>
    <n v="97.9"/>
    <n v="365"/>
    <n v="162"/>
    <s v="Hatchback"/>
    <n v="5"/>
    <x v="4"/>
    <x v="2"/>
    <n v="70525"/>
    <n v="3.62"/>
    <n v="4"/>
    <n v="2935364750.5"/>
  </r>
  <r>
    <x v="13"/>
    <x v="64"/>
    <n v="2024"/>
    <x v="1"/>
    <n v="114049.24"/>
    <n v="103.4"/>
    <n v="368"/>
    <n v="187"/>
    <s v="Van"/>
    <n v="5"/>
    <x v="3"/>
    <x v="1"/>
    <n v="68987"/>
    <n v="3.92"/>
    <n v="6"/>
    <n v="7867914919.8800001"/>
  </r>
  <r>
    <x v="2"/>
    <x v="17"/>
    <n v="2024"/>
    <x v="3"/>
    <n v="36657.019999999997"/>
    <n v="61.2"/>
    <n v="188"/>
    <n v="144"/>
    <s v="Coupe"/>
    <n v="5"/>
    <x v="1"/>
    <x v="2"/>
    <n v="208877"/>
    <n v="3.91"/>
    <n v="5"/>
    <n v="7656808366.539999"/>
  </r>
  <r>
    <x v="5"/>
    <x v="7"/>
    <n v="2024"/>
    <x v="1"/>
    <n v="51697.58"/>
    <n v="115.1"/>
    <n v="396"/>
    <n v="194"/>
    <s v="Truck"/>
    <n v="5"/>
    <x v="4"/>
    <x v="2"/>
    <n v="56242"/>
    <n v="3.84"/>
    <n v="4"/>
    <n v="2907575294.3600001"/>
  </r>
  <r>
    <x v="7"/>
    <x v="24"/>
    <n v="2024"/>
    <x v="3"/>
    <n v="36019.25"/>
    <n v="63.3"/>
    <n v="224"/>
    <n v="140"/>
    <s v="Hatchback"/>
    <n v="4"/>
    <x v="3"/>
    <x v="2"/>
    <n v="209890"/>
    <n v="3.52"/>
    <n v="4"/>
    <n v="7560080382.5"/>
  </r>
  <r>
    <x v="1"/>
    <x v="51"/>
    <n v="2024"/>
    <x v="4"/>
    <n v="121374.95"/>
    <n v="70.8"/>
    <n v="262"/>
    <n v="153"/>
    <s v="Van"/>
    <n v="3"/>
    <x v="1"/>
    <x v="1"/>
    <n v="26859"/>
    <n v="3.7"/>
    <n v="5"/>
    <n v="3260009782.0499997"/>
  </r>
  <r>
    <x v="3"/>
    <x v="42"/>
    <n v="2024"/>
    <x v="2"/>
    <n v="40390.03"/>
    <n v="62.1"/>
    <n v="232"/>
    <n v="138"/>
    <s v="Coupe"/>
    <n v="5"/>
    <x v="2"/>
    <x v="2"/>
    <n v="138054"/>
    <n v="3.39"/>
    <n v="4"/>
    <n v="5576005201.6199999"/>
  </r>
  <r>
    <x v="2"/>
    <x v="31"/>
    <n v="2024"/>
    <x v="0"/>
    <n v="45682.18"/>
    <n v="109.7"/>
    <n v="377"/>
    <n v="165"/>
    <s v="Truck"/>
    <n v="4"/>
    <x v="1"/>
    <x v="2"/>
    <n v="170687"/>
    <n v="3.94"/>
    <n v="4"/>
    <n v="7797354257.6599998"/>
  </r>
  <r>
    <x v="16"/>
    <x v="49"/>
    <n v="2024"/>
    <x v="1"/>
    <n v="102584.09"/>
    <n v="74.5"/>
    <n v="250"/>
    <n v="195"/>
    <s v="Hatchback"/>
    <n v="5"/>
    <x v="2"/>
    <x v="1"/>
    <n v="19780"/>
    <n v="3.36"/>
    <n v="4"/>
    <n v="2029113300.2"/>
  </r>
  <r>
    <x v="5"/>
    <x v="15"/>
    <n v="2024"/>
    <x v="0"/>
    <n v="99048.18"/>
    <n v="89"/>
    <n v="324"/>
    <n v="168"/>
    <s v="SUV"/>
    <n v="5"/>
    <x v="4"/>
    <x v="0"/>
    <n v="55742"/>
    <n v="3.56"/>
    <n v="4"/>
    <n v="5521143649.5599995"/>
  </r>
  <r>
    <x v="13"/>
    <x v="59"/>
    <n v="2024"/>
    <x v="1"/>
    <n v="167898.8"/>
    <n v="106"/>
    <n v="375"/>
    <n v="200"/>
    <s v="Coupe"/>
    <n v="4"/>
    <x v="3"/>
    <x v="1"/>
    <n v="20936"/>
    <n v="4.04"/>
    <n v="6"/>
    <n v="3515129276.7999997"/>
  </r>
  <r>
    <x v="5"/>
    <x v="23"/>
    <n v="2024"/>
    <x v="2"/>
    <n v="30277.360000000001"/>
    <n v="62.3"/>
    <n v="226"/>
    <n v="172"/>
    <s v="Van"/>
    <n v="5"/>
    <x v="4"/>
    <x v="3"/>
    <n v="130299"/>
    <n v="3.2"/>
    <n v="5"/>
    <n v="3945109730.6399999"/>
  </r>
  <r>
    <x v="3"/>
    <x v="14"/>
    <n v="2024"/>
    <x v="1"/>
    <n v="103480.37"/>
    <n v="104.9"/>
    <n v="347"/>
    <n v="200"/>
    <s v="SUV"/>
    <n v="4"/>
    <x v="2"/>
    <x v="1"/>
    <n v="211837"/>
    <n v="3.58"/>
    <n v="5"/>
    <n v="21920971139.689999"/>
  </r>
  <r>
    <x v="6"/>
    <x v="63"/>
    <n v="2024"/>
    <x v="0"/>
    <n v="84751.75"/>
    <n v="83.1"/>
    <n v="305"/>
    <n v="169"/>
    <s v="Van"/>
    <n v="5"/>
    <x v="4"/>
    <x v="0"/>
    <n v="53893"/>
    <n v="3.55"/>
    <n v="3"/>
    <n v="4567526062.75"/>
  </r>
  <r>
    <x v="7"/>
    <x v="24"/>
    <n v="2024"/>
    <x v="3"/>
    <n v="78233.39"/>
    <n v="46.6"/>
    <n v="161"/>
    <n v="139"/>
    <s v="Coupe"/>
    <n v="4"/>
    <x v="3"/>
    <x v="0"/>
    <n v="259295"/>
    <n v="3.2"/>
    <n v="3"/>
    <n v="20285526860.049999"/>
  </r>
  <r>
    <x v="2"/>
    <x v="5"/>
    <n v="2024"/>
    <x v="3"/>
    <n v="110000.94"/>
    <n v="53.4"/>
    <n v="163"/>
    <n v="172"/>
    <s v="Sedan"/>
    <n v="4"/>
    <x v="1"/>
    <x v="1"/>
    <n v="414109"/>
    <n v="3.55"/>
    <n v="4"/>
    <n v="45552379262.459999"/>
  </r>
  <r>
    <x v="7"/>
    <x v="24"/>
    <n v="2024"/>
    <x v="0"/>
    <n v="67460.11"/>
    <n v="97.9"/>
    <n v="324"/>
    <n v="180"/>
    <s v="Truck"/>
    <n v="4"/>
    <x v="3"/>
    <x v="0"/>
    <n v="219503"/>
    <n v="3.66"/>
    <n v="3"/>
    <n v="14807696525.33"/>
  </r>
  <r>
    <x v="13"/>
    <x v="64"/>
    <n v="2024"/>
    <x v="1"/>
    <n v="175695.73"/>
    <n v="119.3"/>
    <n v="421"/>
    <n v="200"/>
    <s v="Truck"/>
    <n v="4"/>
    <x v="3"/>
    <x v="1"/>
    <n v="47072"/>
    <n v="4.1399999999999997"/>
    <n v="7"/>
    <n v="8270349402.5600004"/>
  </r>
  <r>
    <x v="2"/>
    <x v="31"/>
    <n v="2024"/>
    <x v="1"/>
    <n v="68394.929999999993"/>
    <n v="94.8"/>
    <n v="315"/>
    <n v="179"/>
    <s v="Truck"/>
    <n v="5"/>
    <x v="1"/>
    <x v="0"/>
    <n v="230110"/>
    <n v="4"/>
    <n v="5"/>
    <n v="15738357342.299999"/>
  </r>
  <r>
    <x v="10"/>
    <x v="70"/>
    <n v="2024"/>
    <x v="4"/>
    <n v="98223.61"/>
    <n v="58.4"/>
    <n v="219"/>
    <n v="147"/>
    <s v="Coupe"/>
    <n v="4"/>
    <x v="5"/>
    <x v="0"/>
    <n v="3904"/>
    <n v="3.65"/>
    <n v="4"/>
    <n v="383464973.44"/>
  </r>
  <r>
    <x v="6"/>
    <x v="20"/>
    <n v="2024"/>
    <x v="4"/>
    <n v="39646.49"/>
    <n v="41"/>
    <n v="150"/>
    <n v="174"/>
    <s v="Hatchback"/>
    <n v="5"/>
    <x v="4"/>
    <x v="2"/>
    <n v="129173"/>
    <n v="3"/>
    <n v="3"/>
    <n v="5121256052.7699995"/>
  </r>
  <r>
    <x v="2"/>
    <x v="17"/>
    <n v="2024"/>
    <x v="4"/>
    <n v="164903.76"/>
    <n v="51.1"/>
    <n v="184"/>
    <n v="159"/>
    <s v="Coupe"/>
    <n v="3"/>
    <x v="1"/>
    <x v="1"/>
    <n v="238934"/>
    <n v="3.62"/>
    <n v="5"/>
    <n v="39401114991.840004"/>
  </r>
  <r>
    <x v="2"/>
    <x v="2"/>
    <n v="2024"/>
    <x v="3"/>
    <n v="132957.6"/>
    <n v="57.4"/>
    <n v="197"/>
    <n v="168"/>
    <s v="Sedan"/>
    <n v="5"/>
    <x v="1"/>
    <x v="1"/>
    <n v="220563"/>
    <n v="3.46"/>
    <n v="5"/>
    <n v="29325527128.800003"/>
  </r>
  <r>
    <x v="9"/>
    <x v="19"/>
    <n v="2024"/>
    <x v="0"/>
    <n v="126323.43"/>
    <n v="92.6"/>
    <n v="337"/>
    <n v="190"/>
    <s v="Hatchback"/>
    <n v="5"/>
    <x v="3"/>
    <x v="1"/>
    <n v="51591"/>
    <n v="3.87"/>
    <n v="6"/>
    <n v="6517152077.1300001"/>
  </r>
  <r>
    <x v="3"/>
    <x v="8"/>
    <n v="2024"/>
    <x v="0"/>
    <n v="38014.51"/>
    <n v="86.6"/>
    <n v="325"/>
    <n v="169"/>
    <s v="SUV"/>
    <n v="5"/>
    <x v="2"/>
    <x v="2"/>
    <n v="241420"/>
    <n v="3.72"/>
    <n v="3"/>
    <n v="9177463004.2000008"/>
  </r>
  <r>
    <x v="8"/>
    <x v="60"/>
    <n v="2024"/>
    <x v="4"/>
    <n v="96727.35"/>
    <n v="71.400000000000006"/>
    <n v="233"/>
    <n v="140"/>
    <s v="Hatchback"/>
    <n v="3"/>
    <x v="1"/>
    <x v="0"/>
    <n v="75873"/>
    <n v="3.24"/>
    <n v="5"/>
    <n v="7338994226.5500002"/>
  </r>
  <r>
    <x v="9"/>
    <x v="19"/>
    <n v="2024"/>
    <x v="2"/>
    <n v="84385.88"/>
    <n v="47.3"/>
    <n v="177"/>
    <n v="136"/>
    <s v="Sedan"/>
    <n v="5"/>
    <x v="3"/>
    <x v="0"/>
    <n v="74771"/>
    <n v="3.09"/>
    <n v="6"/>
    <n v="6309616633.4800005"/>
  </r>
  <r>
    <x v="3"/>
    <x v="14"/>
    <n v="2024"/>
    <x v="1"/>
    <n v="54577.89"/>
    <n v="119.6"/>
    <n v="427"/>
    <n v="190"/>
    <s v="Hatchback"/>
    <n v="5"/>
    <x v="2"/>
    <x v="2"/>
    <n v="139526"/>
    <n v="3.84"/>
    <n v="5"/>
    <n v="7615034680.1400003"/>
  </r>
  <r>
    <x v="6"/>
    <x v="50"/>
    <n v="2024"/>
    <x v="0"/>
    <n v="90974.8"/>
    <n v="80.400000000000006"/>
    <n v="296"/>
    <n v="179"/>
    <s v="Van"/>
    <n v="4"/>
    <x v="4"/>
    <x v="0"/>
    <n v="59668"/>
    <n v="3.91"/>
    <n v="3"/>
    <n v="5428284366.4000006"/>
  </r>
  <r>
    <x v="6"/>
    <x v="53"/>
    <n v="2024"/>
    <x v="4"/>
    <n v="40685.58"/>
    <n v="66.5"/>
    <n v="247"/>
    <n v="159"/>
    <s v="Hatchback"/>
    <n v="5"/>
    <x v="4"/>
    <x v="2"/>
    <n v="143645"/>
    <n v="3.36"/>
    <n v="4"/>
    <n v="5844280139.1000004"/>
  </r>
  <r>
    <x v="3"/>
    <x v="42"/>
    <n v="2024"/>
    <x v="2"/>
    <n v="73962.429999999993"/>
    <n v="41.7"/>
    <n v="163"/>
    <n v="163"/>
    <s v="Sedan"/>
    <n v="5"/>
    <x v="2"/>
    <x v="0"/>
    <n v="121424"/>
    <n v="3.25"/>
    <n v="3"/>
    <n v="8980814100.3199997"/>
  </r>
  <r>
    <x v="2"/>
    <x v="17"/>
    <n v="2024"/>
    <x v="0"/>
    <n v="73678.259999999995"/>
    <n v="106.1"/>
    <n v="370"/>
    <n v="177"/>
    <s v="Coupe"/>
    <n v="5"/>
    <x v="1"/>
    <x v="0"/>
    <n v="201869"/>
    <n v="3.99"/>
    <n v="5"/>
    <n v="14873356667.939999"/>
  </r>
  <r>
    <x v="4"/>
    <x v="40"/>
    <n v="2024"/>
    <x v="3"/>
    <n v="62074.39"/>
    <n v="65.3"/>
    <n v="236"/>
    <n v="160"/>
    <s v="SUV"/>
    <n v="5"/>
    <x v="3"/>
    <x v="2"/>
    <n v="41240"/>
    <n v="3.53"/>
    <n v="8"/>
    <n v="2559947843.5999999"/>
  </r>
  <r>
    <x v="5"/>
    <x v="23"/>
    <n v="2024"/>
    <x v="1"/>
    <n v="68316.17"/>
    <n v="76.400000000000006"/>
    <n v="262"/>
    <n v="189"/>
    <s v="Hatchback"/>
    <n v="4"/>
    <x v="4"/>
    <x v="0"/>
    <n v="86275"/>
    <n v="3.61"/>
    <n v="3"/>
    <n v="5893977566.75"/>
  </r>
  <r>
    <x v="6"/>
    <x v="63"/>
    <n v="2024"/>
    <x v="3"/>
    <n v="60164.53"/>
    <n v="53.1"/>
    <n v="185"/>
    <n v="146"/>
    <s v="SUV"/>
    <n v="5"/>
    <x v="4"/>
    <x v="2"/>
    <n v="85467"/>
    <n v="3.29"/>
    <n v="5"/>
    <n v="5142081885.5100002"/>
  </r>
  <r>
    <x v="6"/>
    <x v="53"/>
    <n v="2024"/>
    <x v="2"/>
    <n v="35093.17"/>
    <n v="77.099999999999994"/>
    <n v="295"/>
    <n v="134"/>
    <s v="Van"/>
    <n v="4"/>
    <x v="4"/>
    <x v="2"/>
    <n v="117101"/>
    <n v="3.46"/>
    <n v="4"/>
    <n v="4109445300.1699996"/>
  </r>
  <r>
    <x v="2"/>
    <x v="31"/>
    <n v="2024"/>
    <x v="1"/>
    <n v="188964.7"/>
    <n v="106.8"/>
    <n v="367"/>
    <n v="193"/>
    <s v="Truck"/>
    <n v="4"/>
    <x v="1"/>
    <x v="1"/>
    <n v="239165"/>
    <n v="4.2699999999999996"/>
    <n v="5"/>
    <n v="45193742475.5"/>
  </r>
  <r>
    <x v="5"/>
    <x v="15"/>
    <n v="2024"/>
    <x v="3"/>
    <n v="56593.19"/>
    <n v="56.2"/>
    <n v="197"/>
    <n v="170"/>
    <s v="SUV"/>
    <n v="4"/>
    <x v="4"/>
    <x v="2"/>
    <n v="135755"/>
    <n v="3.26"/>
    <n v="4"/>
    <n v="7682808508.4500008"/>
  </r>
  <r>
    <x v="7"/>
    <x v="27"/>
    <n v="2024"/>
    <x v="2"/>
    <n v="71569.98"/>
    <n v="57.7"/>
    <n v="186"/>
    <n v="158"/>
    <s v="SUV"/>
    <n v="5"/>
    <x v="3"/>
    <x v="0"/>
    <n v="287315"/>
    <n v="3.19"/>
    <n v="3"/>
    <n v="20563128803.699997"/>
  </r>
  <r>
    <x v="3"/>
    <x v="11"/>
    <n v="2024"/>
    <x v="2"/>
    <n v="24520.21"/>
    <n v="71.2"/>
    <n v="253"/>
    <n v="159"/>
    <s v="Hatchback"/>
    <n v="5"/>
    <x v="2"/>
    <x v="3"/>
    <n v="191198"/>
    <n v="3.48"/>
    <n v="5"/>
    <n v="4688215111.5799999"/>
  </r>
  <r>
    <x v="6"/>
    <x v="20"/>
    <n v="2024"/>
    <x v="2"/>
    <n v="31858.49"/>
    <n v="76.599999999999994"/>
    <n v="274"/>
    <n v="171"/>
    <s v="Hatchback"/>
    <n v="3"/>
    <x v="4"/>
    <x v="3"/>
    <n v="89552"/>
    <n v="3.4"/>
    <n v="5"/>
    <n v="2852991496.48"/>
  </r>
  <r>
    <x v="13"/>
    <x v="57"/>
    <n v="2024"/>
    <x v="2"/>
    <n v="72880.75"/>
    <n v="63.7"/>
    <n v="235"/>
    <n v="133"/>
    <s v="Truck"/>
    <n v="4"/>
    <x v="3"/>
    <x v="0"/>
    <n v="46123"/>
    <n v="3.85"/>
    <n v="5"/>
    <n v="3361478832.25"/>
  </r>
  <r>
    <x v="8"/>
    <x v="21"/>
    <n v="2024"/>
    <x v="4"/>
    <n v="81884.759999999995"/>
    <n v="79.5"/>
    <n v="280"/>
    <n v="134"/>
    <s v="Hatchback"/>
    <n v="3"/>
    <x v="1"/>
    <x v="0"/>
    <n v="49332"/>
    <n v="3.58"/>
    <n v="4"/>
    <n v="4039538980.3199997"/>
  </r>
  <r>
    <x v="3"/>
    <x v="8"/>
    <n v="2024"/>
    <x v="2"/>
    <n v="27229.19"/>
    <n v="64.8"/>
    <n v="227"/>
    <n v="144"/>
    <s v="Hatchback"/>
    <n v="5"/>
    <x v="2"/>
    <x v="3"/>
    <n v="118103"/>
    <n v="3.49"/>
    <n v="4"/>
    <n v="3215849026.5699997"/>
  </r>
  <r>
    <x v="9"/>
    <x v="55"/>
    <n v="2024"/>
    <x v="0"/>
    <n v="83737.7"/>
    <n v="90.9"/>
    <n v="331"/>
    <n v="166"/>
    <s v="Sedan"/>
    <n v="4"/>
    <x v="3"/>
    <x v="0"/>
    <n v="68789"/>
    <n v="3.44"/>
    <n v="6"/>
    <n v="5760232645.3000002"/>
  </r>
  <r>
    <x v="7"/>
    <x v="28"/>
    <n v="2024"/>
    <x v="2"/>
    <n v="65767.179999999993"/>
    <n v="48.6"/>
    <n v="159"/>
    <n v="137"/>
    <s v="Van"/>
    <n v="5"/>
    <x v="3"/>
    <x v="0"/>
    <n v="214102"/>
    <n v="3.4"/>
    <n v="5"/>
    <n v="14080884772.359999"/>
  </r>
  <r>
    <x v="6"/>
    <x v="9"/>
    <n v="2024"/>
    <x v="4"/>
    <n v="41142.11"/>
    <n v="53.2"/>
    <n v="176"/>
    <n v="160"/>
    <s v="Hatchback"/>
    <n v="4"/>
    <x v="4"/>
    <x v="2"/>
    <n v="133250"/>
    <n v="3.71"/>
    <n v="4"/>
    <n v="5482186157.5"/>
  </r>
  <r>
    <x v="3"/>
    <x v="37"/>
    <n v="2024"/>
    <x v="3"/>
    <n v="68838.03"/>
    <n v="48.9"/>
    <n v="180"/>
    <n v="147"/>
    <s v="Coupe"/>
    <n v="4"/>
    <x v="2"/>
    <x v="0"/>
    <n v="173863"/>
    <n v="3.01"/>
    <n v="5"/>
    <n v="11968386409.889999"/>
  </r>
  <r>
    <x v="2"/>
    <x v="17"/>
    <n v="2024"/>
    <x v="0"/>
    <n v="54793.42"/>
    <n v="108.6"/>
    <n v="395"/>
    <n v="191"/>
    <s v="Hatchback"/>
    <n v="4"/>
    <x v="1"/>
    <x v="2"/>
    <n v="136524"/>
    <n v="4.42"/>
    <n v="6"/>
    <n v="7480616872.0799999"/>
  </r>
  <r>
    <x v="5"/>
    <x v="23"/>
    <n v="2024"/>
    <x v="3"/>
    <n v="70386.61"/>
    <n v="70.900000000000006"/>
    <n v="215"/>
    <n v="168"/>
    <s v="Sedan"/>
    <n v="4"/>
    <x v="4"/>
    <x v="0"/>
    <n v="72998"/>
    <n v="3.35"/>
    <n v="4"/>
    <n v="5138081756.7799997"/>
  </r>
  <r>
    <x v="7"/>
    <x v="24"/>
    <n v="2024"/>
    <x v="1"/>
    <n v="78109.649999999994"/>
    <n v="110.5"/>
    <n v="383"/>
    <n v="200"/>
    <s v="Truck"/>
    <n v="5"/>
    <x v="3"/>
    <x v="0"/>
    <n v="260956"/>
    <n v="3.68"/>
    <n v="4"/>
    <n v="20383181825.399998"/>
  </r>
  <r>
    <x v="12"/>
    <x v="45"/>
    <n v="2024"/>
    <x v="3"/>
    <n v="59253.96"/>
    <n v="56.6"/>
    <n v="223"/>
    <n v="160"/>
    <s v="Truck"/>
    <n v="5"/>
    <x v="1"/>
    <x v="2"/>
    <n v="22516"/>
    <n v="3.7"/>
    <n v="4"/>
    <n v="1334162163.3599999"/>
  </r>
  <r>
    <x v="12"/>
    <x v="29"/>
    <n v="2024"/>
    <x v="1"/>
    <n v="71690.64"/>
    <n v="77.900000000000006"/>
    <n v="282"/>
    <n v="200"/>
    <s v="Sedan"/>
    <n v="4"/>
    <x v="1"/>
    <x v="0"/>
    <n v="26479"/>
    <n v="3.38"/>
    <n v="3"/>
    <n v="1898296456.5599999"/>
  </r>
  <r>
    <x v="13"/>
    <x v="48"/>
    <n v="2024"/>
    <x v="1"/>
    <n v="178911.77"/>
    <n v="79.7"/>
    <n v="265"/>
    <n v="187"/>
    <s v="Truck"/>
    <n v="4"/>
    <x v="3"/>
    <x v="1"/>
    <n v="68804"/>
    <n v="3.85"/>
    <n v="6"/>
    <n v="12309845423.08"/>
  </r>
  <r>
    <x v="2"/>
    <x v="35"/>
    <n v="2024"/>
    <x v="3"/>
    <n v="125065.93"/>
    <n v="50.7"/>
    <n v="159"/>
    <n v="172"/>
    <s v="Hatchback"/>
    <n v="4"/>
    <x v="1"/>
    <x v="1"/>
    <n v="243623"/>
    <n v="3.24"/>
    <n v="6"/>
    <n v="30468937064.389999"/>
  </r>
  <r>
    <x v="7"/>
    <x v="27"/>
    <n v="2024"/>
    <x v="0"/>
    <n v="37557.870000000003"/>
    <n v="86.2"/>
    <n v="299"/>
    <n v="175"/>
    <s v="Coupe"/>
    <n v="5"/>
    <x v="3"/>
    <x v="2"/>
    <n v="247190"/>
    <n v="3.68"/>
    <n v="4"/>
    <n v="9283929885.3000011"/>
  </r>
  <r>
    <x v="8"/>
    <x v="21"/>
    <n v="2024"/>
    <x v="3"/>
    <n v="48328.54"/>
    <n v="81.900000000000006"/>
    <n v="268"/>
    <n v="132"/>
    <s v="SUV"/>
    <n v="4"/>
    <x v="1"/>
    <x v="2"/>
    <n v="34857"/>
    <n v="3.47"/>
    <n v="3"/>
    <n v="1684587918.78"/>
  </r>
  <r>
    <x v="3"/>
    <x v="6"/>
    <n v="2024"/>
    <x v="0"/>
    <n v="53347.12"/>
    <n v="78.900000000000006"/>
    <n v="277"/>
    <n v="182"/>
    <s v="Sedan"/>
    <n v="5"/>
    <x v="2"/>
    <x v="2"/>
    <n v="234710"/>
    <n v="3.53"/>
    <n v="5"/>
    <n v="12521102535.200001"/>
  </r>
  <r>
    <x v="9"/>
    <x v="16"/>
    <n v="2024"/>
    <x v="2"/>
    <n v="85524.800000000003"/>
    <n v="65.2"/>
    <n v="228"/>
    <n v="154"/>
    <s v="SUV"/>
    <n v="5"/>
    <x v="3"/>
    <x v="0"/>
    <n v="61102"/>
    <n v="3.24"/>
    <n v="7"/>
    <n v="5225736329.6000004"/>
  </r>
  <r>
    <x v="3"/>
    <x v="11"/>
    <n v="2024"/>
    <x v="2"/>
    <n v="18386.22"/>
    <n v="53.5"/>
    <n v="197"/>
    <n v="169"/>
    <s v="Hatchback"/>
    <n v="4"/>
    <x v="2"/>
    <x v="3"/>
    <n v="194535"/>
    <n v="3.33"/>
    <n v="4"/>
    <n v="3576763307.7000003"/>
  </r>
  <r>
    <x v="2"/>
    <x v="31"/>
    <n v="2024"/>
    <x v="0"/>
    <n v="81331.259999999995"/>
    <n v="87"/>
    <n v="324"/>
    <n v="160"/>
    <s v="Truck"/>
    <n v="5"/>
    <x v="1"/>
    <x v="0"/>
    <n v="192430"/>
    <n v="3.74"/>
    <n v="6"/>
    <n v="15650574361.799999"/>
  </r>
  <r>
    <x v="12"/>
    <x v="52"/>
    <n v="2024"/>
    <x v="4"/>
    <n v="70082.06"/>
    <n v="42.6"/>
    <n v="156"/>
    <n v="161"/>
    <s v="Hatchback"/>
    <n v="5"/>
    <x v="1"/>
    <x v="0"/>
    <n v="20253"/>
    <n v="3.14"/>
    <n v="3"/>
    <n v="1419371961.1800001"/>
  </r>
  <r>
    <x v="12"/>
    <x v="29"/>
    <n v="2024"/>
    <x v="3"/>
    <n v="61767.69"/>
    <n v="48"/>
    <n v="161"/>
    <n v="155"/>
    <s v="SUV"/>
    <n v="4"/>
    <x v="1"/>
    <x v="2"/>
    <n v="27695"/>
    <n v="3.08"/>
    <n v="4"/>
    <n v="1710656174.55"/>
  </r>
  <r>
    <x v="2"/>
    <x v="17"/>
    <n v="2024"/>
    <x v="4"/>
    <n v="173467.44"/>
    <n v="42.9"/>
    <n v="150"/>
    <n v="180"/>
    <s v="Hatchback"/>
    <n v="4"/>
    <x v="1"/>
    <x v="1"/>
    <n v="241741"/>
    <n v="3.75"/>
    <n v="5"/>
    <n v="41934192413.040001"/>
  </r>
  <r>
    <x v="4"/>
    <x v="4"/>
    <n v="2024"/>
    <x v="4"/>
    <n v="105361.9"/>
    <n v="71.8"/>
    <n v="263"/>
    <n v="144"/>
    <s v="Coupe"/>
    <n v="5"/>
    <x v="3"/>
    <x v="1"/>
    <n v="22361"/>
    <n v="3.64"/>
    <n v="7"/>
    <n v="2355997445.9000001"/>
  </r>
  <r>
    <x v="5"/>
    <x v="22"/>
    <n v="2024"/>
    <x v="2"/>
    <n v="36206.519999999997"/>
    <n v="53.7"/>
    <n v="182"/>
    <n v="143"/>
    <s v="SUV"/>
    <n v="4"/>
    <x v="4"/>
    <x v="2"/>
    <n v="96649"/>
    <n v="3.22"/>
    <n v="5"/>
    <n v="3499323951.4799995"/>
  </r>
  <r>
    <x v="2"/>
    <x v="17"/>
    <n v="2024"/>
    <x v="4"/>
    <n v="92300.78"/>
    <n v="48.8"/>
    <n v="173"/>
    <n v="146"/>
    <s v="Hatchback"/>
    <n v="5"/>
    <x v="1"/>
    <x v="0"/>
    <n v="249410"/>
    <n v="3.51"/>
    <n v="6"/>
    <n v="23020737539.799999"/>
  </r>
  <r>
    <x v="12"/>
    <x v="29"/>
    <n v="2024"/>
    <x v="2"/>
    <n v="33469.379999999997"/>
    <n v="55.2"/>
    <n v="198"/>
    <n v="130"/>
    <s v="SUV"/>
    <n v="4"/>
    <x v="1"/>
    <x v="3"/>
    <n v="2373"/>
    <n v="3.27"/>
    <n v="3"/>
    <n v="79422838.739999995"/>
  </r>
  <r>
    <x v="5"/>
    <x v="15"/>
    <n v="2024"/>
    <x v="4"/>
    <n v="72898.84"/>
    <n v="65.7"/>
    <n v="244"/>
    <n v="172"/>
    <s v="SUV"/>
    <n v="5"/>
    <x v="4"/>
    <x v="0"/>
    <n v="78422"/>
    <n v="3.48"/>
    <n v="5"/>
    <n v="5716872830.4799995"/>
  </r>
  <r>
    <x v="7"/>
    <x v="10"/>
    <n v="2024"/>
    <x v="1"/>
    <n v="90339.09"/>
    <n v="78.099999999999994"/>
    <n v="263"/>
    <n v="181"/>
    <s v="SUV"/>
    <n v="4"/>
    <x v="3"/>
    <x v="0"/>
    <n v="202441"/>
    <n v="3.2"/>
    <n v="3"/>
    <n v="18288335718.689999"/>
  </r>
  <r>
    <x v="12"/>
    <x v="36"/>
    <n v="2024"/>
    <x v="3"/>
    <n v="57794.12"/>
    <n v="67.8"/>
    <n v="255"/>
    <n v="135"/>
    <s v="Truck"/>
    <n v="5"/>
    <x v="1"/>
    <x v="2"/>
    <n v="28957"/>
    <n v="3.15"/>
    <n v="4"/>
    <n v="1673544332.8400002"/>
  </r>
  <r>
    <x v="14"/>
    <x v="54"/>
    <n v="2024"/>
    <x v="0"/>
    <n v="99775.41"/>
    <n v="109.9"/>
    <n v="380"/>
    <n v="171"/>
    <s v="SUV"/>
    <n v="4"/>
    <x v="2"/>
    <x v="0"/>
    <n v="27479"/>
    <n v="3.57"/>
    <n v="4"/>
    <n v="2741728491.3899999"/>
  </r>
  <r>
    <x v="5"/>
    <x v="7"/>
    <n v="2024"/>
    <x v="1"/>
    <n v="81763.199999999997"/>
    <n v="89.6"/>
    <n v="319"/>
    <n v="188"/>
    <s v="Coupe"/>
    <n v="4"/>
    <x v="4"/>
    <x v="0"/>
    <n v="93663"/>
    <n v="3.44"/>
    <n v="3"/>
    <n v="7658186601.5999994"/>
  </r>
  <r>
    <x v="3"/>
    <x v="3"/>
    <n v="2024"/>
    <x v="3"/>
    <n v="70846.850000000006"/>
    <n v="56.4"/>
    <n v="200"/>
    <n v="161"/>
    <s v="Van"/>
    <n v="4"/>
    <x v="2"/>
    <x v="0"/>
    <n v="234001"/>
    <n v="3.55"/>
    <n v="4"/>
    <n v="16578233746.850002"/>
  </r>
  <r>
    <x v="7"/>
    <x v="27"/>
    <n v="2024"/>
    <x v="0"/>
    <n v="47038.76"/>
    <n v="86.5"/>
    <n v="330"/>
    <n v="194"/>
    <s v="Truck"/>
    <n v="5"/>
    <x v="3"/>
    <x v="2"/>
    <n v="270498"/>
    <n v="3.37"/>
    <n v="3"/>
    <n v="12723890502.480001"/>
  </r>
  <r>
    <x v="7"/>
    <x v="24"/>
    <n v="2024"/>
    <x v="1"/>
    <n v="111511.26"/>
    <n v="74.099999999999994"/>
    <n v="241"/>
    <n v="189"/>
    <s v="Truck"/>
    <n v="5"/>
    <x v="3"/>
    <x v="1"/>
    <n v="230069"/>
    <n v="3.24"/>
    <n v="4"/>
    <n v="25655284076.939999"/>
  </r>
  <r>
    <x v="2"/>
    <x v="2"/>
    <n v="2024"/>
    <x v="1"/>
    <n v="77897.86"/>
    <n v="71.2"/>
    <n v="254"/>
    <n v="186"/>
    <s v="Sedan"/>
    <n v="4"/>
    <x v="1"/>
    <x v="0"/>
    <n v="153891"/>
    <n v="3.65"/>
    <n v="4"/>
    <n v="11987779573.26"/>
  </r>
  <r>
    <x v="16"/>
    <x v="49"/>
    <n v="2024"/>
    <x v="1"/>
    <n v="115672.77"/>
    <n v="85.2"/>
    <n v="304"/>
    <n v="194"/>
    <s v="SUV"/>
    <n v="3"/>
    <x v="2"/>
    <x v="1"/>
    <n v="8357"/>
    <n v="3.71"/>
    <n v="5"/>
    <n v="966677338.88999999"/>
  </r>
  <r>
    <x v="6"/>
    <x v="50"/>
    <n v="2024"/>
    <x v="1"/>
    <n v="43667.25"/>
    <n v="83.3"/>
    <n v="299"/>
    <n v="198"/>
    <s v="Van"/>
    <n v="4"/>
    <x v="4"/>
    <x v="2"/>
    <n v="71109"/>
    <n v="3.49"/>
    <n v="5"/>
    <n v="3105134480.25"/>
  </r>
  <r>
    <x v="12"/>
    <x v="52"/>
    <n v="2024"/>
    <x v="2"/>
    <n v="58716.57"/>
    <n v="83.6"/>
    <n v="313"/>
    <n v="153"/>
    <s v="Sedan"/>
    <n v="5"/>
    <x v="1"/>
    <x v="2"/>
    <n v="22110"/>
    <n v="3.62"/>
    <n v="3"/>
    <n v="1298223362.7"/>
  </r>
  <r>
    <x v="3"/>
    <x v="14"/>
    <n v="2024"/>
    <x v="2"/>
    <n v="17777.32"/>
    <n v="78"/>
    <n v="280"/>
    <n v="142"/>
    <s v="Hatchback"/>
    <n v="4"/>
    <x v="2"/>
    <x v="3"/>
    <n v="212740"/>
    <n v="3.54"/>
    <n v="4"/>
    <n v="3781947056.7999997"/>
  </r>
  <r>
    <x v="2"/>
    <x v="35"/>
    <n v="2024"/>
    <x v="1"/>
    <n v="90519.74"/>
    <n v="119.4"/>
    <n v="405"/>
    <n v="200"/>
    <s v="Coupe"/>
    <n v="4"/>
    <x v="1"/>
    <x v="0"/>
    <n v="189429"/>
    <n v="4.03"/>
    <n v="6"/>
    <n v="17147063828.460001"/>
  </r>
  <r>
    <x v="13"/>
    <x v="59"/>
    <n v="2024"/>
    <x v="1"/>
    <n v="87690.32"/>
    <n v="88.6"/>
    <n v="321"/>
    <n v="200"/>
    <s v="Hatchback"/>
    <n v="4"/>
    <x v="3"/>
    <x v="0"/>
    <n v="36911"/>
    <n v="3.99"/>
    <n v="7"/>
    <n v="3236737401.5200005"/>
  </r>
  <r>
    <x v="3"/>
    <x v="8"/>
    <n v="2024"/>
    <x v="1"/>
    <n v="108909.03"/>
    <n v="86"/>
    <n v="283"/>
    <n v="188"/>
    <s v="Truck"/>
    <n v="3"/>
    <x v="2"/>
    <x v="1"/>
    <n v="136507"/>
    <n v="3.47"/>
    <n v="3"/>
    <n v="14866844958.209999"/>
  </r>
  <r>
    <x v="2"/>
    <x v="2"/>
    <n v="2024"/>
    <x v="0"/>
    <n v="75201.320000000007"/>
    <n v="102.8"/>
    <n v="370"/>
    <n v="185"/>
    <s v="Truck"/>
    <n v="5"/>
    <x v="1"/>
    <x v="0"/>
    <n v="105880"/>
    <n v="4.1100000000000003"/>
    <n v="4"/>
    <n v="7962315761.6000004"/>
  </r>
  <r>
    <x v="8"/>
    <x v="12"/>
    <n v="2024"/>
    <x v="3"/>
    <n v="60849.51"/>
    <n v="82.5"/>
    <n v="274"/>
    <n v="131"/>
    <s v="Truck"/>
    <n v="4"/>
    <x v="1"/>
    <x v="2"/>
    <n v="58206"/>
    <n v="3.54"/>
    <n v="4"/>
    <n v="3541806579.0599999"/>
  </r>
  <r>
    <x v="2"/>
    <x v="31"/>
    <n v="2024"/>
    <x v="0"/>
    <n v="131729.26"/>
    <n v="84.6"/>
    <n v="307"/>
    <n v="187"/>
    <s v="Truck"/>
    <n v="4"/>
    <x v="1"/>
    <x v="1"/>
    <n v="162108"/>
    <n v="3.56"/>
    <n v="5"/>
    <n v="21354366880.080002"/>
  </r>
  <r>
    <x v="2"/>
    <x v="17"/>
    <n v="2024"/>
    <x v="3"/>
    <n v="106609.89"/>
    <n v="75.599999999999994"/>
    <n v="299"/>
    <n v="151"/>
    <s v="Hatchback"/>
    <n v="5"/>
    <x v="1"/>
    <x v="1"/>
    <n v="103912"/>
    <n v="3.73"/>
    <n v="5"/>
    <n v="11078046889.68"/>
  </r>
  <r>
    <x v="12"/>
    <x v="46"/>
    <n v="2024"/>
    <x v="0"/>
    <n v="55502.07"/>
    <n v="92.6"/>
    <n v="331"/>
    <n v="189"/>
    <s v="SUV"/>
    <n v="5"/>
    <x v="1"/>
    <x v="2"/>
    <n v="18580"/>
    <n v="3.71"/>
    <n v="4"/>
    <n v="1031228460.6"/>
  </r>
  <r>
    <x v="8"/>
    <x v="60"/>
    <n v="2024"/>
    <x v="4"/>
    <n v="62057.63"/>
    <n v="57.6"/>
    <n v="207"/>
    <n v="150"/>
    <s v="Van"/>
    <n v="4"/>
    <x v="1"/>
    <x v="2"/>
    <n v="65997"/>
    <n v="3.42"/>
    <n v="3"/>
    <n v="4095617407.1099997"/>
  </r>
  <r>
    <x v="3"/>
    <x v="14"/>
    <n v="2024"/>
    <x v="2"/>
    <n v="75732.88"/>
    <n v="69.3"/>
    <n v="249"/>
    <n v="161"/>
    <s v="Truck"/>
    <n v="5"/>
    <x v="2"/>
    <x v="0"/>
    <n v="228964"/>
    <n v="3.42"/>
    <n v="4"/>
    <n v="17340103136.32"/>
  </r>
  <r>
    <x v="7"/>
    <x v="28"/>
    <n v="2024"/>
    <x v="4"/>
    <n v="74047.12"/>
    <n v="72.599999999999994"/>
    <n v="248"/>
    <n v="154"/>
    <s v="Coupe"/>
    <n v="5"/>
    <x v="3"/>
    <x v="0"/>
    <n v="290963"/>
    <n v="3.67"/>
    <n v="4"/>
    <n v="21544972176.559998"/>
  </r>
  <r>
    <x v="3"/>
    <x v="6"/>
    <n v="2024"/>
    <x v="3"/>
    <n v="30843.09"/>
    <n v="49"/>
    <n v="171"/>
    <n v="151"/>
    <s v="Hatchback"/>
    <n v="4"/>
    <x v="2"/>
    <x v="3"/>
    <n v="206164"/>
    <n v="3"/>
    <n v="4"/>
    <n v="6358734806.7600002"/>
  </r>
  <r>
    <x v="7"/>
    <x v="28"/>
    <n v="2024"/>
    <x v="0"/>
    <n v="70634.98"/>
    <n v="89.6"/>
    <n v="312"/>
    <n v="173"/>
    <s v="Hatchback"/>
    <n v="4"/>
    <x v="3"/>
    <x v="0"/>
    <n v="289608"/>
    <n v="3.58"/>
    <n v="3"/>
    <n v="20456455287.84"/>
  </r>
  <r>
    <x v="0"/>
    <x v="47"/>
    <n v="2024"/>
    <x v="1"/>
    <n v="94209.78"/>
    <n v="108.8"/>
    <n v="381"/>
    <n v="200"/>
    <s v="Coupe"/>
    <n v="5"/>
    <x v="0"/>
    <x v="0"/>
    <n v="1723"/>
    <n v="3.95"/>
    <n v="3"/>
    <n v="162323450.94"/>
  </r>
  <r>
    <x v="4"/>
    <x v="32"/>
    <n v="2024"/>
    <x v="2"/>
    <n v="106732.12"/>
    <n v="80"/>
    <n v="268"/>
    <n v="142"/>
    <s v="Truck"/>
    <n v="5"/>
    <x v="3"/>
    <x v="1"/>
    <n v="48443"/>
    <n v="3.48"/>
    <n v="7"/>
    <n v="5170424089.1599998"/>
  </r>
  <r>
    <x v="7"/>
    <x v="27"/>
    <n v="2024"/>
    <x v="2"/>
    <n v="38794.79"/>
    <n v="77.8"/>
    <n v="290"/>
    <n v="150"/>
    <s v="Coupe"/>
    <n v="5"/>
    <x v="3"/>
    <x v="2"/>
    <n v="216258"/>
    <n v="3.83"/>
    <n v="3"/>
    <n v="8389683695.8200006"/>
  </r>
  <r>
    <x v="2"/>
    <x v="5"/>
    <n v="2024"/>
    <x v="3"/>
    <n v="111996.5"/>
    <n v="50.5"/>
    <n v="190"/>
    <n v="165"/>
    <s v="Van"/>
    <n v="4"/>
    <x v="1"/>
    <x v="1"/>
    <n v="445661"/>
    <n v="3.56"/>
    <n v="5"/>
    <n v="49912472186.5"/>
  </r>
  <r>
    <x v="3"/>
    <x v="14"/>
    <n v="2024"/>
    <x v="3"/>
    <n v="46656.51"/>
    <n v="45.6"/>
    <n v="150"/>
    <n v="167"/>
    <s v="SUV"/>
    <n v="5"/>
    <x v="2"/>
    <x v="2"/>
    <n v="249607"/>
    <n v="3.33"/>
    <n v="4"/>
    <n v="11645791491.57"/>
  </r>
  <r>
    <x v="3"/>
    <x v="6"/>
    <n v="2024"/>
    <x v="2"/>
    <n v="50360.89"/>
    <n v="69.3"/>
    <n v="238"/>
    <n v="139"/>
    <s v="Sedan"/>
    <n v="5"/>
    <x v="2"/>
    <x v="2"/>
    <n v="209468"/>
    <n v="3.18"/>
    <n v="4"/>
    <n v="10548994906.52"/>
  </r>
  <r>
    <x v="2"/>
    <x v="17"/>
    <n v="2024"/>
    <x v="4"/>
    <n v="152844.99"/>
    <n v="77.099999999999994"/>
    <n v="281"/>
    <n v="172"/>
    <s v="Truck"/>
    <n v="4"/>
    <x v="1"/>
    <x v="1"/>
    <n v="153103"/>
    <n v="4.05"/>
    <n v="5"/>
    <n v="23401026503.969997"/>
  </r>
  <r>
    <x v="5"/>
    <x v="13"/>
    <n v="2024"/>
    <x v="0"/>
    <n v="57850.5"/>
    <n v="101.6"/>
    <n v="350"/>
    <n v="162"/>
    <s v="Coupe"/>
    <n v="5"/>
    <x v="4"/>
    <x v="2"/>
    <n v="125554"/>
    <n v="3.47"/>
    <n v="4"/>
    <n v="7263361677"/>
  </r>
  <r>
    <x v="3"/>
    <x v="3"/>
    <n v="2024"/>
    <x v="2"/>
    <n v="70890.539999999994"/>
    <n v="64.5"/>
    <n v="242"/>
    <n v="138"/>
    <s v="Truck"/>
    <n v="5"/>
    <x v="2"/>
    <x v="0"/>
    <n v="119629"/>
    <n v="3.38"/>
    <n v="4"/>
    <n v="8480564409.6599989"/>
  </r>
  <r>
    <x v="5"/>
    <x v="13"/>
    <n v="2024"/>
    <x v="1"/>
    <n v="105759.07"/>
    <n v="79.7"/>
    <n v="278"/>
    <n v="200"/>
    <s v="Hatchback"/>
    <n v="3"/>
    <x v="4"/>
    <x v="1"/>
    <n v="107830"/>
    <n v="3.56"/>
    <n v="5"/>
    <n v="11404000518.1"/>
  </r>
  <r>
    <x v="2"/>
    <x v="31"/>
    <n v="2024"/>
    <x v="3"/>
    <n v="107897.62"/>
    <n v="47.5"/>
    <n v="178"/>
    <n v="160"/>
    <s v="Truck"/>
    <n v="5"/>
    <x v="1"/>
    <x v="1"/>
    <n v="188033"/>
    <n v="3.43"/>
    <n v="4"/>
    <n v="20288313181.459999"/>
  </r>
  <r>
    <x v="4"/>
    <x v="32"/>
    <n v="2024"/>
    <x v="2"/>
    <n v="65798.710000000006"/>
    <n v="76.8"/>
    <n v="250"/>
    <n v="160"/>
    <s v="Truck"/>
    <n v="4"/>
    <x v="3"/>
    <x v="0"/>
    <n v="52856"/>
    <n v="3.77"/>
    <n v="8"/>
    <n v="3477856615.7600002"/>
  </r>
  <r>
    <x v="5"/>
    <x v="13"/>
    <n v="2024"/>
    <x v="2"/>
    <n v="57643.94"/>
    <n v="54.7"/>
    <n v="170"/>
    <n v="150"/>
    <s v="Sedan"/>
    <n v="5"/>
    <x v="4"/>
    <x v="2"/>
    <n v="149672"/>
    <n v="3.38"/>
    <n v="3"/>
    <n v="8627683787.6800003"/>
  </r>
  <r>
    <x v="2"/>
    <x v="31"/>
    <n v="2024"/>
    <x v="2"/>
    <n v="49296.66"/>
    <n v="41.7"/>
    <n v="153"/>
    <n v="134"/>
    <s v="Truck"/>
    <n v="5"/>
    <x v="1"/>
    <x v="2"/>
    <n v="241001"/>
    <n v="3.74"/>
    <n v="6"/>
    <n v="11880544356.660002"/>
  </r>
  <r>
    <x v="11"/>
    <x v="56"/>
    <n v="2024"/>
    <x v="1"/>
    <n v="118076.47"/>
    <n v="74"/>
    <n v="249"/>
    <n v="194"/>
    <s v="Hatchback"/>
    <n v="5"/>
    <x v="1"/>
    <x v="1"/>
    <n v="656"/>
    <n v="3.53"/>
    <n v="5"/>
    <n v="77458164.320000008"/>
  </r>
  <r>
    <x v="2"/>
    <x v="5"/>
    <n v="2024"/>
    <x v="1"/>
    <n v="141348.91"/>
    <n v="115.7"/>
    <n v="409"/>
    <n v="200"/>
    <s v="Coupe"/>
    <n v="4"/>
    <x v="1"/>
    <x v="1"/>
    <n v="490678"/>
    <n v="4.51"/>
    <n v="4"/>
    <n v="69356800460.979996"/>
  </r>
  <r>
    <x v="7"/>
    <x v="10"/>
    <n v="2024"/>
    <x v="2"/>
    <n v="29413.61"/>
    <n v="69.3"/>
    <n v="264"/>
    <n v="131"/>
    <s v="SUV"/>
    <n v="5"/>
    <x v="3"/>
    <x v="3"/>
    <n v="268683"/>
    <n v="3.64"/>
    <n v="4"/>
    <n v="7902936975.6300001"/>
  </r>
  <r>
    <x v="7"/>
    <x v="44"/>
    <n v="2024"/>
    <x v="1"/>
    <n v="106703.67"/>
    <n v="90.5"/>
    <n v="330"/>
    <n v="192"/>
    <s v="Van"/>
    <n v="5"/>
    <x v="3"/>
    <x v="1"/>
    <n v="282713"/>
    <n v="3.53"/>
    <n v="3"/>
    <n v="30166514656.709999"/>
  </r>
  <r>
    <x v="3"/>
    <x v="42"/>
    <n v="2024"/>
    <x v="2"/>
    <n v="31743.27"/>
    <n v="82.5"/>
    <n v="285"/>
    <n v="166"/>
    <s v="SUV"/>
    <n v="4"/>
    <x v="2"/>
    <x v="3"/>
    <n v="226541"/>
    <n v="3.63"/>
    <n v="3"/>
    <n v="7191152129.0699997"/>
  </r>
  <r>
    <x v="3"/>
    <x v="6"/>
    <n v="2024"/>
    <x v="1"/>
    <n v="53801.14"/>
    <n v="101.6"/>
    <n v="365"/>
    <n v="200"/>
    <s v="Van"/>
    <n v="5"/>
    <x v="2"/>
    <x v="2"/>
    <n v="168996"/>
    <n v="3.7"/>
    <n v="4"/>
    <n v="9092177455.4400005"/>
  </r>
  <r>
    <x v="2"/>
    <x v="2"/>
    <n v="2024"/>
    <x v="3"/>
    <n v="122807.61"/>
    <n v="51"/>
    <n v="203"/>
    <n v="177"/>
    <s v="Van"/>
    <n v="4"/>
    <x v="1"/>
    <x v="1"/>
    <n v="162784"/>
    <n v="3.67"/>
    <n v="6"/>
    <n v="19991113986.240002"/>
  </r>
  <r>
    <x v="6"/>
    <x v="50"/>
    <n v="2024"/>
    <x v="3"/>
    <n v="53616.49"/>
    <n v="57.8"/>
    <n v="161"/>
    <n v="147"/>
    <s v="Coupe"/>
    <n v="5"/>
    <x v="4"/>
    <x v="2"/>
    <n v="78661"/>
    <n v="3.39"/>
    <n v="3"/>
    <n v="4217526719.8899999"/>
  </r>
  <r>
    <x v="12"/>
    <x v="45"/>
    <n v="2024"/>
    <x v="1"/>
    <n v="43772.41"/>
    <n v="113.5"/>
    <n v="369"/>
    <n v="192"/>
    <s v="SUV"/>
    <n v="4"/>
    <x v="1"/>
    <x v="2"/>
    <n v="13494"/>
    <n v="3.81"/>
    <n v="4"/>
    <n v="590664900.54000008"/>
  </r>
  <r>
    <x v="2"/>
    <x v="5"/>
    <n v="2024"/>
    <x v="3"/>
    <n v="118291.58"/>
    <n v="82.5"/>
    <n v="290"/>
    <n v="157"/>
    <s v="Truck"/>
    <n v="5"/>
    <x v="1"/>
    <x v="1"/>
    <n v="419454"/>
    <n v="3.57"/>
    <n v="4"/>
    <n v="49617876397.32"/>
  </r>
  <r>
    <x v="13"/>
    <x v="59"/>
    <n v="2024"/>
    <x v="4"/>
    <n v="167460.91"/>
    <n v="69.900000000000006"/>
    <n v="243"/>
    <n v="175"/>
    <s v="Hatchback"/>
    <n v="4"/>
    <x v="3"/>
    <x v="1"/>
    <n v="50533"/>
    <n v="3.71"/>
    <n v="5"/>
    <n v="8462302165.0299997"/>
  </r>
  <r>
    <x v="9"/>
    <x v="19"/>
    <n v="2024"/>
    <x v="2"/>
    <n v="58695"/>
    <n v="50"/>
    <n v="177"/>
    <n v="155"/>
    <s v="Coupe"/>
    <n v="4"/>
    <x v="3"/>
    <x v="2"/>
    <n v="59887"/>
    <n v="3.39"/>
    <n v="6"/>
    <n v="3515067465"/>
  </r>
  <r>
    <x v="13"/>
    <x v="64"/>
    <n v="2024"/>
    <x v="1"/>
    <n v="183949.91"/>
    <n v="87"/>
    <n v="328"/>
    <n v="200"/>
    <s v="Coupe"/>
    <n v="5"/>
    <x v="3"/>
    <x v="1"/>
    <n v="78765"/>
    <n v="4.0599999999999996"/>
    <n v="6"/>
    <n v="14488814661.15"/>
  </r>
  <r>
    <x v="6"/>
    <x v="9"/>
    <n v="2024"/>
    <x v="3"/>
    <n v="37623.67"/>
    <n v="63.5"/>
    <n v="214"/>
    <n v="165"/>
    <s v="Van"/>
    <n v="4"/>
    <x v="4"/>
    <x v="2"/>
    <n v="76324"/>
    <n v="3.31"/>
    <n v="4"/>
    <n v="2871588989.0799999"/>
  </r>
  <r>
    <x v="14"/>
    <x v="41"/>
    <n v="2024"/>
    <x v="4"/>
    <n v="68322.210000000006"/>
    <n v="64.5"/>
    <n v="203"/>
    <n v="143"/>
    <s v="Coupe"/>
    <n v="5"/>
    <x v="2"/>
    <x v="0"/>
    <n v="2458"/>
    <n v="3.46"/>
    <n v="4"/>
    <n v="167935992.18000001"/>
  </r>
  <r>
    <x v="2"/>
    <x v="5"/>
    <n v="2024"/>
    <x v="4"/>
    <n v="91805.32"/>
    <n v="52.7"/>
    <n v="197"/>
    <n v="156"/>
    <s v="Hatchback"/>
    <n v="4"/>
    <x v="1"/>
    <x v="0"/>
    <n v="462587"/>
    <n v="3.48"/>
    <n v="5"/>
    <n v="42467947562.840004"/>
  </r>
  <r>
    <x v="12"/>
    <x v="45"/>
    <n v="2024"/>
    <x v="2"/>
    <n v="34244.160000000003"/>
    <n v="59.5"/>
    <n v="214"/>
    <n v="163"/>
    <s v="SUV"/>
    <n v="5"/>
    <x v="1"/>
    <x v="3"/>
    <n v="29653"/>
    <n v="3.5"/>
    <n v="4"/>
    <n v="1015442076.4800001"/>
  </r>
  <r>
    <x v="5"/>
    <x v="22"/>
    <n v="2024"/>
    <x v="3"/>
    <n v="67166.429999999993"/>
    <n v="71.5"/>
    <n v="240"/>
    <n v="135"/>
    <s v="SUV"/>
    <n v="4"/>
    <x v="4"/>
    <x v="0"/>
    <n v="69022"/>
    <n v="3.56"/>
    <n v="5"/>
    <n v="4635961331.4599991"/>
  </r>
  <r>
    <x v="11"/>
    <x v="56"/>
    <n v="2024"/>
    <x v="2"/>
    <n v="73774.27"/>
    <n v="67.400000000000006"/>
    <n v="263"/>
    <n v="148"/>
    <s v="Truck"/>
    <n v="5"/>
    <x v="1"/>
    <x v="0"/>
    <n v="22100"/>
    <n v="3.49"/>
    <n v="4"/>
    <n v="1630411367"/>
  </r>
  <r>
    <x v="2"/>
    <x v="5"/>
    <n v="2024"/>
    <x v="0"/>
    <n v="98420.53"/>
    <n v="75.3"/>
    <n v="267"/>
    <n v="165"/>
    <s v="Hatchback"/>
    <n v="5"/>
    <x v="1"/>
    <x v="0"/>
    <n v="459091"/>
    <n v="3.73"/>
    <n v="6"/>
    <n v="45183979538.229996"/>
  </r>
  <r>
    <x v="12"/>
    <x v="29"/>
    <n v="2024"/>
    <x v="3"/>
    <n v="42545.39"/>
    <n v="40"/>
    <n v="150"/>
    <n v="171"/>
    <s v="Sedan"/>
    <n v="3"/>
    <x v="1"/>
    <x v="2"/>
    <n v="11545"/>
    <n v="3.42"/>
    <n v="4"/>
    <n v="491186527.55000001"/>
  </r>
  <r>
    <x v="11"/>
    <x v="56"/>
    <n v="2024"/>
    <x v="3"/>
    <n v="86119.94"/>
    <n v="52.4"/>
    <n v="172"/>
    <n v="170"/>
    <s v="Van"/>
    <n v="4"/>
    <x v="1"/>
    <x v="0"/>
    <n v="1755"/>
    <n v="3.19"/>
    <n v="4"/>
    <n v="151140494.70000002"/>
  </r>
  <r>
    <x v="1"/>
    <x v="1"/>
    <n v="2024"/>
    <x v="1"/>
    <n v="77587.25"/>
    <n v="78.3"/>
    <n v="296"/>
    <n v="198"/>
    <s v="Sedan"/>
    <n v="4"/>
    <x v="1"/>
    <x v="0"/>
    <n v="24352"/>
    <n v="3.46"/>
    <n v="5"/>
    <n v="1889404712"/>
  </r>
  <r>
    <x v="2"/>
    <x v="31"/>
    <n v="2024"/>
    <x v="4"/>
    <n v="49738.35"/>
    <n v="47"/>
    <n v="150"/>
    <n v="165"/>
    <s v="Truck"/>
    <n v="5"/>
    <x v="1"/>
    <x v="2"/>
    <n v="179970"/>
    <n v="3.63"/>
    <n v="5"/>
    <n v="8951410849.5"/>
  </r>
  <r>
    <x v="2"/>
    <x v="17"/>
    <n v="2024"/>
    <x v="0"/>
    <n v="148635.93"/>
    <n v="103.2"/>
    <n v="360"/>
    <n v="165"/>
    <s v="Van"/>
    <n v="3"/>
    <x v="1"/>
    <x v="1"/>
    <n v="108335"/>
    <n v="3.96"/>
    <n v="4"/>
    <n v="16102473476.549999"/>
  </r>
  <r>
    <x v="3"/>
    <x v="3"/>
    <n v="2024"/>
    <x v="4"/>
    <n v="113232.12"/>
    <n v="50"/>
    <n v="173"/>
    <n v="154"/>
    <s v="Coupe"/>
    <n v="4"/>
    <x v="2"/>
    <x v="1"/>
    <n v="184045"/>
    <n v="3.17"/>
    <n v="5"/>
    <n v="20839805525.399998"/>
  </r>
  <r>
    <x v="5"/>
    <x v="7"/>
    <n v="2024"/>
    <x v="0"/>
    <n v="40789.370000000003"/>
    <n v="85.6"/>
    <n v="279"/>
    <n v="165"/>
    <s v="Coupe"/>
    <n v="5"/>
    <x v="4"/>
    <x v="2"/>
    <n v="63756"/>
    <n v="3.57"/>
    <n v="4"/>
    <n v="2600567073.7200003"/>
  </r>
  <r>
    <x v="16"/>
    <x v="49"/>
    <n v="2024"/>
    <x v="0"/>
    <n v="95394.53"/>
    <n v="76.400000000000006"/>
    <n v="243"/>
    <n v="168"/>
    <s v="SUV"/>
    <n v="5"/>
    <x v="2"/>
    <x v="0"/>
    <n v="8671"/>
    <n v="3.55"/>
    <n v="3"/>
    <n v="827165969.63"/>
  </r>
  <r>
    <x v="3"/>
    <x v="11"/>
    <n v="2024"/>
    <x v="2"/>
    <n v="16613.009999999998"/>
    <n v="55.9"/>
    <n v="237"/>
    <n v="169"/>
    <s v="Sedan"/>
    <n v="3"/>
    <x v="2"/>
    <x v="3"/>
    <n v="205452"/>
    <n v="3.37"/>
    <n v="5"/>
    <n v="3413176130.5199995"/>
  </r>
  <r>
    <x v="4"/>
    <x v="32"/>
    <n v="2024"/>
    <x v="2"/>
    <n v="86243.23"/>
    <n v="60.4"/>
    <n v="208"/>
    <n v="169"/>
    <s v="Sedan"/>
    <n v="4"/>
    <x v="3"/>
    <x v="0"/>
    <n v="24433"/>
    <n v="3.51"/>
    <n v="6"/>
    <n v="2107180838.5899999"/>
  </r>
  <r>
    <x v="7"/>
    <x v="24"/>
    <n v="2024"/>
    <x v="0"/>
    <n v="67671.59"/>
    <n v="106.9"/>
    <n v="369"/>
    <n v="166"/>
    <s v="SUV"/>
    <n v="4"/>
    <x v="3"/>
    <x v="0"/>
    <n v="268234"/>
    <n v="3.88"/>
    <n v="4"/>
    <n v="18151821272.059998"/>
  </r>
  <r>
    <x v="3"/>
    <x v="6"/>
    <n v="2024"/>
    <x v="0"/>
    <n v="71451.87"/>
    <n v="76.8"/>
    <n v="260"/>
    <n v="166"/>
    <s v="Van"/>
    <n v="5"/>
    <x v="2"/>
    <x v="0"/>
    <n v="111875"/>
    <n v="3.51"/>
    <n v="4"/>
    <n v="7993677956.249999"/>
  </r>
  <r>
    <x v="2"/>
    <x v="5"/>
    <n v="2024"/>
    <x v="0"/>
    <n v="114549.61"/>
    <n v="101"/>
    <n v="338"/>
    <n v="178"/>
    <s v="Coupe"/>
    <n v="5"/>
    <x v="1"/>
    <x v="1"/>
    <n v="473485"/>
    <n v="4.07"/>
    <n v="4"/>
    <n v="54237522090.849998"/>
  </r>
  <r>
    <x v="15"/>
    <x v="67"/>
    <n v="2024"/>
    <x v="4"/>
    <n v="143428.04999999999"/>
    <n v="66.099999999999994"/>
    <n v="213"/>
    <n v="148"/>
    <s v="Coupe"/>
    <n v="4"/>
    <x v="3"/>
    <x v="1"/>
    <n v="6555"/>
    <n v="3.83"/>
    <n v="7"/>
    <n v="940170867.74999988"/>
  </r>
  <r>
    <x v="0"/>
    <x v="0"/>
    <n v="2024"/>
    <x v="0"/>
    <n v="85221.63"/>
    <n v="86.5"/>
    <n v="314"/>
    <n v="181"/>
    <s v="SUV"/>
    <n v="4"/>
    <x v="0"/>
    <x v="0"/>
    <n v="12454"/>
    <n v="3.6"/>
    <n v="4"/>
    <n v="1061350180.0200001"/>
  </r>
  <r>
    <x v="2"/>
    <x v="35"/>
    <n v="2024"/>
    <x v="4"/>
    <n v="57311.05"/>
    <n v="46.2"/>
    <n v="178"/>
    <n v="148"/>
    <s v="Hatchback"/>
    <n v="5"/>
    <x v="1"/>
    <x v="2"/>
    <n v="103833"/>
    <n v="3.5"/>
    <n v="5"/>
    <n v="5950778254.6500006"/>
  </r>
  <r>
    <x v="9"/>
    <x v="39"/>
    <n v="2024"/>
    <x v="4"/>
    <n v="79371.520000000004"/>
    <n v="75.599999999999994"/>
    <n v="287"/>
    <n v="165"/>
    <s v="Hatchback"/>
    <n v="5"/>
    <x v="3"/>
    <x v="0"/>
    <n v="73538"/>
    <n v="3.37"/>
    <n v="6"/>
    <n v="5836822837.7600002"/>
  </r>
  <r>
    <x v="5"/>
    <x v="13"/>
    <n v="2024"/>
    <x v="1"/>
    <n v="42779.06"/>
    <n v="92.5"/>
    <n v="294"/>
    <n v="195"/>
    <s v="SUV"/>
    <n v="4"/>
    <x v="4"/>
    <x v="2"/>
    <n v="60355"/>
    <n v="3.59"/>
    <n v="5"/>
    <n v="2581930166.2999997"/>
  </r>
  <r>
    <x v="3"/>
    <x v="6"/>
    <n v="2024"/>
    <x v="4"/>
    <n v="65610.45"/>
    <n v="55.7"/>
    <n v="208"/>
    <n v="130"/>
    <s v="Sedan"/>
    <n v="4"/>
    <x v="2"/>
    <x v="0"/>
    <n v="108967"/>
    <n v="3.37"/>
    <n v="5"/>
    <n v="7149373905.1499996"/>
  </r>
  <r>
    <x v="2"/>
    <x v="31"/>
    <n v="2024"/>
    <x v="0"/>
    <n v="71380.399999999994"/>
    <n v="86.4"/>
    <n v="314"/>
    <n v="179"/>
    <s v="Truck"/>
    <n v="5"/>
    <x v="1"/>
    <x v="0"/>
    <n v="213989"/>
    <n v="3.69"/>
    <n v="4"/>
    <n v="15274620415.599998"/>
  </r>
  <r>
    <x v="8"/>
    <x v="12"/>
    <n v="2024"/>
    <x v="4"/>
    <n v="79235.67"/>
    <n v="56.8"/>
    <n v="213"/>
    <n v="142"/>
    <s v="Truck"/>
    <n v="4"/>
    <x v="1"/>
    <x v="0"/>
    <n v="59746"/>
    <n v="3.32"/>
    <n v="4"/>
    <n v="4734014339.8199997"/>
  </r>
  <r>
    <x v="3"/>
    <x v="3"/>
    <n v="2024"/>
    <x v="4"/>
    <n v="88218.65"/>
    <n v="54.7"/>
    <n v="210"/>
    <n v="158"/>
    <s v="Coupe"/>
    <n v="4"/>
    <x v="2"/>
    <x v="0"/>
    <n v="227690"/>
    <n v="3.41"/>
    <n v="4"/>
    <n v="20086504418.5"/>
  </r>
  <r>
    <x v="4"/>
    <x v="32"/>
    <n v="2024"/>
    <x v="1"/>
    <n v="121871.7"/>
    <n v="86.2"/>
    <n v="305"/>
    <n v="200"/>
    <s v="Van"/>
    <n v="5"/>
    <x v="3"/>
    <x v="1"/>
    <n v="31338"/>
    <n v="3.61"/>
    <n v="7"/>
    <n v="3819215334.5999999"/>
  </r>
  <r>
    <x v="5"/>
    <x v="15"/>
    <n v="2024"/>
    <x v="3"/>
    <n v="31797.34"/>
    <n v="45.6"/>
    <n v="150"/>
    <n v="145"/>
    <s v="SUV"/>
    <n v="4"/>
    <x v="4"/>
    <x v="3"/>
    <n v="131619"/>
    <n v="3.27"/>
    <n v="3"/>
    <n v="4185134093.46"/>
  </r>
  <r>
    <x v="4"/>
    <x v="40"/>
    <n v="2024"/>
    <x v="0"/>
    <n v="123736.19"/>
    <n v="81.7"/>
    <n v="310"/>
    <n v="174"/>
    <s v="Coupe"/>
    <n v="5"/>
    <x v="3"/>
    <x v="1"/>
    <n v="45413"/>
    <n v="3.78"/>
    <n v="6"/>
    <n v="5619231596.4700003"/>
  </r>
  <r>
    <x v="8"/>
    <x v="34"/>
    <n v="2024"/>
    <x v="4"/>
    <n v="80541.59"/>
    <n v="73.3"/>
    <n v="280"/>
    <n v="141"/>
    <s v="Coupe"/>
    <n v="5"/>
    <x v="1"/>
    <x v="0"/>
    <n v="37698"/>
    <n v="3.44"/>
    <n v="3"/>
    <n v="3036256859.8199997"/>
  </r>
  <r>
    <x v="7"/>
    <x v="28"/>
    <n v="2024"/>
    <x v="3"/>
    <n v="46173.34"/>
    <n v="51.5"/>
    <n v="190"/>
    <n v="148"/>
    <s v="Sedan"/>
    <n v="5"/>
    <x v="3"/>
    <x v="2"/>
    <n v="274696"/>
    <n v="3.4"/>
    <n v="3"/>
    <n v="12683631804.639999"/>
  </r>
  <r>
    <x v="2"/>
    <x v="5"/>
    <n v="2024"/>
    <x v="4"/>
    <n v="137035.03"/>
    <n v="58.5"/>
    <n v="224"/>
    <n v="151"/>
    <s v="Hatchback"/>
    <n v="4"/>
    <x v="1"/>
    <x v="1"/>
    <n v="429314"/>
    <n v="3.65"/>
    <n v="4"/>
    <n v="58831056869.419998"/>
  </r>
  <r>
    <x v="9"/>
    <x v="55"/>
    <n v="2024"/>
    <x v="3"/>
    <n v="96459.23"/>
    <n v="81"/>
    <n v="288"/>
    <n v="121"/>
    <s v="Truck"/>
    <n v="4"/>
    <x v="3"/>
    <x v="0"/>
    <n v="64056"/>
    <n v="3.51"/>
    <n v="5"/>
    <n v="6178792436.8800001"/>
  </r>
  <r>
    <x v="6"/>
    <x v="50"/>
    <n v="2024"/>
    <x v="4"/>
    <n v="97251.62"/>
    <n v="60.7"/>
    <n v="196"/>
    <n v="148"/>
    <s v="SUV"/>
    <n v="5"/>
    <x v="4"/>
    <x v="0"/>
    <n v="59030"/>
    <n v="3.11"/>
    <n v="4"/>
    <n v="5740763128.5999994"/>
  </r>
  <r>
    <x v="6"/>
    <x v="53"/>
    <n v="2024"/>
    <x v="0"/>
    <n v="63320.42"/>
    <n v="102.7"/>
    <n v="353"/>
    <n v="160"/>
    <s v="Sedan"/>
    <n v="5"/>
    <x v="4"/>
    <x v="2"/>
    <n v="132537"/>
    <n v="3.75"/>
    <n v="3"/>
    <n v="8392298505.54"/>
  </r>
  <r>
    <x v="13"/>
    <x v="48"/>
    <n v="2024"/>
    <x v="2"/>
    <n v="62600.82"/>
    <n v="55.9"/>
    <n v="179"/>
    <n v="145"/>
    <s v="Van"/>
    <n v="3"/>
    <x v="3"/>
    <x v="2"/>
    <n v="69358"/>
    <n v="3.66"/>
    <n v="7"/>
    <n v="4341867673.5600004"/>
  </r>
  <r>
    <x v="2"/>
    <x v="2"/>
    <n v="2024"/>
    <x v="0"/>
    <n v="156702.49"/>
    <n v="102.8"/>
    <n v="353"/>
    <n v="157"/>
    <s v="Sedan"/>
    <n v="5"/>
    <x v="1"/>
    <x v="1"/>
    <n v="132013"/>
    <n v="3.89"/>
    <n v="5"/>
    <n v="20686765812.369999"/>
  </r>
  <r>
    <x v="2"/>
    <x v="31"/>
    <n v="2024"/>
    <x v="3"/>
    <n v="101208.82"/>
    <n v="52.4"/>
    <n v="172"/>
    <n v="147"/>
    <s v="Truck"/>
    <n v="5"/>
    <x v="1"/>
    <x v="1"/>
    <n v="248389"/>
    <n v="3.58"/>
    <n v="5"/>
    <n v="25139157590.980003"/>
  </r>
  <r>
    <x v="3"/>
    <x v="8"/>
    <n v="2024"/>
    <x v="3"/>
    <n v="57387.97"/>
    <n v="47.9"/>
    <n v="180"/>
    <n v="164"/>
    <s v="Sedan"/>
    <n v="5"/>
    <x v="2"/>
    <x v="2"/>
    <n v="181198"/>
    <n v="3.34"/>
    <n v="4"/>
    <n v="10398585388.059999"/>
  </r>
  <r>
    <x v="5"/>
    <x v="23"/>
    <n v="2024"/>
    <x v="2"/>
    <n v="72870.48"/>
    <n v="81.7"/>
    <n v="288"/>
    <n v="174"/>
    <s v="Truck"/>
    <n v="5"/>
    <x v="4"/>
    <x v="0"/>
    <n v="68801"/>
    <n v="3.48"/>
    <n v="3"/>
    <n v="5013561894.4799995"/>
  </r>
  <r>
    <x v="12"/>
    <x v="36"/>
    <n v="2024"/>
    <x v="0"/>
    <n v="61730.85"/>
    <n v="78.599999999999994"/>
    <n v="279"/>
    <n v="183"/>
    <s v="Coupe"/>
    <n v="5"/>
    <x v="1"/>
    <x v="2"/>
    <n v="10777"/>
    <n v="3.75"/>
    <n v="4"/>
    <n v="665273370.44999993"/>
  </r>
  <r>
    <x v="2"/>
    <x v="17"/>
    <n v="2024"/>
    <x v="2"/>
    <n v="88042.89"/>
    <n v="46.2"/>
    <n v="164"/>
    <n v="138"/>
    <s v="Sedan"/>
    <n v="3"/>
    <x v="1"/>
    <x v="0"/>
    <n v="108761"/>
    <n v="3.42"/>
    <n v="5"/>
    <n v="9575632759.289999"/>
  </r>
  <r>
    <x v="1"/>
    <x v="1"/>
    <n v="2024"/>
    <x v="1"/>
    <n v="159067.16"/>
    <n v="109.7"/>
    <n v="402"/>
    <n v="178"/>
    <s v="Van"/>
    <n v="5"/>
    <x v="1"/>
    <x v="1"/>
    <n v="23252"/>
    <n v="3.93"/>
    <n v="3"/>
    <n v="3698629604.3200002"/>
  </r>
  <r>
    <x v="1"/>
    <x v="51"/>
    <n v="2024"/>
    <x v="0"/>
    <n v="93018.72"/>
    <n v="83.7"/>
    <n v="313"/>
    <n v="182"/>
    <s v="Sedan"/>
    <n v="5"/>
    <x v="1"/>
    <x v="0"/>
    <n v="1655"/>
    <n v="3.46"/>
    <n v="5"/>
    <n v="153945981.59999999"/>
  </r>
  <r>
    <x v="7"/>
    <x v="24"/>
    <n v="2024"/>
    <x v="4"/>
    <n v="112817.29"/>
    <n v="66.099999999999994"/>
    <n v="213"/>
    <n v="142"/>
    <s v="Sedan"/>
    <n v="5"/>
    <x v="3"/>
    <x v="1"/>
    <n v="244997"/>
    <n v="3.38"/>
    <n v="3"/>
    <n v="27639897598.129997"/>
  </r>
  <r>
    <x v="16"/>
    <x v="49"/>
    <n v="2024"/>
    <x v="2"/>
    <n v="67624.72"/>
    <n v="50.5"/>
    <n v="190"/>
    <n v="168"/>
    <s v="Truck"/>
    <n v="5"/>
    <x v="2"/>
    <x v="0"/>
    <n v="26829"/>
    <n v="3.48"/>
    <n v="4"/>
    <n v="1814303612.8800001"/>
  </r>
  <r>
    <x v="7"/>
    <x v="24"/>
    <n v="2024"/>
    <x v="3"/>
    <n v="45198.239999999998"/>
    <n v="56.5"/>
    <n v="198"/>
    <n v="139"/>
    <s v="Truck"/>
    <n v="5"/>
    <x v="3"/>
    <x v="2"/>
    <n v="251931"/>
    <n v="3.32"/>
    <n v="3"/>
    <n v="11386837801.439999"/>
  </r>
  <r>
    <x v="12"/>
    <x v="36"/>
    <n v="2024"/>
    <x v="3"/>
    <n v="57065.27"/>
    <n v="44.6"/>
    <n v="150"/>
    <n v="167"/>
    <s v="SUV"/>
    <n v="5"/>
    <x v="1"/>
    <x v="2"/>
    <n v="24368"/>
    <n v="3.41"/>
    <n v="4"/>
    <n v="1390566499.3599999"/>
  </r>
  <r>
    <x v="2"/>
    <x v="17"/>
    <n v="2024"/>
    <x v="1"/>
    <n v="171221.67"/>
    <n v="95.1"/>
    <n v="329"/>
    <n v="196"/>
    <s v="Van"/>
    <n v="5"/>
    <x v="1"/>
    <x v="1"/>
    <n v="247330"/>
    <n v="3.88"/>
    <n v="4"/>
    <n v="42348255641.100006"/>
  </r>
  <r>
    <x v="9"/>
    <x v="16"/>
    <n v="2024"/>
    <x v="1"/>
    <n v="143876.35"/>
    <n v="81.7"/>
    <n v="261"/>
    <n v="197"/>
    <s v="Truck"/>
    <n v="3"/>
    <x v="3"/>
    <x v="1"/>
    <n v="37253"/>
    <n v="3.67"/>
    <n v="6"/>
    <n v="5359825666.5500002"/>
  </r>
  <r>
    <x v="9"/>
    <x v="38"/>
    <n v="2024"/>
    <x v="2"/>
    <n v="62907.37"/>
    <n v="84"/>
    <n v="296"/>
    <n v="134"/>
    <s v="SUV"/>
    <n v="5"/>
    <x v="3"/>
    <x v="2"/>
    <n v="49240"/>
    <n v="3.56"/>
    <n v="7"/>
    <n v="3097558898.8000002"/>
  </r>
  <r>
    <x v="0"/>
    <x v="0"/>
    <n v="2024"/>
    <x v="3"/>
    <n v="53125"/>
    <n v="63.6"/>
    <n v="233"/>
    <n v="151"/>
    <s v="SUV"/>
    <n v="4"/>
    <x v="0"/>
    <x v="2"/>
    <n v="19789"/>
    <n v="3.34"/>
    <n v="4"/>
    <n v="1051290625"/>
  </r>
  <r>
    <x v="10"/>
    <x v="70"/>
    <n v="2024"/>
    <x v="3"/>
    <n v="76930.78"/>
    <n v="77.7"/>
    <n v="257"/>
    <n v="159"/>
    <s v="Truck"/>
    <n v="4"/>
    <x v="5"/>
    <x v="0"/>
    <n v="17188"/>
    <n v="3.48"/>
    <n v="4"/>
    <n v="1322286246.6399999"/>
  </r>
  <r>
    <x v="7"/>
    <x v="10"/>
    <n v="2024"/>
    <x v="1"/>
    <n v="115397.77"/>
    <n v="79.599999999999994"/>
    <n v="282"/>
    <n v="200"/>
    <s v="Sedan"/>
    <n v="4"/>
    <x v="3"/>
    <x v="1"/>
    <n v="296594"/>
    <n v="3.51"/>
    <n v="4"/>
    <n v="34226286195.380001"/>
  </r>
  <r>
    <x v="11"/>
    <x v="25"/>
    <n v="2024"/>
    <x v="3"/>
    <n v="78385.679999999993"/>
    <n v="79.7"/>
    <n v="248"/>
    <n v="154"/>
    <s v="Hatchback"/>
    <n v="5"/>
    <x v="1"/>
    <x v="0"/>
    <n v="12601"/>
    <n v="3.59"/>
    <n v="5"/>
    <n v="987737953.67999995"/>
  </r>
  <r>
    <x v="8"/>
    <x v="21"/>
    <n v="2024"/>
    <x v="0"/>
    <n v="84501.24"/>
    <n v="98.1"/>
    <n v="342"/>
    <n v="179"/>
    <s v="Coupe"/>
    <n v="5"/>
    <x v="1"/>
    <x v="0"/>
    <n v="72596"/>
    <n v="3.61"/>
    <n v="5"/>
    <n v="6134452019.04"/>
  </r>
  <r>
    <x v="9"/>
    <x v="39"/>
    <n v="2024"/>
    <x v="3"/>
    <n v="108424.86"/>
    <n v="43.9"/>
    <n v="164"/>
    <n v="143"/>
    <s v="SUV"/>
    <n v="5"/>
    <x v="3"/>
    <x v="1"/>
    <n v="72604"/>
    <n v="3.14"/>
    <n v="6"/>
    <n v="7872078535.4399996"/>
  </r>
  <r>
    <x v="7"/>
    <x v="44"/>
    <n v="2024"/>
    <x v="4"/>
    <n v="43023.64"/>
    <n v="77.900000000000006"/>
    <n v="261"/>
    <n v="163"/>
    <s v="Truck"/>
    <n v="5"/>
    <x v="3"/>
    <x v="2"/>
    <n v="246474"/>
    <n v="3.55"/>
    <n v="5"/>
    <n v="10604208645.360001"/>
  </r>
  <r>
    <x v="2"/>
    <x v="35"/>
    <n v="2024"/>
    <x v="4"/>
    <n v="157561.98000000001"/>
    <n v="49.5"/>
    <n v="189"/>
    <n v="134"/>
    <s v="SUV"/>
    <n v="4"/>
    <x v="1"/>
    <x v="1"/>
    <n v="163095"/>
    <n v="3.57"/>
    <n v="4"/>
    <n v="25697571128.100002"/>
  </r>
  <r>
    <x v="6"/>
    <x v="9"/>
    <n v="2024"/>
    <x v="1"/>
    <n v="61789.95"/>
    <n v="103.8"/>
    <n v="357"/>
    <n v="194"/>
    <s v="Sedan"/>
    <n v="5"/>
    <x v="4"/>
    <x v="2"/>
    <n v="110783"/>
    <n v="3.54"/>
    <n v="4"/>
    <n v="6845276030.8499994"/>
  </r>
  <r>
    <x v="2"/>
    <x v="17"/>
    <n v="2024"/>
    <x v="1"/>
    <n v="109834.54"/>
    <n v="79.900000000000006"/>
    <n v="262"/>
    <n v="195"/>
    <s v="Hatchback"/>
    <n v="3"/>
    <x v="1"/>
    <x v="1"/>
    <n v="219324"/>
    <n v="3.91"/>
    <n v="5"/>
    <n v="24089350650.959999"/>
  </r>
  <r>
    <x v="2"/>
    <x v="5"/>
    <n v="2024"/>
    <x v="0"/>
    <n v="158710.22"/>
    <n v="93.6"/>
    <n v="300"/>
    <n v="182"/>
    <s v="Van"/>
    <n v="5"/>
    <x v="1"/>
    <x v="1"/>
    <n v="416641"/>
    <n v="3.68"/>
    <n v="5"/>
    <n v="66125184771.020004"/>
  </r>
  <r>
    <x v="6"/>
    <x v="63"/>
    <n v="2024"/>
    <x v="4"/>
    <n v="58686.32"/>
    <n v="81.599999999999994"/>
    <n v="285"/>
    <n v="161"/>
    <s v="Truck"/>
    <n v="5"/>
    <x v="4"/>
    <x v="2"/>
    <n v="66241"/>
    <n v="3.36"/>
    <n v="4"/>
    <n v="3887440523.1199999"/>
  </r>
  <r>
    <x v="5"/>
    <x v="22"/>
    <n v="2024"/>
    <x v="1"/>
    <n v="50056.29"/>
    <n v="111.5"/>
    <n v="391"/>
    <n v="195"/>
    <s v="SUV"/>
    <n v="3"/>
    <x v="4"/>
    <x v="2"/>
    <n v="140441"/>
    <n v="3.97"/>
    <n v="5"/>
    <n v="7029955423.8900003"/>
  </r>
  <r>
    <x v="12"/>
    <x v="46"/>
    <n v="2024"/>
    <x v="0"/>
    <n v="58896.05"/>
    <n v="104.7"/>
    <n v="389"/>
    <n v="184"/>
    <s v="SUV"/>
    <n v="4"/>
    <x v="1"/>
    <x v="2"/>
    <n v="16859"/>
    <n v="3.94"/>
    <n v="5"/>
    <n v="992928506.95000005"/>
  </r>
  <r>
    <x v="13"/>
    <x v="57"/>
    <n v="2024"/>
    <x v="0"/>
    <n v="113572.04"/>
    <n v="85.7"/>
    <n v="286"/>
    <n v="177"/>
    <s v="Van"/>
    <n v="4"/>
    <x v="3"/>
    <x v="1"/>
    <n v="73690"/>
    <n v="3.79"/>
    <n v="7"/>
    <n v="8369123627.5999994"/>
  </r>
  <r>
    <x v="2"/>
    <x v="5"/>
    <n v="2024"/>
    <x v="4"/>
    <n v="168092.71"/>
    <n v="81.2"/>
    <n v="269"/>
    <n v="124"/>
    <s v="Coupe"/>
    <n v="3"/>
    <x v="1"/>
    <x v="1"/>
    <n v="434155"/>
    <n v="3.8"/>
    <n v="6"/>
    <n v="72978290510.050003"/>
  </r>
  <r>
    <x v="2"/>
    <x v="5"/>
    <n v="2024"/>
    <x v="4"/>
    <n v="166324.35999999999"/>
    <n v="61.4"/>
    <n v="212"/>
    <n v="136"/>
    <s v="Truck"/>
    <n v="5"/>
    <x v="1"/>
    <x v="1"/>
    <n v="466326"/>
    <n v="4.26"/>
    <n v="5"/>
    <n v="77561373501.360001"/>
  </r>
  <r>
    <x v="5"/>
    <x v="13"/>
    <n v="2024"/>
    <x v="2"/>
    <n v="71842.960000000006"/>
    <n v="77"/>
    <n v="291"/>
    <n v="170"/>
    <s v="Van"/>
    <n v="4"/>
    <x v="4"/>
    <x v="0"/>
    <n v="123890"/>
    <n v="3.66"/>
    <n v="3"/>
    <n v="8900624314.4000015"/>
  </r>
  <r>
    <x v="9"/>
    <x v="16"/>
    <n v="2024"/>
    <x v="0"/>
    <n v="117382.51"/>
    <n v="96.5"/>
    <n v="334"/>
    <n v="180"/>
    <s v="Coupe"/>
    <n v="4"/>
    <x v="3"/>
    <x v="1"/>
    <n v="33138"/>
    <n v="3.49"/>
    <n v="7"/>
    <n v="3889821616.3799996"/>
  </r>
  <r>
    <x v="8"/>
    <x v="60"/>
    <n v="2024"/>
    <x v="2"/>
    <n v="46219.97"/>
    <n v="70.900000000000006"/>
    <n v="239"/>
    <n v="123"/>
    <s v="Van"/>
    <n v="4"/>
    <x v="1"/>
    <x v="2"/>
    <n v="60684"/>
    <n v="3.43"/>
    <n v="4"/>
    <n v="2804812659.48"/>
  </r>
  <r>
    <x v="2"/>
    <x v="2"/>
    <n v="2024"/>
    <x v="2"/>
    <n v="29639.14"/>
    <n v="52.4"/>
    <n v="164"/>
    <n v="171"/>
    <s v="SUV"/>
    <n v="4"/>
    <x v="1"/>
    <x v="3"/>
    <n v="195341"/>
    <n v="3.41"/>
    <n v="4"/>
    <n v="5789739246.7399998"/>
  </r>
  <r>
    <x v="12"/>
    <x v="45"/>
    <n v="2024"/>
    <x v="0"/>
    <n v="41353.279999999999"/>
    <n v="81.8"/>
    <n v="274"/>
    <n v="178"/>
    <s v="Truck"/>
    <n v="4"/>
    <x v="1"/>
    <x v="2"/>
    <n v="28209"/>
    <n v="3.6"/>
    <n v="4"/>
    <n v="1166534675.52"/>
  </r>
  <r>
    <x v="5"/>
    <x v="7"/>
    <n v="2024"/>
    <x v="3"/>
    <n v="42318.559999999998"/>
    <n v="40.5"/>
    <n v="150"/>
    <n v="164"/>
    <s v="Van"/>
    <n v="5"/>
    <x v="4"/>
    <x v="2"/>
    <n v="90341"/>
    <n v="3.35"/>
    <n v="4"/>
    <n v="3823101028.9599996"/>
  </r>
  <r>
    <x v="2"/>
    <x v="5"/>
    <n v="2024"/>
    <x v="1"/>
    <n v="162214.07999999999"/>
    <n v="80.599999999999994"/>
    <n v="269"/>
    <n v="200"/>
    <s v="Hatchback"/>
    <n v="5"/>
    <x v="1"/>
    <x v="1"/>
    <n v="443580"/>
    <n v="3.84"/>
    <n v="6"/>
    <n v="71954921606.399994"/>
  </r>
  <r>
    <x v="7"/>
    <x v="28"/>
    <n v="2024"/>
    <x v="1"/>
    <n v="60928.37"/>
    <n v="119.9"/>
    <n v="406"/>
    <n v="200"/>
    <s v="Truck"/>
    <n v="5"/>
    <x v="3"/>
    <x v="2"/>
    <n v="257710"/>
    <n v="3.56"/>
    <n v="3"/>
    <n v="15701850232.700001"/>
  </r>
  <r>
    <x v="2"/>
    <x v="35"/>
    <n v="2024"/>
    <x v="2"/>
    <n v="99143.24"/>
    <n v="56.5"/>
    <n v="200"/>
    <n v="142"/>
    <s v="Coupe"/>
    <n v="3"/>
    <x v="1"/>
    <x v="0"/>
    <n v="177987"/>
    <n v="3.6"/>
    <n v="6"/>
    <n v="17646207857.880001"/>
  </r>
  <r>
    <x v="12"/>
    <x v="36"/>
    <n v="2024"/>
    <x v="0"/>
    <n v="54182.3"/>
    <n v="85.5"/>
    <n v="299"/>
    <n v="165"/>
    <s v="Truck"/>
    <n v="4"/>
    <x v="1"/>
    <x v="2"/>
    <n v="4380"/>
    <n v="3.46"/>
    <n v="4"/>
    <n v="237318474"/>
  </r>
  <r>
    <x v="19"/>
    <x v="71"/>
    <n v="2024"/>
    <x v="4"/>
    <n v="269775.2"/>
    <n v="76.3"/>
    <n v="276"/>
    <n v="163"/>
    <s v="Hatchback"/>
    <n v="4"/>
    <x v="1"/>
    <x v="1"/>
    <n v="4056"/>
    <n v="3.28"/>
    <n v="4"/>
    <n v="1094208211.2"/>
  </r>
  <r>
    <x v="2"/>
    <x v="17"/>
    <n v="2024"/>
    <x v="4"/>
    <n v="111275.22"/>
    <n v="82.9"/>
    <n v="291"/>
    <n v="171"/>
    <s v="SUV"/>
    <n v="5"/>
    <x v="1"/>
    <x v="1"/>
    <n v="172863"/>
    <n v="3.88"/>
    <n v="5"/>
    <n v="19235368354.860001"/>
  </r>
  <r>
    <x v="5"/>
    <x v="13"/>
    <n v="2024"/>
    <x v="3"/>
    <n v="32564.1"/>
    <n v="46.2"/>
    <n v="180"/>
    <n v="156"/>
    <s v="Hatchback"/>
    <n v="4"/>
    <x v="4"/>
    <x v="3"/>
    <n v="123543"/>
    <n v="3.02"/>
    <n v="3"/>
    <n v="4023066606.2999997"/>
  </r>
  <r>
    <x v="4"/>
    <x v="4"/>
    <n v="2024"/>
    <x v="2"/>
    <n v="51267.23"/>
    <n v="71.400000000000006"/>
    <n v="241"/>
    <n v="155"/>
    <s v="Sedan"/>
    <n v="4"/>
    <x v="3"/>
    <x v="2"/>
    <n v="64472"/>
    <n v="3.5"/>
    <n v="6"/>
    <n v="3305300852.5600004"/>
  </r>
  <r>
    <x v="3"/>
    <x v="37"/>
    <n v="2024"/>
    <x v="0"/>
    <n v="75118.039999999994"/>
    <n v="88.3"/>
    <n v="325"/>
    <n v="189"/>
    <s v="Sedan"/>
    <n v="4"/>
    <x v="2"/>
    <x v="0"/>
    <n v="220772"/>
    <n v="3.68"/>
    <n v="3"/>
    <n v="16583959926.879999"/>
  </r>
  <r>
    <x v="9"/>
    <x v="38"/>
    <n v="2024"/>
    <x v="1"/>
    <n v="134617.67000000001"/>
    <n v="90.5"/>
    <n v="308"/>
    <n v="190"/>
    <s v="Coupe"/>
    <n v="5"/>
    <x v="3"/>
    <x v="1"/>
    <n v="68965"/>
    <n v="3.76"/>
    <n v="7"/>
    <n v="9283907611.5500011"/>
  </r>
  <r>
    <x v="12"/>
    <x v="45"/>
    <n v="2024"/>
    <x v="0"/>
    <n v="55216.4"/>
    <n v="81.900000000000006"/>
    <n v="299"/>
    <n v="153"/>
    <s v="Coupe"/>
    <n v="5"/>
    <x v="1"/>
    <x v="2"/>
    <n v="805"/>
    <n v="3.76"/>
    <n v="3"/>
    <n v="44449202"/>
  </r>
  <r>
    <x v="4"/>
    <x v="40"/>
    <n v="2024"/>
    <x v="3"/>
    <n v="111572.71"/>
    <n v="71.599999999999994"/>
    <n v="265"/>
    <n v="144"/>
    <s v="Hatchback"/>
    <n v="5"/>
    <x v="3"/>
    <x v="1"/>
    <n v="58813"/>
    <n v="3.28"/>
    <n v="8"/>
    <n v="6561925793.2300005"/>
  </r>
  <r>
    <x v="2"/>
    <x v="35"/>
    <n v="2024"/>
    <x v="1"/>
    <n v="79743.44"/>
    <n v="90.1"/>
    <n v="322"/>
    <n v="182"/>
    <s v="SUV"/>
    <n v="5"/>
    <x v="1"/>
    <x v="0"/>
    <n v="136484"/>
    <n v="3.83"/>
    <n v="6"/>
    <n v="10883703664.960001"/>
  </r>
  <r>
    <x v="7"/>
    <x v="10"/>
    <n v="2024"/>
    <x v="2"/>
    <n v="52450.92"/>
    <n v="70.3"/>
    <n v="257"/>
    <n v="135"/>
    <s v="SUV"/>
    <n v="5"/>
    <x v="3"/>
    <x v="2"/>
    <n v="231690"/>
    <n v="3.59"/>
    <n v="4"/>
    <n v="12152353654.799999"/>
  </r>
  <r>
    <x v="6"/>
    <x v="53"/>
    <n v="2024"/>
    <x v="2"/>
    <n v="53836.77"/>
    <n v="69.5"/>
    <n v="265"/>
    <n v="135"/>
    <s v="Sedan"/>
    <n v="5"/>
    <x v="4"/>
    <x v="2"/>
    <n v="55119"/>
    <n v="3.5"/>
    <n v="5"/>
    <n v="2967428925.6299996"/>
  </r>
  <r>
    <x v="5"/>
    <x v="13"/>
    <n v="2024"/>
    <x v="2"/>
    <n v="34300.06"/>
    <n v="68.3"/>
    <n v="242"/>
    <n v="165"/>
    <s v="Van"/>
    <n v="4"/>
    <x v="4"/>
    <x v="3"/>
    <n v="143619"/>
    <n v="3.26"/>
    <n v="4"/>
    <n v="4926140317.1399994"/>
  </r>
  <r>
    <x v="2"/>
    <x v="17"/>
    <n v="2024"/>
    <x v="1"/>
    <n v="99778.09"/>
    <n v="102.4"/>
    <n v="352"/>
    <n v="200"/>
    <s v="Truck"/>
    <n v="4"/>
    <x v="1"/>
    <x v="0"/>
    <n v="186712"/>
    <n v="4.18"/>
    <n v="5"/>
    <n v="18629766740.079998"/>
  </r>
  <r>
    <x v="2"/>
    <x v="31"/>
    <n v="2024"/>
    <x v="1"/>
    <n v="106068.73"/>
    <n v="114.9"/>
    <n v="357"/>
    <n v="200"/>
    <s v="Truck"/>
    <n v="3"/>
    <x v="1"/>
    <x v="1"/>
    <n v="156874"/>
    <n v="4.08"/>
    <n v="5"/>
    <n v="16639425950.019999"/>
  </r>
  <r>
    <x v="3"/>
    <x v="6"/>
    <n v="2024"/>
    <x v="0"/>
    <n v="41904.83"/>
    <n v="88.3"/>
    <n v="325"/>
    <n v="168"/>
    <s v="Truck"/>
    <n v="3"/>
    <x v="2"/>
    <x v="2"/>
    <n v="239018"/>
    <n v="3.7"/>
    <n v="3"/>
    <n v="10016008656.940001"/>
  </r>
  <r>
    <x v="7"/>
    <x v="10"/>
    <n v="2024"/>
    <x v="4"/>
    <n v="40586.730000000003"/>
    <n v="45"/>
    <n v="173"/>
    <n v="159"/>
    <s v="Coupe"/>
    <n v="4"/>
    <x v="3"/>
    <x v="2"/>
    <n v="268842"/>
    <n v="3.31"/>
    <n v="4"/>
    <n v="10911417666.660002"/>
  </r>
  <r>
    <x v="8"/>
    <x v="34"/>
    <n v="2024"/>
    <x v="2"/>
    <n v="54161.53"/>
    <n v="80.099999999999994"/>
    <n v="289"/>
    <n v="137"/>
    <s v="Hatchback"/>
    <n v="4"/>
    <x v="1"/>
    <x v="2"/>
    <n v="26655"/>
    <n v="3.51"/>
    <n v="4"/>
    <n v="1443675582.1499999"/>
  </r>
  <r>
    <x v="7"/>
    <x v="10"/>
    <n v="2024"/>
    <x v="1"/>
    <n v="92355.03"/>
    <n v="70.8"/>
    <n v="243"/>
    <n v="193"/>
    <s v="Truck"/>
    <n v="4"/>
    <x v="3"/>
    <x v="0"/>
    <n v="216375"/>
    <n v="3.43"/>
    <n v="5"/>
    <n v="19983319616.25"/>
  </r>
  <r>
    <x v="6"/>
    <x v="63"/>
    <n v="2024"/>
    <x v="1"/>
    <n v="97949.17"/>
    <n v="88.6"/>
    <n v="324"/>
    <n v="200"/>
    <s v="Hatchback"/>
    <n v="5"/>
    <x v="4"/>
    <x v="0"/>
    <n v="105426"/>
    <n v="3.83"/>
    <n v="4"/>
    <n v="10326389196.42"/>
  </r>
  <r>
    <x v="2"/>
    <x v="31"/>
    <n v="2024"/>
    <x v="4"/>
    <n v="112719.54"/>
    <n v="67.5"/>
    <n v="240"/>
    <n v="170"/>
    <s v="Truck"/>
    <n v="5"/>
    <x v="1"/>
    <x v="1"/>
    <n v="138409"/>
    <n v="3.94"/>
    <n v="5"/>
    <n v="15601398811.859999"/>
  </r>
  <r>
    <x v="2"/>
    <x v="31"/>
    <n v="2024"/>
    <x v="2"/>
    <n v="112537.97"/>
    <n v="73.400000000000006"/>
    <n v="256"/>
    <n v="125"/>
    <s v="Truck"/>
    <n v="4"/>
    <x v="1"/>
    <x v="1"/>
    <n v="200169"/>
    <n v="3.59"/>
    <n v="5"/>
    <n v="22526612916.93"/>
  </r>
  <r>
    <x v="0"/>
    <x v="47"/>
    <n v="2024"/>
    <x v="3"/>
    <n v="65164.24"/>
    <n v="66"/>
    <n v="218"/>
    <n v="152"/>
    <s v="SUV"/>
    <n v="5"/>
    <x v="0"/>
    <x v="0"/>
    <n v="21633"/>
    <n v="3.39"/>
    <n v="5"/>
    <n v="1409698003.9199998"/>
  </r>
  <r>
    <x v="9"/>
    <x v="55"/>
    <n v="2024"/>
    <x v="2"/>
    <n v="47596.94"/>
    <n v="81.099999999999994"/>
    <n v="287"/>
    <n v="135"/>
    <s v="Sedan"/>
    <n v="5"/>
    <x v="3"/>
    <x v="2"/>
    <n v="22877"/>
    <n v="3.56"/>
    <n v="7"/>
    <n v="1088875196.3800001"/>
  </r>
  <r>
    <x v="2"/>
    <x v="5"/>
    <n v="2024"/>
    <x v="0"/>
    <n v="50416.800000000003"/>
    <n v="92.4"/>
    <n v="336"/>
    <n v="170"/>
    <s v="Sedan"/>
    <n v="4"/>
    <x v="1"/>
    <x v="2"/>
    <n v="444988"/>
    <n v="3.8"/>
    <n v="5"/>
    <n v="22434870998.400002"/>
  </r>
  <r>
    <x v="12"/>
    <x v="36"/>
    <n v="2024"/>
    <x v="1"/>
    <n v="98117.57"/>
    <n v="90.3"/>
    <n v="335"/>
    <n v="195"/>
    <s v="Sedan"/>
    <n v="5"/>
    <x v="1"/>
    <x v="0"/>
    <n v="23127"/>
    <n v="3.63"/>
    <n v="4"/>
    <n v="2269165041.3900003"/>
  </r>
  <r>
    <x v="9"/>
    <x v="16"/>
    <n v="2024"/>
    <x v="3"/>
    <n v="91502.74"/>
    <n v="75.2"/>
    <n v="250"/>
    <n v="161"/>
    <s v="Coupe"/>
    <n v="5"/>
    <x v="3"/>
    <x v="0"/>
    <n v="64217"/>
    <n v="3.55"/>
    <n v="6"/>
    <n v="5876031454.5799999"/>
  </r>
  <r>
    <x v="5"/>
    <x v="13"/>
    <n v="2024"/>
    <x v="4"/>
    <n v="91917.06"/>
    <n v="68.900000000000006"/>
    <n v="237"/>
    <n v="166"/>
    <s v="Van"/>
    <n v="4"/>
    <x v="4"/>
    <x v="0"/>
    <n v="124978"/>
    <n v="3.57"/>
    <n v="5"/>
    <n v="11487610324.68"/>
  </r>
  <r>
    <x v="9"/>
    <x v="16"/>
    <n v="2024"/>
    <x v="1"/>
    <n v="131247.26"/>
    <n v="113.3"/>
    <n v="405"/>
    <n v="200"/>
    <s v="Truck"/>
    <n v="4"/>
    <x v="3"/>
    <x v="1"/>
    <n v="65041"/>
    <n v="3.91"/>
    <n v="8"/>
    <n v="8536453037.6600008"/>
  </r>
  <r>
    <x v="2"/>
    <x v="35"/>
    <n v="2024"/>
    <x v="4"/>
    <n v="46217.919999999998"/>
    <n v="55.9"/>
    <n v="205"/>
    <n v="151"/>
    <s v="Truck"/>
    <n v="4"/>
    <x v="1"/>
    <x v="2"/>
    <n v="108494"/>
    <n v="3.65"/>
    <n v="5"/>
    <n v="5014367012.4799995"/>
  </r>
  <r>
    <x v="13"/>
    <x v="33"/>
    <n v="2024"/>
    <x v="4"/>
    <n v="146623.72"/>
    <n v="69.099999999999994"/>
    <n v="262"/>
    <n v="176"/>
    <s v="Coupe"/>
    <n v="4"/>
    <x v="3"/>
    <x v="1"/>
    <n v="43244"/>
    <n v="3.61"/>
    <n v="7"/>
    <n v="6340596147.6800003"/>
  </r>
  <r>
    <x v="5"/>
    <x v="13"/>
    <n v="2024"/>
    <x v="2"/>
    <n v="26810.33"/>
    <n v="75.599999999999994"/>
    <n v="247"/>
    <n v="166"/>
    <s v="SUV"/>
    <n v="5"/>
    <x v="4"/>
    <x v="3"/>
    <n v="138862"/>
    <n v="3.48"/>
    <n v="5"/>
    <n v="3722936044.46"/>
  </r>
  <r>
    <x v="12"/>
    <x v="52"/>
    <n v="2024"/>
    <x v="4"/>
    <n v="45723.03"/>
    <n v="55"/>
    <n v="207"/>
    <n v="148"/>
    <s v="SUV"/>
    <n v="5"/>
    <x v="1"/>
    <x v="2"/>
    <n v="19610"/>
    <n v="3.43"/>
    <n v="4"/>
    <n v="896628618.29999995"/>
  </r>
  <r>
    <x v="8"/>
    <x v="12"/>
    <n v="2024"/>
    <x v="3"/>
    <n v="38587"/>
    <n v="78"/>
    <n v="278"/>
    <n v="145"/>
    <s v="Truck"/>
    <n v="5"/>
    <x v="1"/>
    <x v="2"/>
    <n v="66132"/>
    <n v="3.55"/>
    <n v="5"/>
    <n v="2551835484"/>
  </r>
  <r>
    <x v="8"/>
    <x v="34"/>
    <n v="2024"/>
    <x v="1"/>
    <n v="61417.24"/>
    <n v="107.1"/>
    <n v="370"/>
    <n v="189"/>
    <s v="Coupe"/>
    <n v="5"/>
    <x v="1"/>
    <x v="2"/>
    <n v="29374"/>
    <n v="3.68"/>
    <n v="3"/>
    <n v="1804070007.76"/>
  </r>
  <r>
    <x v="7"/>
    <x v="24"/>
    <n v="2024"/>
    <x v="1"/>
    <n v="80127.240000000005"/>
    <n v="106.2"/>
    <n v="352"/>
    <n v="193"/>
    <s v="SUV"/>
    <n v="5"/>
    <x v="3"/>
    <x v="0"/>
    <n v="267416"/>
    <n v="3.45"/>
    <n v="4"/>
    <n v="21427306011.84"/>
  </r>
  <r>
    <x v="12"/>
    <x v="45"/>
    <n v="2024"/>
    <x v="1"/>
    <n v="54375.97"/>
    <n v="88.9"/>
    <n v="299"/>
    <n v="200"/>
    <s v="Sedan"/>
    <n v="5"/>
    <x v="1"/>
    <x v="2"/>
    <n v="24792"/>
    <n v="3.55"/>
    <n v="3"/>
    <n v="1348089048.24"/>
  </r>
  <r>
    <x v="3"/>
    <x v="11"/>
    <n v="2024"/>
    <x v="0"/>
    <n v="51370.62"/>
    <n v="105.7"/>
    <n v="403"/>
    <n v="177"/>
    <s v="Coupe"/>
    <n v="5"/>
    <x v="2"/>
    <x v="2"/>
    <n v="177642"/>
    <n v="3.76"/>
    <n v="4"/>
    <n v="9125579678.0400009"/>
  </r>
  <r>
    <x v="9"/>
    <x v="38"/>
    <n v="2024"/>
    <x v="0"/>
    <n v="73854.83"/>
    <n v="96.9"/>
    <n v="322"/>
    <n v="181"/>
    <s v="Hatchback"/>
    <n v="5"/>
    <x v="3"/>
    <x v="0"/>
    <n v="33084"/>
    <n v="3.64"/>
    <n v="8"/>
    <n v="2443413195.7200003"/>
  </r>
  <r>
    <x v="6"/>
    <x v="50"/>
    <n v="2024"/>
    <x v="1"/>
    <n v="50241.81"/>
    <n v="101.5"/>
    <n v="340"/>
    <n v="193"/>
    <s v="SUV"/>
    <n v="5"/>
    <x v="4"/>
    <x v="2"/>
    <n v="106270"/>
    <n v="3.67"/>
    <n v="3"/>
    <n v="5339197148.6999998"/>
  </r>
  <r>
    <x v="6"/>
    <x v="63"/>
    <n v="2024"/>
    <x v="1"/>
    <n v="106647.79"/>
    <n v="98.5"/>
    <n v="363"/>
    <n v="200"/>
    <s v="Coupe"/>
    <n v="5"/>
    <x v="4"/>
    <x v="1"/>
    <n v="149654"/>
    <n v="3.94"/>
    <n v="5"/>
    <n v="15960268364.66"/>
  </r>
  <r>
    <x v="7"/>
    <x v="24"/>
    <n v="2024"/>
    <x v="0"/>
    <n v="69709.16"/>
    <n v="99.7"/>
    <n v="349"/>
    <n v="184"/>
    <s v="Truck"/>
    <n v="5"/>
    <x v="3"/>
    <x v="0"/>
    <n v="273314"/>
    <n v="3.79"/>
    <n v="4"/>
    <n v="19052489356.240002"/>
  </r>
  <r>
    <x v="11"/>
    <x v="25"/>
    <n v="2024"/>
    <x v="0"/>
    <n v="96777.2"/>
    <n v="98.9"/>
    <n v="341"/>
    <n v="179"/>
    <s v="Hatchback"/>
    <n v="5"/>
    <x v="1"/>
    <x v="0"/>
    <n v="20918"/>
    <n v="3.83"/>
    <n v="6"/>
    <n v="2024385469.5999999"/>
  </r>
  <r>
    <x v="2"/>
    <x v="17"/>
    <n v="2024"/>
    <x v="1"/>
    <n v="142117.21"/>
    <n v="102.9"/>
    <n v="353"/>
    <n v="184"/>
    <s v="SUV"/>
    <n v="5"/>
    <x v="1"/>
    <x v="1"/>
    <n v="232616"/>
    <n v="3.85"/>
    <n v="4"/>
    <n v="33058736921.359997"/>
  </r>
  <r>
    <x v="14"/>
    <x v="41"/>
    <n v="2024"/>
    <x v="0"/>
    <n v="119324.89"/>
    <n v="90.9"/>
    <n v="308"/>
    <n v="168"/>
    <s v="Truck"/>
    <n v="5"/>
    <x v="2"/>
    <x v="1"/>
    <n v="11219"/>
    <n v="3.72"/>
    <n v="5"/>
    <n v="1338705940.9100001"/>
  </r>
  <r>
    <x v="3"/>
    <x v="37"/>
    <n v="2024"/>
    <x v="2"/>
    <n v="45940.66"/>
    <n v="72.5"/>
    <n v="255"/>
    <n v="176"/>
    <s v="Truck"/>
    <n v="5"/>
    <x v="2"/>
    <x v="2"/>
    <n v="114800"/>
    <n v="3.48"/>
    <n v="3"/>
    <n v="5273987768"/>
  </r>
  <r>
    <x v="2"/>
    <x v="2"/>
    <n v="2024"/>
    <x v="1"/>
    <n v="62920.59"/>
    <n v="91"/>
    <n v="352"/>
    <n v="184"/>
    <s v="Van"/>
    <n v="4"/>
    <x v="1"/>
    <x v="2"/>
    <n v="248485"/>
    <n v="4.42"/>
    <n v="4"/>
    <n v="15634822806.15"/>
  </r>
  <r>
    <x v="4"/>
    <x v="61"/>
    <n v="2024"/>
    <x v="4"/>
    <n v="130055.6"/>
    <n v="60.1"/>
    <n v="232"/>
    <n v="169"/>
    <s v="Sedan"/>
    <n v="4"/>
    <x v="3"/>
    <x v="1"/>
    <n v="44054"/>
    <n v="3.23"/>
    <n v="7"/>
    <n v="5729469402.4000006"/>
  </r>
  <r>
    <x v="4"/>
    <x v="4"/>
    <n v="2024"/>
    <x v="3"/>
    <n v="55700.85"/>
    <n v="69.099999999999994"/>
    <n v="229"/>
    <n v="173"/>
    <s v="SUV"/>
    <n v="4"/>
    <x v="3"/>
    <x v="2"/>
    <n v="52734"/>
    <n v="3.21"/>
    <n v="8"/>
    <n v="2937328623.9000001"/>
  </r>
  <r>
    <x v="3"/>
    <x v="8"/>
    <n v="2024"/>
    <x v="0"/>
    <n v="75079.649999999994"/>
    <n v="88.3"/>
    <n v="299"/>
    <n v="157"/>
    <s v="Sedan"/>
    <n v="3"/>
    <x v="2"/>
    <x v="0"/>
    <n v="149633"/>
    <n v="3.65"/>
    <n v="5"/>
    <n v="11234393268.449999"/>
  </r>
  <r>
    <x v="13"/>
    <x v="64"/>
    <n v="2024"/>
    <x v="2"/>
    <n v="126359.58"/>
    <n v="40.6"/>
    <n v="150"/>
    <n v="135"/>
    <s v="Coupe"/>
    <n v="5"/>
    <x v="3"/>
    <x v="1"/>
    <n v="31657"/>
    <n v="3.57"/>
    <n v="6"/>
    <n v="4000165224.0599999"/>
  </r>
  <r>
    <x v="9"/>
    <x v="55"/>
    <n v="2024"/>
    <x v="1"/>
    <n v="82827.92"/>
    <n v="98.2"/>
    <n v="348"/>
    <n v="195"/>
    <s v="Hatchback"/>
    <n v="4"/>
    <x v="3"/>
    <x v="0"/>
    <n v="59167"/>
    <n v="3.9"/>
    <n v="6"/>
    <n v="4900679542.6400003"/>
  </r>
  <r>
    <x v="7"/>
    <x v="27"/>
    <n v="2024"/>
    <x v="3"/>
    <n v="38832.160000000003"/>
    <n v="66.3"/>
    <n v="221"/>
    <n v="145"/>
    <s v="SUV"/>
    <n v="5"/>
    <x v="3"/>
    <x v="2"/>
    <n v="256517"/>
    <n v="3.43"/>
    <n v="3"/>
    <n v="9961109186.7200012"/>
  </r>
  <r>
    <x v="2"/>
    <x v="31"/>
    <n v="2024"/>
    <x v="3"/>
    <n v="125176.94"/>
    <n v="68.400000000000006"/>
    <n v="258"/>
    <n v="154"/>
    <s v="Truck"/>
    <n v="5"/>
    <x v="1"/>
    <x v="1"/>
    <n v="162760"/>
    <n v="3.82"/>
    <n v="5"/>
    <n v="20373798754.400002"/>
  </r>
  <r>
    <x v="12"/>
    <x v="52"/>
    <n v="2024"/>
    <x v="0"/>
    <n v="46760.47"/>
    <n v="102.4"/>
    <n v="343"/>
    <n v="195"/>
    <s v="Coupe"/>
    <n v="4"/>
    <x v="1"/>
    <x v="2"/>
    <n v="22048"/>
    <n v="3.73"/>
    <n v="4"/>
    <n v="1030974842.5600001"/>
  </r>
  <r>
    <x v="13"/>
    <x v="48"/>
    <n v="2024"/>
    <x v="4"/>
    <n v="134953.72"/>
    <n v="64.8"/>
    <n v="248"/>
    <n v="167"/>
    <s v="Van"/>
    <n v="5"/>
    <x v="3"/>
    <x v="1"/>
    <n v="76804"/>
    <n v="3.93"/>
    <n v="6"/>
    <n v="10364985510.879999"/>
  </r>
  <r>
    <x v="5"/>
    <x v="7"/>
    <n v="2024"/>
    <x v="0"/>
    <n v="56059.51"/>
    <n v="98"/>
    <n v="327"/>
    <n v="163"/>
    <s v="Coupe"/>
    <n v="5"/>
    <x v="4"/>
    <x v="2"/>
    <n v="117679"/>
    <n v="3.63"/>
    <n v="5"/>
    <n v="6597027077.29"/>
  </r>
  <r>
    <x v="6"/>
    <x v="9"/>
    <n v="2024"/>
    <x v="3"/>
    <n v="60016.36"/>
    <n v="71"/>
    <n v="273"/>
    <n v="164"/>
    <s v="Coupe"/>
    <n v="5"/>
    <x v="4"/>
    <x v="2"/>
    <n v="80671"/>
    <n v="3.31"/>
    <n v="3"/>
    <n v="4841579777.5600004"/>
  </r>
  <r>
    <x v="15"/>
    <x v="43"/>
    <n v="2024"/>
    <x v="4"/>
    <n v="184202.43"/>
    <n v="79.3"/>
    <n v="290"/>
    <n v="154"/>
    <s v="Coupe"/>
    <n v="5"/>
    <x v="3"/>
    <x v="1"/>
    <n v="14726"/>
    <n v="3.66"/>
    <n v="6"/>
    <n v="2712564984.1799998"/>
  </r>
  <r>
    <x v="7"/>
    <x v="44"/>
    <n v="2024"/>
    <x v="0"/>
    <n v="52456.57"/>
    <n v="106.8"/>
    <n v="377"/>
    <n v="177"/>
    <s v="SUV"/>
    <n v="4"/>
    <x v="3"/>
    <x v="2"/>
    <n v="214608"/>
    <n v="3.82"/>
    <n v="4"/>
    <n v="11257599574.559999"/>
  </r>
  <r>
    <x v="5"/>
    <x v="7"/>
    <n v="2024"/>
    <x v="0"/>
    <n v="82833.740000000005"/>
    <n v="107.6"/>
    <n v="375"/>
    <n v="173"/>
    <s v="Truck"/>
    <n v="4"/>
    <x v="4"/>
    <x v="0"/>
    <n v="98307"/>
    <n v="3.67"/>
    <n v="5"/>
    <n v="8143136478.1800003"/>
  </r>
  <r>
    <x v="3"/>
    <x v="8"/>
    <n v="2024"/>
    <x v="4"/>
    <n v="104505.82"/>
    <n v="41.7"/>
    <n v="159"/>
    <n v="153"/>
    <s v="Hatchback"/>
    <n v="5"/>
    <x v="2"/>
    <x v="1"/>
    <n v="111020"/>
    <n v="3.1"/>
    <n v="4"/>
    <n v="11602236136.400002"/>
  </r>
  <r>
    <x v="3"/>
    <x v="8"/>
    <n v="2024"/>
    <x v="0"/>
    <n v="51538.03"/>
    <n v="99.3"/>
    <n v="365"/>
    <n v="175"/>
    <s v="SUV"/>
    <n v="5"/>
    <x v="2"/>
    <x v="2"/>
    <n v="188274"/>
    <n v="3.73"/>
    <n v="4"/>
    <n v="9703271060.2199993"/>
  </r>
  <r>
    <x v="3"/>
    <x v="6"/>
    <n v="2024"/>
    <x v="2"/>
    <n v="19083.54"/>
    <n v="44.4"/>
    <n v="151"/>
    <n v="141"/>
    <s v="Truck"/>
    <n v="4"/>
    <x v="2"/>
    <x v="3"/>
    <n v="216310"/>
    <n v="3.28"/>
    <n v="3"/>
    <n v="4127960537.4000001"/>
  </r>
  <r>
    <x v="2"/>
    <x v="5"/>
    <n v="2024"/>
    <x v="1"/>
    <n v="37255.18"/>
    <n v="113.7"/>
    <n v="383"/>
    <n v="200"/>
    <s v="SUV"/>
    <n v="5"/>
    <x v="1"/>
    <x v="2"/>
    <n v="451073"/>
    <n v="4.2300000000000004"/>
    <n v="5"/>
    <n v="16804805808.139999"/>
  </r>
  <r>
    <x v="3"/>
    <x v="11"/>
    <n v="2024"/>
    <x v="4"/>
    <n v="51226.67"/>
    <n v="79.599999999999994"/>
    <n v="271"/>
    <n v="167"/>
    <s v="Sedan"/>
    <n v="5"/>
    <x v="2"/>
    <x v="2"/>
    <n v="143773"/>
    <n v="3.5"/>
    <n v="4"/>
    <n v="7365012025.9099998"/>
  </r>
  <r>
    <x v="9"/>
    <x v="16"/>
    <n v="2024"/>
    <x v="3"/>
    <n v="70389.460000000006"/>
    <n v="59.8"/>
    <n v="217"/>
    <n v="142"/>
    <s v="Coupe"/>
    <n v="5"/>
    <x v="3"/>
    <x v="0"/>
    <n v="76685"/>
    <n v="3.38"/>
    <n v="5"/>
    <n v="5397815740.1000004"/>
  </r>
  <r>
    <x v="5"/>
    <x v="23"/>
    <n v="2024"/>
    <x v="3"/>
    <n v="31230.720000000001"/>
    <n v="71.7"/>
    <n v="250"/>
    <n v="164"/>
    <s v="Sedan"/>
    <n v="5"/>
    <x v="4"/>
    <x v="3"/>
    <n v="74025"/>
    <n v="3.37"/>
    <n v="4"/>
    <n v="2311854048"/>
  </r>
  <r>
    <x v="2"/>
    <x v="31"/>
    <n v="2024"/>
    <x v="4"/>
    <n v="148667.6"/>
    <n v="71.3"/>
    <n v="250"/>
    <n v="135"/>
    <s v="Truck"/>
    <n v="5"/>
    <x v="1"/>
    <x v="1"/>
    <n v="117109"/>
    <n v="3.79"/>
    <n v="4"/>
    <n v="17410313968.400002"/>
  </r>
  <r>
    <x v="8"/>
    <x v="60"/>
    <n v="2024"/>
    <x v="2"/>
    <n v="38196.949999999997"/>
    <n v="78.2"/>
    <n v="261"/>
    <n v="160"/>
    <s v="Hatchback"/>
    <n v="5"/>
    <x v="1"/>
    <x v="2"/>
    <n v="25281"/>
    <n v="3.55"/>
    <n v="4"/>
    <n v="965657092.94999993"/>
  </r>
  <r>
    <x v="3"/>
    <x v="37"/>
    <n v="2024"/>
    <x v="0"/>
    <n v="77872.95"/>
    <n v="95.8"/>
    <n v="343"/>
    <n v="164"/>
    <s v="SUV"/>
    <n v="4"/>
    <x v="2"/>
    <x v="0"/>
    <n v="152424"/>
    <n v="3.65"/>
    <n v="3"/>
    <n v="11869706530.799999"/>
  </r>
  <r>
    <x v="13"/>
    <x v="64"/>
    <n v="2024"/>
    <x v="4"/>
    <n v="200859.77"/>
    <n v="65.8"/>
    <n v="222"/>
    <n v="178"/>
    <s v="Hatchback"/>
    <n v="5"/>
    <x v="3"/>
    <x v="1"/>
    <n v="50870"/>
    <n v="3.8"/>
    <n v="7"/>
    <n v="10217736499.9"/>
  </r>
  <r>
    <x v="13"/>
    <x v="64"/>
    <n v="2024"/>
    <x v="2"/>
    <n v="111876"/>
    <n v="48.8"/>
    <n v="150"/>
    <n v="153"/>
    <s v="Sedan"/>
    <n v="4"/>
    <x v="3"/>
    <x v="1"/>
    <n v="36359"/>
    <n v="3.55"/>
    <n v="8"/>
    <n v="4067699484"/>
  </r>
  <r>
    <x v="8"/>
    <x v="12"/>
    <n v="2024"/>
    <x v="1"/>
    <n v="106766.97"/>
    <n v="109.9"/>
    <n v="376"/>
    <n v="200"/>
    <s v="Truck"/>
    <n v="4"/>
    <x v="1"/>
    <x v="1"/>
    <n v="44309"/>
    <n v="3.77"/>
    <n v="3"/>
    <n v="4730737673.7300005"/>
  </r>
  <r>
    <x v="2"/>
    <x v="35"/>
    <n v="2024"/>
    <x v="2"/>
    <n v="78351.88"/>
    <n v="83.5"/>
    <n v="303"/>
    <n v="152"/>
    <s v="Truck"/>
    <n v="5"/>
    <x v="1"/>
    <x v="0"/>
    <n v="135414"/>
    <n v="3.99"/>
    <n v="4"/>
    <n v="10609941478.32"/>
  </r>
  <r>
    <x v="7"/>
    <x v="24"/>
    <n v="2024"/>
    <x v="3"/>
    <n v="45113.98"/>
    <n v="80.8"/>
    <n v="294"/>
    <n v="140"/>
    <s v="Sedan"/>
    <n v="4"/>
    <x v="3"/>
    <x v="2"/>
    <n v="248569"/>
    <n v="3.75"/>
    <n v="4"/>
    <n v="11213936894.620001"/>
  </r>
  <r>
    <x v="2"/>
    <x v="5"/>
    <n v="2024"/>
    <x v="2"/>
    <n v="117810.94"/>
    <n v="78.099999999999994"/>
    <n v="253"/>
    <n v="162"/>
    <s v="Coupe"/>
    <n v="4"/>
    <x v="1"/>
    <x v="1"/>
    <n v="402141"/>
    <n v="4.01"/>
    <n v="5"/>
    <n v="47376609222.540001"/>
  </r>
  <r>
    <x v="7"/>
    <x v="24"/>
    <n v="2024"/>
    <x v="0"/>
    <n v="69646.080000000002"/>
    <n v="82.9"/>
    <n v="303"/>
    <n v="175"/>
    <s v="Coupe"/>
    <n v="4"/>
    <x v="3"/>
    <x v="0"/>
    <n v="292447"/>
    <n v="3.87"/>
    <n v="3"/>
    <n v="20367787157.760002"/>
  </r>
  <r>
    <x v="6"/>
    <x v="20"/>
    <n v="2024"/>
    <x v="1"/>
    <n v="44796.76"/>
    <n v="104.6"/>
    <n v="359"/>
    <n v="200"/>
    <s v="Sedan"/>
    <n v="5"/>
    <x v="4"/>
    <x v="2"/>
    <n v="113793"/>
    <n v="4.03"/>
    <n v="4"/>
    <n v="5097557710.6800003"/>
  </r>
  <r>
    <x v="17"/>
    <x v="58"/>
    <n v="2024"/>
    <x v="3"/>
    <n v="75390.600000000006"/>
    <n v="43.1"/>
    <n v="156"/>
    <n v="135"/>
    <s v="Van"/>
    <n v="5"/>
    <x v="5"/>
    <x v="0"/>
    <n v="16760"/>
    <n v="3.31"/>
    <n v="5"/>
    <n v="1263546456"/>
  </r>
  <r>
    <x v="13"/>
    <x v="57"/>
    <n v="2024"/>
    <x v="0"/>
    <n v="95795.03"/>
    <n v="93.8"/>
    <n v="354"/>
    <n v="177"/>
    <s v="Truck"/>
    <n v="3"/>
    <x v="3"/>
    <x v="0"/>
    <n v="37523"/>
    <n v="4.16"/>
    <n v="6"/>
    <n v="3594516910.6900001"/>
  </r>
  <r>
    <x v="3"/>
    <x v="42"/>
    <n v="2024"/>
    <x v="0"/>
    <n v="65610.36"/>
    <n v="86.2"/>
    <n v="270"/>
    <n v="176"/>
    <s v="Hatchback"/>
    <n v="5"/>
    <x v="2"/>
    <x v="0"/>
    <n v="239905"/>
    <n v="3.59"/>
    <n v="4"/>
    <n v="15740253415.799999"/>
  </r>
  <r>
    <x v="11"/>
    <x v="56"/>
    <n v="2024"/>
    <x v="3"/>
    <n v="85223.91"/>
    <n v="55.2"/>
    <n v="206"/>
    <n v="146"/>
    <s v="Coupe"/>
    <n v="5"/>
    <x v="1"/>
    <x v="0"/>
    <n v="18207"/>
    <n v="3.15"/>
    <n v="4"/>
    <n v="1551671729.3700001"/>
  </r>
  <r>
    <x v="8"/>
    <x v="34"/>
    <n v="2024"/>
    <x v="0"/>
    <n v="93391.97"/>
    <n v="96.9"/>
    <n v="328"/>
    <n v="188"/>
    <s v="Van"/>
    <n v="4"/>
    <x v="1"/>
    <x v="0"/>
    <n v="53055"/>
    <n v="3.46"/>
    <n v="4"/>
    <n v="4954910968.3500004"/>
  </r>
  <r>
    <x v="4"/>
    <x v="4"/>
    <n v="2024"/>
    <x v="2"/>
    <n v="68629.02"/>
    <n v="66.7"/>
    <n v="254"/>
    <n v="173"/>
    <s v="Sedan"/>
    <n v="5"/>
    <x v="3"/>
    <x v="0"/>
    <n v="32172"/>
    <n v="3.58"/>
    <n v="6"/>
    <n v="2207932831.4400001"/>
  </r>
  <r>
    <x v="8"/>
    <x v="21"/>
    <n v="2024"/>
    <x v="1"/>
    <n v="115288.59"/>
    <n v="81.599999999999994"/>
    <n v="287"/>
    <n v="191"/>
    <s v="Hatchback"/>
    <n v="5"/>
    <x v="1"/>
    <x v="1"/>
    <n v="28651"/>
    <n v="3.57"/>
    <n v="3"/>
    <n v="3303133392.0899997"/>
  </r>
  <r>
    <x v="3"/>
    <x v="42"/>
    <n v="2024"/>
    <x v="3"/>
    <n v="42922.38"/>
    <n v="65.7"/>
    <n v="235"/>
    <n v="155"/>
    <s v="Van"/>
    <n v="5"/>
    <x v="2"/>
    <x v="2"/>
    <n v="109861"/>
    <n v="3.54"/>
    <n v="5"/>
    <n v="4715495589.1799994"/>
  </r>
  <r>
    <x v="19"/>
    <x v="71"/>
    <n v="2024"/>
    <x v="1"/>
    <n v="156097.01999999999"/>
    <n v="97.8"/>
    <n v="351"/>
    <n v="196"/>
    <s v="SUV"/>
    <n v="4"/>
    <x v="1"/>
    <x v="1"/>
    <n v="13230"/>
    <n v="3.53"/>
    <n v="5"/>
    <n v="2065163574.5999999"/>
  </r>
  <r>
    <x v="9"/>
    <x v="39"/>
    <n v="2024"/>
    <x v="1"/>
    <n v="130176.15"/>
    <n v="89.9"/>
    <n v="326"/>
    <n v="200"/>
    <s v="Van"/>
    <n v="4"/>
    <x v="3"/>
    <x v="1"/>
    <n v="59392"/>
    <n v="3.8"/>
    <n v="5"/>
    <n v="7731421900.7999992"/>
  </r>
  <r>
    <x v="6"/>
    <x v="63"/>
    <n v="2024"/>
    <x v="1"/>
    <n v="77513.919999999998"/>
    <n v="107.4"/>
    <n v="368"/>
    <n v="187"/>
    <s v="Hatchback"/>
    <n v="4"/>
    <x v="4"/>
    <x v="0"/>
    <n v="71992"/>
    <n v="4.07"/>
    <n v="4"/>
    <n v="5580382128.6400003"/>
  </r>
  <r>
    <x v="2"/>
    <x v="31"/>
    <n v="2024"/>
    <x v="4"/>
    <n v="110128.5"/>
    <n v="50.3"/>
    <n v="163"/>
    <n v="163"/>
    <s v="Truck"/>
    <n v="5"/>
    <x v="1"/>
    <x v="1"/>
    <n v="212436"/>
    <n v="3.54"/>
    <n v="6"/>
    <n v="23395258026"/>
  </r>
  <r>
    <x v="2"/>
    <x v="35"/>
    <n v="2024"/>
    <x v="4"/>
    <n v="80831.47"/>
    <n v="71.2"/>
    <n v="278"/>
    <n v="169"/>
    <s v="Hatchback"/>
    <n v="4"/>
    <x v="1"/>
    <x v="0"/>
    <n v="202000"/>
    <n v="3.76"/>
    <n v="5"/>
    <n v="16327956940"/>
  </r>
  <r>
    <x v="1"/>
    <x v="1"/>
    <n v="2024"/>
    <x v="2"/>
    <n v="85586.47"/>
    <n v="57.3"/>
    <n v="200"/>
    <n v="160"/>
    <s v="SUV"/>
    <n v="4"/>
    <x v="1"/>
    <x v="0"/>
    <n v="25585"/>
    <n v="3.16"/>
    <n v="4"/>
    <n v="2189729834.9499998"/>
  </r>
  <r>
    <x v="7"/>
    <x v="27"/>
    <n v="2024"/>
    <x v="1"/>
    <n v="53590.91"/>
    <n v="74.7"/>
    <n v="258"/>
    <n v="200"/>
    <s v="Coupe"/>
    <n v="3"/>
    <x v="3"/>
    <x v="2"/>
    <n v="209815"/>
    <n v="3.08"/>
    <n v="5"/>
    <n v="11244176781.650002"/>
  </r>
  <r>
    <x v="6"/>
    <x v="53"/>
    <n v="2024"/>
    <x v="3"/>
    <n v="31256.77"/>
    <n v="68.099999999999994"/>
    <n v="218"/>
    <n v="136"/>
    <s v="Truck"/>
    <n v="4"/>
    <x v="4"/>
    <x v="3"/>
    <n v="83425"/>
    <n v="3.35"/>
    <n v="4"/>
    <n v="2607596037.25"/>
  </r>
  <r>
    <x v="3"/>
    <x v="37"/>
    <n v="2024"/>
    <x v="1"/>
    <n v="56202.17"/>
    <n v="81.3"/>
    <n v="298"/>
    <n v="188"/>
    <s v="Coupe"/>
    <n v="5"/>
    <x v="2"/>
    <x v="2"/>
    <n v="225829"/>
    <n v="3.87"/>
    <n v="4"/>
    <n v="12692079848.93"/>
  </r>
  <r>
    <x v="8"/>
    <x v="12"/>
    <n v="2024"/>
    <x v="1"/>
    <n v="113010.15"/>
    <n v="74.7"/>
    <n v="251"/>
    <n v="189"/>
    <s v="Truck"/>
    <n v="5"/>
    <x v="1"/>
    <x v="1"/>
    <n v="26657"/>
    <n v="3.63"/>
    <n v="4"/>
    <n v="3012511568.5499997"/>
  </r>
  <r>
    <x v="16"/>
    <x v="49"/>
    <n v="2024"/>
    <x v="4"/>
    <n v="89310.64"/>
    <n v="64.2"/>
    <n v="208"/>
    <n v="173"/>
    <s v="SUV"/>
    <n v="4"/>
    <x v="2"/>
    <x v="0"/>
    <n v="29176"/>
    <n v="3.31"/>
    <n v="3"/>
    <n v="2605727232.6399999"/>
  </r>
  <r>
    <x v="8"/>
    <x v="60"/>
    <n v="2024"/>
    <x v="3"/>
    <n v="67107.539999999994"/>
    <n v="81.2"/>
    <n v="286"/>
    <n v="137"/>
    <s v="Hatchback"/>
    <n v="5"/>
    <x v="1"/>
    <x v="0"/>
    <n v="58727"/>
    <n v="3.6"/>
    <n v="3"/>
    <n v="3941024501.5799994"/>
  </r>
  <r>
    <x v="5"/>
    <x v="7"/>
    <n v="2024"/>
    <x v="2"/>
    <n v="56356.86"/>
    <n v="45"/>
    <n v="154"/>
    <n v="163"/>
    <s v="Hatchback"/>
    <n v="5"/>
    <x v="4"/>
    <x v="2"/>
    <n v="107160"/>
    <n v="3.3"/>
    <n v="3"/>
    <n v="6039201117.6000004"/>
  </r>
  <r>
    <x v="3"/>
    <x v="37"/>
    <n v="2024"/>
    <x v="3"/>
    <n v="21286.38"/>
    <n v="69.599999999999994"/>
    <n v="233"/>
    <n v="168"/>
    <s v="Sedan"/>
    <n v="5"/>
    <x v="2"/>
    <x v="3"/>
    <n v="116507"/>
    <n v="3.18"/>
    <n v="4"/>
    <n v="2480012274.6600003"/>
  </r>
  <r>
    <x v="6"/>
    <x v="20"/>
    <n v="2024"/>
    <x v="1"/>
    <n v="103986.41"/>
    <n v="110.9"/>
    <n v="397"/>
    <n v="185"/>
    <s v="Sedan"/>
    <n v="5"/>
    <x v="4"/>
    <x v="1"/>
    <n v="106892"/>
    <n v="4.01"/>
    <n v="5"/>
    <n v="11115315337.720001"/>
  </r>
  <r>
    <x v="7"/>
    <x v="44"/>
    <n v="2024"/>
    <x v="1"/>
    <n v="68348.69"/>
    <n v="94"/>
    <n v="323"/>
    <n v="200"/>
    <s v="Hatchback"/>
    <n v="4"/>
    <x v="3"/>
    <x v="0"/>
    <n v="238867"/>
    <n v="3.7"/>
    <n v="5"/>
    <n v="16326246534.230001"/>
  </r>
  <r>
    <x v="7"/>
    <x v="24"/>
    <n v="2024"/>
    <x v="3"/>
    <n v="79224.44"/>
    <n v="48.4"/>
    <n v="164"/>
    <n v="136"/>
    <s v="SUV"/>
    <n v="5"/>
    <x v="3"/>
    <x v="0"/>
    <n v="219453"/>
    <n v="3.46"/>
    <n v="4"/>
    <n v="17386041031.32"/>
  </r>
  <r>
    <x v="12"/>
    <x v="52"/>
    <n v="2024"/>
    <x v="0"/>
    <n v="85774.399999999994"/>
    <n v="106"/>
    <n v="388"/>
    <n v="181"/>
    <s v="Van"/>
    <n v="4"/>
    <x v="1"/>
    <x v="0"/>
    <n v="22091"/>
    <n v="3.72"/>
    <n v="4"/>
    <n v="1894842270.3999999"/>
  </r>
  <r>
    <x v="3"/>
    <x v="6"/>
    <n v="2024"/>
    <x v="3"/>
    <n v="21707.919999999998"/>
    <n v="56.8"/>
    <n v="176"/>
    <n v="135"/>
    <s v="Hatchback"/>
    <n v="4"/>
    <x v="2"/>
    <x v="3"/>
    <n v="240735"/>
    <n v="3.31"/>
    <n v="4"/>
    <n v="5225856121.1999998"/>
  </r>
  <r>
    <x v="12"/>
    <x v="45"/>
    <n v="2024"/>
    <x v="4"/>
    <n v="52232.74"/>
    <n v="42"/>
    <n v="150"/>
    <n v="171"/>
    <s v="Van"/>
    <n v="4"/>
    <x v="1"/>
    <x v="2"/>
    <n v="17461"/>
    <n v="3.32"/>
    <n v="3"/>
    <n v="912035873.13999999"/>
  </r>
  <r>
    <x v="7"/>
    <x v="10"/>
    <n v="2024"/>
    <x v="3"/>
    <n v="64646.52"/>
    <n v="70.7"/>
    <n v="219"/>
    <n v="140"/>
    <s v="Hatchback"/>
    <n v="4"/>
    <x v="3"/>
    <x v="2"/>
    <n v="229331"/>
    <n v="3.6"/>
    <n v="4"/>
    <n v="14825451078.119999"/>
  </r>
  <r>
    <x v="8"/>
    <x v="21"/>
    <n v="2024"/>
    <x v="1"/>
    <n v="99172.17"/>
    <n v="96.1"/>
    <n v="340"/>
    <n v="200"/>
    <s v="SUV"/>
    <n v="5"/>
    <x v="1"/>
    <x v="0"/>
    <n v="55818"/>
    <n v="3.69"/>
    <n v="4"/>
    <n v="5535592185.0599995"/>
  </r>
  <r>
    <x v="9"/>
    <x v="16"/>
    <n v="2024"/>
    <x v="4"/>
    <n v="92379.17"/>
    <n v="50.8"/>
    <n v="150"/>
    <n v="136"/>
    <s v="Truck"/>
    <n v="5"/>
    <x v="3"/>
    <x v="0"/>
    <n v="64158"/>
    <n v="3.31"/>
    <n v="7"/>
    <n v="5926862788.8599997"/>
  </r>
  <r>
    <x v="9"/>
    <x v="16"/>
    <n v="2024"/>
    <x v="3"/>
    <n v="78676.53"/>
    <n v="80.3"/>
    <n v="292"/>
    <n v="155"/>
    <s v="Hatchback"/>
    <n v="5"/>
    <x v="3"/>
    <x v="0"/>
    <n v="28903"/>
    <n v="3.53"/>
    <n v="6"/>
    <n v="2273987746.5900002"/>
  </r>
  <r>
    <x v="6"/>
    <x v="63"/>
    <n v="2024"/>
    <x v="1"/>
    <n v="44088.19"/>
    <n v="81.5"/>
    <n v="270"/>
    <n v="188"/>
    <s v="Hatchback"/>
    <n v="3"/>
    <x v="4"/>
    <x v="2"/>
    <n v="119102"/>
    <n v="3.6"/>
    <n v="4"/>
    <n v="5250991605.3800001"/>
  </r>
  <r>
    <x v="6"/>
    <x v="63"/>
    <n v="2024"/>
    <x v="3"/>
    <n v="63404.54"/>
    <n v="72.2"/>
    <n v="253"/>
    <n v="168"/>
    <s v="Sedan"/>
    <n v="5"/>
    <x v="4"/>
    <x v="2"/>
    <n v="79234"/>
    <n v="3.49"/>
    <n v="3"/>
    <n v="5023795322.3599997"/>
  </r>
  <r>
    <x v="2"/>
    <x v="2"/>
    <n v="2024"/>
    <x v="0"/>
    <n v="91117.32"/>
    <n v="101"/>
    <n v="364"/>
    <n v="172"/>
    <s v="Hatchback"/>
    <n v="4"/>
    <x v="1"/>
    <x v="0"/>
    <n v="174122"/>
    <n v="4"/>
    <n v="5"/>
    <n v="15865529993.040001"/>
  </r>
  <r>
    <x v="12"/>
    <x v="36"/>
    <n v="2024"/>
    <x v="4"/>
    <n v="75461.19"/>
    <n v="77.900000000000006"/>
    <n v="275"/>
    <n v="168"/>
    <s v="SUV"/>
    <n v="4"/>
    <x v="1"/>
    <x v="0"/>
    <n v="10961"/>
    <n v="3.51"/>
    <n v="5"/>
    <n v="827130103.59000003"/>
  </r>
  <r>
    <x v="0"/>
    <x v="47"/>
    <n v="2024"/>
    <x v="2"/>
    <n v="60316.9"/>
    <n v="48"/>
    <n v="165"/>
    <n v="138"/>
    <s v="Coupe"/>
    <n v="4"/>
    <x v="0"/>
    <x v="2"/>
    <n v="23683"/>
    <n v="3.15"/>
    <n v="5"/>
    <n v="1428485142.7"/>
  </r>
  <r>
    <x v="12"/>
    <x v="45"/>
    <n v="2024"/>
    <x v="3"/>
    <n v="46964.58"/>
    <n v="62.4"/>
    <n v="204"/>
    <n v="140"/>
    <s v="Sedan"/>
    <n v="5"/>
    <x v="1"/>
    <x v="2"/>
    <n v="15168"/>
    <n v="3.46"/>
    <n v="4"/>
    <n v="712358749.44000006"/>
  </r>
  <r>
    <x v="3"/>
    <x v="8"/>
    <n v="2024"/>
    <x v="3"/>
    <n v="51238.400000000001"/>
    <n v="51.6"/>
    <n v="185"/>
    <n v="153"/>
    <s v="Hatchback"/>
    <n v="5"/>
    <x v="2"/>
    <x v="2"/>
    <n v="242985"/>
    <n v="3.46"/>
    <n v="3"/>
    <n v="12450162624"/>
  </r>
  <r>
    <x v="2"/>
    <x v="31"/>
    <n v="2024"/>
    <x v="3"/>
    <n v="43048"/>
    <n v="78.2"/>
    <n v="305"/>
    <n v="167"/>
    <s v="Truck"/>
    <n v="5"/>
    <x v="1"/>
    <x v="2"/>
    <n v="249983"/>
    <n v="3.24"/>
    <n v="5"/>
    <n v="10761268184"/>
  </r>
  <r>
    <x v="9"/>
    <x v="55"/>
    <n v="2024"/>
    <x v="0"/>
    <n v="69815.81"/>
    <n v="81.099999999999994"/>
    <n v="291"/>
    <n v="172"/>
    <s v="SUV"/>
    <n v="4"/>
    <x v="3"/>
    <x v="0"/>
    <n v="42961"/>
    <n v="3.63"/>
    <n v="5"/>
    <n v="2999357013.4099998"/>
  </r>
  <r>
    <x v="9"/>
    <x v="16"/>
    <n v="2024"/>
    <x v="2"/>
    <n v="73900.67"/>
    <n v="72.400000000000006"/>
    <n v="258"/>
    <n v="134"/>
    <s v="Coupe"/>
    <n v="5"/>
    <x v="3"/>
    <x v="0"/>
    <n v="78616"/>
    <n v="3.2"/>
    <n v="6"/>
    <n v="5809775072.7200003"/>
  </r>
  <r>
    <x v="8"/>
    <x v="12"/>
    <n v="2024"/>
    <x v="2"/>
    <n v="33054.57"/>
    <n v="55.6"/>
    <n v="203"/>
    <n v="145"/>
    <s v="Truck"/>
    <n v="5"/>
    <x v="1"/>
    <x v="3"/>
    <n v="77480"/>
    <n v="3.1"/>
    <n v="3"/>
    <n v="2561068083.5999999"/>
  </r>
  <r>
    <x v="3"/>
    <x v="8"/>
    <n v="2024"/>
    <x v="0"/>
    <n v="38277.53"/>
    <n v="87.8"/>
    <n v="282"/>
    <n v="181"/>
    <s v="Coupe"/>
    <n v="5"/>
    <x v="2"/>
    <x v="2"/>
    <n v="237305"/>
    <n v="3.52"/>
    <n v="4"/>
    <n v="9083449256.6499996"/>
  </r>
  <r>
    <x v="9"/>
    <x v="39"/>
    <n v="2024"/>
    <x v="1"/>
    <n v="73301.490000000005"/>
    <n v="109.7"/>
    <n v="367"/>
    <n v="200"/>
    <s v="Coupe"/>
    <n v="5"/>
    <x v="3"/>
    <x v="0"/>
    <n v="50214"/>
    <n v="3.67"/>
    <n v="6"/>
    <n v="3680761018.8600001"/>
  </r>
  <r>
    <x v="3"/>
    <x v="8"/>
    <n v="2024"/>
    <x v="4"/>
    <n v="100526.02"/>
    <n v="84.9"/>
    <n v="300"/>
    <n v="147"/>
    <s v="Hatchback"/>
    <n v="4"/>
    <x v="2"/>
    <x v="1"/>
    <n v="178707"/>
    <n v="3.53"/>
    <n v="4"/>
    <n v="17964703456.139999"/>
  </r>
  <r>
    <x v="3"/>
    <x v="37"/>
    <n v="2024"/>
    <x v="0"/>
    <n v="42041.16"/>
    <n v="108.4"/>
    <n v="373"/>
    <n v="176"/>
    <s v="Truck"/>
    <n v="3"/>
    <x v="2"/>
    <x v="2"/>
    <n v="120124"/>
    <n v="3.79"/>
    <n v="4"/>
    <n v="5050152303.8400002"/>
  </r>
  <r>
    <x v="8"/>
    <x v="21"/>
    <n v="2024"/>
    <x v="4"/>
    <n v="97929.01"/>
    <n v="50.3"/>
    <n v="198"/>
    <n v="139"/>
    <s v="SUV"/>
    <n v="5"/>
    <x v="1"/>
    <x v="0"/>
    <n v="20102"/>
    <n v="3.3"/>
    <n v="5"/>
    <n v="1968568959.02"/>
  </r>
  <r>
    <x v="11"/>
    <x v="30"/>
    <n v="2024"/>
    <x v="1"/>
    <n v="105996.52"/>
    <n v="77.2"/>
    <n v="274"/>
    <n v="196"/>
    <s v="Hatchback"/>
    <n v="5"/>
    <x v="1"/>
    <x v="1"/>
    <n v="1509"/>
    <n v="3.58"/>
    <n v="5"/>
    <n v="159948748.68000001"/>
  </r>
  <r>
    <x v="2"/>
    <x v="2"/>
    <n v="2024"/>
    <x v="1"/>
    <n v="64261.34"/>
    <n v="116.7"/>
    <n v="433"/>
    <n v="200"/>
    <s v="Hatchback"/>
    <n v="3"/>
    <x v="1"/>
    <x v="2"/>
    <n v="145470"/>
    <n v="4.0999999999999996"/>
    <n v="5"/>
    <n v="9348097129.7999992"/>
  </r>
  <r>
    <x v="10"/>
    <x v="70"/>
    <n v="2024"/>
    <x v="3"/>
    <n v="116528.23"/>
    <n v="75.599999999999994"/>
    <n v="282"/>
    <n v="144"/>
    <s v="Truck"/>
    <n v="4"/>
    <x v="5"/>
    <x v="1"/>
    <n v="14704"/>
    <n v="3.58"/>
    <n v="4"/>
    <n v="1713431093.9199998"/>
  </r>
  <r>
    <x v="14"/>
    <x v="54"/>
    <n v="2024"/>
    <x v="1"/>
    <n v="144156.68"/>
    <n v="92.7"/>
    <n v="331"/>
    <n v="200"/>
    <s v="Hatchback"/>
    <n v="5"/>
    <x v="2"/>
    <x v="1"/>
    <n v="28598"/>
    <n v="3.78"/>
    <n v="3"/>
    <n v="4122592734.6399999"/>
  </r>
  <r>
    <x v="2"/>
    <x v="35"/>
    <n v="2024"/>
    <x v="2"/>
    <n v="97305.17"/>
    <n v="40.9"/>
    <n v="150"/>
    <n v="158"/>
    <s v="Van"/>
    <n v="3"/>
    <x v="1"/>
    <x v="0"/>
    <n v="135420"/>
    <n v="3.42"/>
    <n v="5"/>
    <n v="13177066121.4"/>
  </r>
  <r>
    <x v="2"/>
    <x v="5"/>
    <n v="2024"/>
    <x v="4"/>
    <n v="142240.31"/>
    <n v="46.3"/>
    <n v="166"/>
    <n v="152"/>
    <s v="Truck"/>
    <n v="5"/>
    <x v="1"/>
    <x v="1"/>
    <n v="461025"/>
    <n v="3.45"/>
    <n v="6"/>
    <n v="65576338917.75"/>
  </r>
  <r>
    <x v="8"/>
    <x v="12"/>
    <n v="2024"/>
    <x v="0"/>
    <n v="88743.58"/>
    <n v="80.099999999999994"/>
    <n v="265"/>
    <n v="187"/>
    <s v="Truck"/>
    <n v="5"/>
    <x v="1"/>
    <x v="0"/>
    <n v="63330"/>
    <n v="3.64"/>
    <n v="4"/>
    <n v="5620130921.4000006"/>
  </r>
  <r>
    <x v="12"/>
    <x v="52"/>
    <n v="2024"/>
    <x v="1"/>
    <n v="41328.5"/>
    <n v="93.2"/>
    <n v="342"/>
    <n v="186"/>
    <s v="Hatchback"/>
    <n v="5"/>
    <x v="1"/>
    <x v="2"/>
    <n v="18258"/>
    <n v="3.87"/>
    <n v="4"/>
    <n v="754575753"/>
  </r>
  <r>
    <x v="6"/>
    <x v="50"/>
    <n v="2024"/>
    <x v="4"/>
    <n v="69523.19"/>
    <n v="77.900000000000006"/>
    <n v="274"/>
    <n v="145"/>
    <s v="Hatchback"/>
    <n v="4"/>
    <x v="4"/>
    <x v="0"/>
    <n v="133082"/>
    <n v="3.52"/>
    <n v="4"/>
    <n v="9252285171.5799999"/>
  </r>
  <r>
    <x v="3"/>
    <x v="6"/>
    <n v="2024"/>
    <x v="0"/>
    <n v="25253.73"/>
    <n v="99.1"/>
    <n v="355"/>
    <n v="167"/>
    <s v="Van"/>
    <n v="4"/>
    <x v="2"/>
    <x v="3"/>
    <n v="158999"/>
    <n v="3.61"/>
    <n v="4"/>
    <n v="4015317816.27"/>
  </r>
  <r>
    <x v="4"/>
    <x v="61"/>
    <n v="2024"/>
    <x v="2"/>
    <n v="103666.6"/>
    <n v="66.400000000000006"/>
    <n v="243"/>
    <n v="141"/>
    <s v="Truck"/>
    <n v="4"/>
    <x v="3"/>
    <x v="1"/>
    <n v="59232"/>
    <n v="3.4"/>
    <n v="6"/>
    <n v="6140380051.2000008"/>
  </r>
  <r>
    <x v="9"/>
    <x v="55"/>
    <n v="2024"/>
    <x v="3"/>
    <n v="86675.29"/>
    <n v="62.4"/>
    <n v="204"/>
    <n v="172"/>
    <s v="Truck"/>
    <n v="4"/>
    <x v="3"/>
    <x v="0"/>
    <n v="72572"/>
    <n v="3.35"/>
    <n v="8"/>
    <n v="6290199145.8799992"/>
  </r>
  <r>
    <x v="2"/>
    <x v="17"/>
    <n v="2024"/>
    <x v="1"/>
    <n v="92846.92"/>
    <n v="75.3"/>
    <n v="265"/>
    <n v="180"/>
    <s v="Sedan"/>
    <n v="3"/>
    <x v="1"/>
    <x v="0"/>
    <n v="187727"/>
    <n v="3.9"/>
    <n v="4"/>
    <n v="17429873750.84"/>
  </r>
  <r>
    <x v="12"/>
    <x v="46"/>
    <n v="2024"/>
    <x v="2"/>
    <n v="32869.42"/>
    <n v="73.8"/>
    <n v="276"/>
    <n v="157"/>
    <s v="SUV"/>
    <n v="3"/>
    <x v="1"/>
    <x v="3"/>
    <n v="10258"/>
    <n v="3.6"/>
    <n v="4"/>
    <n v="337174510.35999995"/>
  </r>
  <r>
    <x v="8"/>
    <x v="34"/>
    <n v="2024"/>
    <x v="4"/>
    <n v="86809.78"/>
    <n v="64"/>
    <n v="201"/>
    <n v="126"/>
    <s v="Truck"/>
    <n v="4"/>
    <x v="1"/>
    <x v="0"/>
    <n v="40976"/>
    <n v="3"/>
    <n v="3"/>
    <n v="3557117545.2799997"/>
  </r>
  <r>
    <x v="5"/>
    <x v="22"/>
    <n v="2024"/>
    <x v="1"/>
    <n v="107669.85"/>
    <n v="101.4"/>
    <n v="345"/>
    <n v="200"/>
    <s v="SUV"/>
    <n v="5"/>
    <x v="4"/>
    <x v="1"/>
    <n v="128063"/>
    <n v="4.17"/>
    <n v="4"/>
    <n v="13788524000.550001"/>
  </r>
  <r>
    <x v="12"/>
    <x v="45"/>
    <n v="2024"/>
    <x v="3"/>
    <n v="37659.35"/>
    <n v="52.6"/>
    <n v="166"/>
    <n v="154"/>
    <s v="Sedan"/>
    <n v="5"/>
    <x v="1"/>
    <x v="2"/>
    <n v="14766"/>
    <n v="3.22"/>
    <n v="4"/>
    <n v="556077962.10000002"/>
  </r>
  <r>
    <x v="7"/>
    <x v="27"/>
    <n v="2024"/>
    <x v="0"/>
    <n v="62606.34"/>
    <n v="101.2"/>
    <n v="370"/>
    <n v="186"/>
    <s v="Coupe"/>
    <n v="4"/>
    <x v="3"/>
    <x v="2"/>
    <n v="233529"/>
    <n v="3.84"/>
    <n v="3"/>
    <n v="14620395973.859999"/>
  </r>
  <r>
    <x v="12"/>
    <x v="29"/>
    <n v="2024"/>
    <x v="4"/>
    <n v="80871.59"/>
    <n v="62.6"/>
    <n v="196"/>
    <n v="170"/>
    <s v="Hatchback"/>
    <n v="3"/>
    <x v="1"/>
    <x v="0"/>
    <n v="24840"/>
    <n v="3.52"/>
    <n v="3"/>
    <n v="2008850295.5999999"/>
  </r>
  <r>
    <x v="5"/>
    <x v="22"/>
    <n v="2024"/>
    <x v="4"/>
    <n v="73063.27"/>
    <n v="55.1"/>
    <n v="176"/>
    <n v="137"/>
    <s v="SUV"/>
    <n v="5"/>
    <x v="4"/>
    <x v="0"/>
    <n v="143775"/>
    <n v="3.53"/>
    <n v="4"/>
    <n v="10504671644.25"/>
  </r>
  <r>
    <x v="9"/>
    <x v="39"/>
    <n v="2024"/>
    <x v="1"/>
    <n v="123235.74"/>
    <n v="117.3"/>
    <n v="428"/>
    <n v="186"/>
    <s v="Truck"/>
    <n v="5"/>
    <x v="3"/>
    <x v="1"/>
    <n v="49531"/>
    <n v="3.97"/>
    <n v="6"/>
    <n v="6103989437.9400005"/>
  </r>
  <r>
    <x v="2"/>
    <x v="31"/>
    <n v="2024"/>
    <x v="4"/>
    <n v="117988.5"/>
    <n v="65.2"/>
    <n v="250"/>
    <n v="160"/>
    <s v="Truck"/>
    <n v="4"/>
    <x v="1"/>
    <x v="1"/>
    <n v="117423"/>
    <n v="3.81"/>
    <n v="5"/>
    <n v="13854563635.5"/>
  </r>
  <r>
    <x v="5"/>
    <x v="7"/>
    <n v="2024"/>
    <x v="3"/>
    <n v="39013.49"/>
    <n v="67.3"/>
    <n v="235"/>
    <n v="171"/>
    <s v="Van"/>
    <n v="4"/>
    <x v="4"/>
    <x v="2"/>
    <n v="124150"/>
    <n v="3.57"/>
    <n v="4"/>
    <n v="4843524783.5"/>
  </r>
  <r>
    <x v="5"/>
    <x v="13"/>
    <n v="2024"/>
    <x v="0"/>
    <n v="50328.06"/>
    <n v="106.7"/>
    <n v="389"/>
    <n v="165"/>
    <s v="Hatchback"/>
    <n v="4"/>
    <x v="4"/>
    <x v="2"/>
    <n v="79174"/>
    <n v="3.94"/>
    <n v="3"/>
    <n v="3984673822.4399996"/>
  </r>
  <r>
    <x v="2"/>
    <x v="35"/>
    <n v="2024"/>
    <x v="1"/>
    <n v="138879.13"/>
    <n v="102.3"/>
    <n v="358"/>
    <n v="197"/>
    <s v="Sedan"/>
    <n v="4"/>
    <x v="1"/>
    <x v="1"/>
    <n v="187901"/>
    <n v="4.2300000000000004"/>
    <n v="5"/>
    <n v="26095527406.130001"/>
  </r>
  <r>
    <x v="8"/>
    <x v="21"/>
    <n v="2024"/>
    <x v="3"/>
    <n v="81564.12"/>
    <n v="82.3"/>
    <n v="294"/>
    <n v="151"/>
    <s v="Van"/>
    <n v="5"/>
    <x v="1"/>
    <x v="0"/>
    <n v="70445"/>
    <n v="3.48"/>
    <n v="3"/>
    <n v="5745784433.3999996"/>
  </r>
  <r>
    <x v="3"/>
    <x v="11"/>
    <n v="2024"/>
    <x v="3"/>
    <n v="53792.67"/>
    <n v="73.2"/>
    <n v="287"/>
    <n v="136"/>
    <s v="SUV"/>
    <n v="4"/>
    <x v="2"/>
    <x v="2"/>
    <n v="246202"/>
    <n v="3.6"/>
    <n v="5"/>
    <n v="13243862939.34"/>
  </r>
  <r>
    <x v="3"/>
    <x v="11"/>
    <n v="2024"/>
    <x v="3"/>
    <n v="83643.929999999993"/>
    <n v="76.5"/>
    <n v="285"/>
    <n v="154"/>
    <s v="Van"/>
    <n v="5"/>
    <x v="2"/>
    <x v="0"/>
    <n v="218991"/>
    <n v="3.84"/>
    <n v="4"/>
    <n v="18317267874.629997"/>
  </r>
  <r>
    <x v="9"/>
    <x v="39"/>
    <n v="2024"/>
    <x v="4"/>
    <n v="104797.89"/>
    <n v="46.5"/>
    <n v="162"/>
    <n v="160"/>
    <s v="Hatchback"/>
    <n v="5"/>
    <x v="3"/>
    <x v="1"/>
    <n v="26942"/>
    <n v="3.17"/>
    <n v="7"/>
    <n v="2823464752.3800001"/>
  </r>
  <r>
    <x v="13"/>
    <x v="59"/>
    <n v="2024"/>
    <x v="3"/>
    <n v="113687.69"/>
    <n v="81.5"/>
    <n v="274"/>
    <n v="128"/>
    <s v="Van"/>
    <n v="4"/>
    <x v="3"/>
    <x v="1"/>
    <n v="59376"/>
    <n v="3.82"/>
    <n v="8"/>
    <n v="6750320281.4400005"/>
  </r>
  <r>
    <x v="7"/>
    <x v="24"/>
    <n v="2024"/>
    <x v="1"/>
    <n v="61036.31"/>
    <n v="77.7"/>
    <n v="243"/>
    <n v="193"/>
    <s v="Coupe"/>
    <n v="4"/>
    <x v="3"/>
    <x v="2"/>
    <n v="274419"/>
    <n v="3.18"/>
    <n v="4"/>
    <n v="16749523153.889999"/>
  </r>
  <r>
    <x v="3"/>
    <x v="3"/>
    <n v="2024"/>
    <x v="4"/>
    <n v="105441.86"/>
    <n v="57.2"/>
    <n v="209"/>
    <n v="152"/>
    <s v="Truck"/>
    <n v="5"/>
    <x v="2"/>
    <x v="1"/>
    <n v="226549"/>
    <n v="3.32"/>
    <n v="5"/>
    <n v="23887747941.139999"/>
  </r>
  <r>
    <x v="2"/>
    <x v="17"/>
    <n v="2024"/>
    <x v="4"/>
    <n v="128470.34"/>
    <n v="75.7"/>
    <n v="268"/>
    <n v="140"/>
    <s v="Truck"/>
    <n v="3"/>
    <x v="1"/>
    <x v="1"/>
    <n v="244654"/>
    <n v="3.62"/>
    <n v="6"/>
    <n v="31430782562.360001"/>
  </r>
  <r>
    <x v="14"/>
    <x v="72"/>
    <n v="2024"/>
    <x v="3"/>
    <n v="78059.06"/>
    <n v="66.599999999999994"/>
    <n v="252"/>
    <n v="157"/>
    <s v="SUV"/>
    <n v="5"/>
    <x v="2"/>
    <x v="0"/>
    <n v="24158"/>
    <n v="3.33"/>
    <n v="5"/>
    <n v="1885750771.48"/>
  </r>
  <r>
    <x v="7"/>
    <x v="27"/>
    <n v="2024"/>
    <x v="4"/>
    <n v="49550.91"/>
    <n v="41.8"/>
    <n v="150"/>
    <n v="153"/>
    <s v="Coupe"/>
    <n v="3"/>
    <x v="3"/>
    <x v="2"/>
    <n v="222078"/>
    <n v="3.54"/>
    <n v="4"/>
    <n v="11004166990.980001"/>
  </r>
  <r>
    <x v="12"/>
    <x v="46"/>
    <n v="2024"/>
    <x v="3"/>
    <n v="34301.370000000003"/>
    <n v="70"/>
    <n v="218"/>
    <n v="163"/>
    <s v="SUV"/>
    <n v="4"/>
    <x v="1"/>
    <x v="3"/>
    <n v="738"/>
    <n v="3.6"/>
    <n v="3"/>
    <n v="25314411.060000002"/>
  </r>
  <r>
    <x v="0"/>
    <x v="47"/>
    <n v="2024"/>
    <x v="1"/>
    <n v="66816.55"/>
    <n v="110.6"/>
    <n v="367"/>
    <n v="181"/>
    <s v="Hatchback"/>
    <n v="4"/>
    <x v="0"/>
    <x v="0"/>
    <n v="11062"/>
    <n v="3.79"/>
    <n v="4"/>
    <n v="739124676.10000002"/>
  </r>
  <r>
    <x v="13"/>
    <x v="64"/>
    <n v="2025"/>
    <x v="1"/>
    <n v="131074.23000000001"/>
    <n v="82.7"/>
    <n v="292"/>
    <n v="200"/>
    <s v="SUV"/>
    <n v="4"/>
    <x v="3"/>
    <x v="1"/>
    <n v="48277"/>
    <n v="4.1100000000000003"/>
    <n v="8"/>
    <n v="6327870601.71"/>
  </r>
  <r>
    <x v="12"/>
    <x v="52"/>
    <n v="2025"/>
    <x v="2"/>
    <n v="56944.53"/>
    <n v="69.900000000000006"/>
    <n v="251"/>
    <n v="149"/>
    <s v="Van"/>
    <n v="5"/>
    <x v="1"/>
    <x v="2"/>
    <n v="8761"/>
    <n v="3.46"/>
    <n v="5"/>
    <n v="498891027.32999998"/>
  </r>
  <r>
    <x v="1"/>
    <x v="1"/>
    <n v="2025"/>
    <x v="3"/>
    <n v="88914.19"/>
    <n v="66.7"/>
    <n v="232"/>
    <n v="173"/>
    <s v="Truck"/>
    <n v="3"/>
    <x v="1"/>
    <x v="0"/>
    <n v="2408"/>
    <n v="3.67"/>
    <n v="5"/>
    <n v="214105369.52000001"/>
  </r>
  <r>
    <x v="13"/>
    <x v="57"/>
    <n v="2025"/>
    <x v="1"/>
    <n v="210811.92"/>
    <n v="93.2"/>
    <n v="320"/>
    <n v="200"/>
    <s v="Hatchback"/>
    <n v="5"/>
    <x v="3"/>
    <x v="1"/>
    <n v="56039"/>
    <n v="3.59"/>
    <n v="7"/>
    <n v="11813689184.880001"/>
  </r>
  <r>
    <x v="5"/>
    <x v="13"/>
    <n v="2025"/>
    <x v="4"/>
    <n v="106848.2"/>
    <n v="54.1"/>
    <n v="193"/>
    <n v="135"/>
    <s v="Coupe"/>
    <n v="4"/>
    <x v="4"/>
    <x v="1"/>
    <n v="85618"/>
    <n v="3.33"/>
    <n v="5"/>
    <n v="9148129187.6000004"/>
  </r>
  <r>
    <x v="8"/>
    <x v="60"/>
    <n v="2025"/>
    <x v="1"/>
    <n v="96527.54"/>
    <n v="75.2"/>
    <n v="286"/>
    <n v="188"/>
    <s v="Coupe"/>
    <n v="3"/>
    <x v="1"/>
    <x v="0"/>
    <n v="67670"/>
    <n v="3.6"/>
    <n v="4"/>
    <n v="6532018631.7999992"/>
  </r>
  <r>
    <x v="6"/>
    <x v="63"/>
    <n v="2025"/>
    <x v="1"/>
    <n v="86045.75"/>
    <n v="96.3"/>
    <n v="314"/>
    <n v="200"/>
    <s v="Hatchback"/>
    <n v="5"/>
    <x v="4"/>
    <x v="0"/>
    <n v="124864"/>
    <n v="3.57"/>
    <n v="4"/>
    <n v="10744016528"/>
  </r>
  <r>
    <x v="2"/>
    <x v="5"/>
    <n v="2025"/>
    <x v="1"/>
    <n v="135780.6"/>
    <n v="105.2"/>
    <n v="383"/>
    <n v="196"/>
    <s v="Truck"/>
    <n v="5"/>
    <x v="1"/>
    <x v="1"/>
    <n v="411097"/>
    <n v="4.12"/>
    <n v="5"/>
    <n v="55818997318.200005"/>
  </r>
  <r>
    <x v="2"/>
    <x v="35"/>
    <n v="2025"/>
    <x v="2"/>
    <n v="110771.86"/>
    <n v="52.9"/>
    <n v="177"/>
    <n v="151"/>
    <s v="SUV"/>
    <n v="4"/>
    <x v="1"/>
    <x v="1"/>
    <n v="179640"/>
    <n v="3.42"/>
    <n v="5"/>
    <n v="19899056930.400002"/>
  </r>
  <r>
    <x v="8"/>
    <x v="21"/>
    <n v="2025"/>
    <x v="1"/>
    <n v="69597.509999999995"/>
    <n v="106.2"/>
    <n v="361"/>
    <n v="192"/>
    <s v="Sedan"/>
    <n v="5"/>
    <x v="1"/>
    <x v="0"/>
    <n v="24574"/>
    <n v="3.79"/>
    <n v="3"/>
    <n v="1710289210.7399998"/>
  </r>
  <r>
    <x v="3"/>
    <x v="37"/>
    <n v="2025"/>
    <x v="3"/>
    <n v="31434.26"/>
    <n v="60.6"/>
    <n v="229"/>
    <n v="136"/>
    <s v="Hatchback"/>
    <n v="4"/>
    <x v="2"/>
    <x v="3"/>
    <n v="242953"/>
    <n v="3.29"/>
    <n v="4"/>
    <n v="7637047769.7799997"/>
  </r>
  <r>
    <x v="9"/>
    <x v="19"/>
    <n v="2025"/>
    <x v="1"/>
    <n v="156773.89000000001"/>
    <n v="81.400000000000006"/>
    <n v="266"/>
    <n v="190"/>
    <s v="Truck"/>
    <n v="5"/>
    <x v="3"/>
    <x v="1"/>
    <n v="58126"/>
    <n v="3.6"/>
    <n v="5"/>
    <n v="9112639130.1400013"/>
  </r>
  <r>
    <x v="6"/>
    <x v="63"/>
    <n v="2025"/>
    <x v="3"/>
    <n v="69769.460000000006"/>
    <n v="63.2"/>
    <n v="212"/>
    <n v="133"/>
    <s v="Hatchback"/>
    <n v="4"/>
    <x v="4"/>
    <x v="0"/>
    <n v="50147"/>
    <n v="3.21"/>
    <n v="4"/>
    <n v="3498729110.6200004"/>
  </r>
  <r>
    <x v="4"/>
    <x v="32"/>
    <n v="2025"/>
    <x v="3"/>
    <n v="53762.11"/>
    <n v="52.1"/>
    <n v="156"/>
    <n v="154"/>
    <s v="Coupe"/>
    <n v="4"/>
    <x v="3"/>
    <x v="2"/>
    <n v="69650"/>
    <n v="3.68"/>
    <n v="7"/>
    <n v="3744530961.5"/>
  </r>
  <r>
    <x v="3"/>
    <x v="6"/>
    <n v="2025"/>
    <x v="2"/>
    <n v="26682.38"/>
    <n v="53.9"/>
    <n v="199"/>
    <n v="137"/>
    <s v="Truck"/>
    <n v="4"/>
    <x v="2"/>
    <x v="3"/>
    <n v="158602"/>
    <n v="3.26"/>
    <n v="3"/>
    <n v="4231878832.7600002"/>
  </r>
  <r>
    <x v="6"/>
    <x v="20"/>
    <n v="2025"/>
    <x v="2"/>
    <n v="45100.09"/>
    <n v="79.5"/>
    <n v="257"/>
    <n v="174"/>
    <s v="Hatchback"/>
    <n v="4"/>
    <x v="4"/>
    <x v="2"/>
    <n v="128526"/>
    <n v="3.61"/>
    <n v="4"/>
    <n v="5796534167.3399992"/>
  </r>
  <r>
    <x v="14"/>
    <x v="72"/>
    <n v="2025"/>
    <x v="1"/>
    <n v="60624.73"/>
    <n v="82.4"/>
    <n v="278"/>
    <n v="200"/>
    <s v="SUV"/>
    <n v="4"/>
    <x v="2"/>
    <x v="2"/>
    <n v="8857"/>
    <n v="3.49"/>
    <n v="4"/>
    <n v="536953233.61000001"/>
  </r>
  <r>
    <x v="4"/>
    <x v="32"/>
    <n v="2025"/>
    <x v="2"/>
    <n v="63332.23"/>
    <n v="84.4"/>
    <n v="310"/>
    <n v="162"/>
    <s v="Coupe"/>
    <n v="5"/>
    <x v="3"/>
    <x v="2"/>
    <n v="62327"/>
    <n v="3.85"/>
    <n v="6"/>
    <n v="3947307899.21"/>
  </r>
  <r>
    <x v="2"/>
    <x v="35"/>
    <n v="2025"/>
    <x v="2"/>
    <n v="73015.63"/>
    <n v="82.4"/>
    <n v="304"/>
    <n v="156"/>
    <s v="Truck"/>
    <n v="5"/>
    <x v="1"/>
    <x v="0"/>
    <n v="173406"/>
    <n v="3.75"/>
    <n v="5"/>
    <n v="12661348335.780001"/>
  </r>
  <r>
    <x v="2"/>
    <x v="31"/>
    <n v="2025"/>
    <x v="1"/>
    <n v="117415.98"/>
    <n v="78.099999999999994"/>
    <n v="263"/>
    <n v="200"/>
    <s v="Truck"/>
    <n v="5"/>
    <x v="1"/>
    <x v="1"/>
    <n v="183531"/>
    <n v="3.7"/>
    <n v="5"/>
    <n v="21549472225.380001"/>
  </r>
  <r>
    <x v="2"/>
    <x v="17"/>
    <n v="2025"/>
    <x v="3"/>
    <n v="71316.86"/>
    <n v="73.900000000000006"/>
    <n v="249"/>
    <n v="144"/>
    <s v="SUV"/>
    <n v="5"/>
    <x v="1"/>
    <x v="0"/>
    <n v="242716"/>
    <n v="3.7"/>
    <n v="5"/>
    <n v="17309742991.759998"/>
  </r>
  <r>
    <x v="3"/>
    <x v="37"/>
    <n v="2025"/>
    <x v="2"/>
    <n v="59005.52"/>
    <n v="58.4"/>
    <n v="200"/>
    <n v="137"/>
    <s v="Van"/>
    <n v="5"/>
    <x v="2"/>
    <x v="2"/>
    <n v="127516"/>
    <n v="3.31"/>
    <n v="5"/>
    <n v="7524147888.3199997"/>
  </r>
  <r>
    <x v="13"/>
    <x v="59"/>
    <n v="2025"/>
    <x v="1"/>
    <n v="188302.14"/>
    <n v="78.5"/>
    <n v="277"/>
    <n v="185"/>
    <s v="Coupe"/>
    <n v="4"/>
    <x v="3"/>
    <x v="1"/>
    <n v="43172"/>
    <n v="4"/>
    <n v="7"/>
    <n v="8129379988.0800009"/>
  </r>
  <r>
    <x v="2"/>
    <x v="5"/>
    <n v="2025"/>
    <x v="1"/>
    <n v="43196.41"/>
    <n v="111.9"/>
    <n v="408"/>
    <n v="197"/>
    <s v="Truck"/>
    <n v="5"/>
    <x v="1"/>
    <x v="2"/>
    <n v="437912"/>
    <n v="4.03"/>
    <n v="5"/>
    <n v="18916226295.920002"/>
  </r>
  <r>
    <x v="8"/>
    <x v="21"/>
    <n v="2025"/>
    <x v="4"/>
    <n v="45539.59"/>
    <n v="55.1"/>
    <n v="198"/>
    <n v="173"/>
    <s v="Hatchback"/>
    <n v="5"/>
    <x v="1"/>
    <x v="2"/>
    <n v="26865"/>
    <n v="3"/>
    <n v="3"/>
    <n v="1223421085.3499999"/>
  </r>
  <r>
    <x v="12"/>
    <x v="36"/>
    <n v="2025"/>
    <x v="1"/>
    <n v="102049.38"/>
    <n v="116.6"/>
    <n v="395"/>
    <n v="192"/>
    <s v="Van"/>
    <n v="4"/>
    <x v="1"/>
    <x v="1"/>
    <n v="7957"/>
    <n v="4.16"/>
    <n v="5"/>
    <n v="812006916.66000009"/>
  </r>
  <r>
    <x v="7"/>
    <x v="27"/>
    <n v="2025"/>
    <x v="2"/>
    <n v="38889.440000000002"/>
    <n v="65"/>
    <n v="231"/>
    <n v="160"/>
    <s v="Sedan"/>
    <n v="5"/>
    <x v="3"/>
    <x v="2"/>
    <n v="293320"/>
    <n v="3.41"/>
    <n v="3"/>
    <n v="11407050540.800001"/>
  </r>
  <r>
    <x v="2"/>
    <x v="17"/>
    <n v="2025"/>
    <x v="1"/>
    <n v="169366.43"/>
    <n v="117.4"/>
    <n v="416"/>
    <n v="200"/>
    <s v="SUV"/>
    <n v="5"/>
    <x v="1"/>
    <x v="1"/>
    <n v="248754"/>
    <n v="4.09"/>
    <n v="5"/>
    <n v="42130576928.220001"/>
  </r>
  <r>
    <x v="6"/>
    <x v="9"/>
    <n v="2025"/>
    <x v="1"/>
    <n v="57904.84"/>
    <n v="80.5"/>
    <n v="286"/>
    <n v="200"/>
    <s v="Sedan"/>
    <n v="4"/>
    <x v="4"/>
    <x v="2"/>
    <n v="68118"/>
    <n v="3.73"/>
    <n v="4"/>
    <n v="3944361891.1199999"/>
  </r>
  <r>
    <x v="6"/>
    <x v="63"/>
    <n v="2025"/>
    <x v="1"/>
    <n v="45837.99"/>
    <n v="84.4"/>
    <n v="306"/>
    <n v="192"/>
    <s v="Sedan"/>
    <n v="5"/>
    <x v="4"/>
    <x v="2"/>
    <n v="96533"/>
    <n v="3.3"/>
    <n v="3"/>
    <n v="4424878688.6700001"/>
  </r>
  <r>
    <x v="4"/>
    <x v="40"/>
    <n v="2025"/>
    <x v="4"/>
    <n v="80343.06"/>
    <n v="66.3"/>
    <n v="231"/>
    <n v="161"/>
    <s v="Van"/>
    <n v="5"/>
    <x v="3"/>
    <x v="0"/>
    <n v="43236"/>
    <n v="3.38"/>
    <n v="7"/>
    <n v="3473712542.1599998"/>
  </r>
  <r>
    <x v="3"/>
    <x v="37"/>
    <n v="2025"/>
    <x v="2"/>
    <n v="75747.87"/>
    <n v="69.2"/>
    <n v="279"/>
    <n v="154"/>
    <s v="Sedan"/>
    <n v="3"/>
    <x v="2"/>
    <x v="0"/>
    <n v="114789"/>
    <n v="3.65"/>
    <n v="3"/>
    <n v="8695022249.4300003"/>
  </r>
  <r>
    <x v="3"/>
    <x v="14"/>
    <n v="2025"/>
    <x v="0"/>
    <n v="61700.639999999999"/>
    <n v="101.3"/>
    <n v="351"/>
    <n v="175"/>
    <s v="SUV"/>
    <n v="5"/>
    <x v="2"/>
    <x v="2"/>
    <n v="190763"/>
    <n v="4"/>
    <n v="3"/>
    <n v="11770199188.32"/>
  </r>
  <r>
    <x v="2"/>
    <x v="17"/>
    <n v="2025"/>
    <x v="4"/>
    <n v="152706.13"/>
    <n v="77.099999999999994"/>
    <n v="260"/>
    <n v="155"/>
    <s v="SUV"/>
    <n v="4"/>
    <x v="1"/>
    <x v="1"/>
    <n v="172494"/>
    <n v="3.77"/>
    <n v="5"/>
    <n v="26340891188.220001"/>
  </r>
  <r>
    <x v="8"/>
    <x v="12"/>
    <n v="2025"/>
    <x v="2"/>
    <n v="57536.04"/>
    <n v="73.3"/>
    <n v="254"/>
    <n v="139"/>
    <s v="Truck"/>
    <n v="4"/>
    <x v="1"/>
    <x v="2"/>
    <n v="44164"/>
    <n v="3.54"/>
    <n v="4"/>
    <n v="2541021670.5599999"/>
  </r>
  <r>
    <x v="9"/>
    <x v="39"/>
    <n v="2025"/>
    <x v="1"/>
    <n v="162822.68"/>
    <n v="70.599999999999994"/>
    <n v="255"/>
    <n v="200"/>
    <s v="Truck"/>
    <n v="5"/>
    <x v="3"/>
    <x v="1"/>
    <n v="48304"/>
    <n v="3.22"/>
    <n v="7"/>
    <n v="7864986734.7199993"/>
  </r>
  <r>
    <x v="4"/>
    <x v="40"/>
    <n v="2025"/>
    <x v="3"/>
    <n v="72972.25"/>
    <n v="58"/>
    <n v="223"/>
    <n v="139"/>
    <s v="SUV"/>
    <n v="5"/>
    <x v="3"/>
    <x v="0"/>
    <n v="23427"/>
    <n v="3.35"/>
    <n v="5"/>
    <n v="1709520900.75"/>
  </r>
  <r>
    <x v="6"/>
    <x v="53"/>
    <n v="2025"/>
    <x v="1"/>
    <n v="97964.98"/>
    <n v="106.9"/>
    <n v="392"/>
    <n v="192"/>
    <s v="Truck"/>
    <n v="4"/>
    <x v="4"/>
    <x v="0"/>
    <n v="98285"/>
    <n v="3.82"/>
    <n v="3"/>
    <n v="9628488059.2999992"/>
  </r>
  <r>
    <x v="7"/>
    <x v="28"/>
    <n v="2025"/>
    <x v="3"/>
    <n v="60229.21"/>
    <n v="40.6"/>
    <n v="150"/>
    <n v="145"/>
    <s v="SUV"/>
    <n v="5"/>
    <x v="3"/>
    <x v="2"/>
    <n v="215577"/>
    <n v="3.2"/>
    <n v="4"/>
    <n v="12984032404.17"/>
  </r>
  <r>
    <x v="3"/>
    <x v="37"/>
    <n v="2025"/>
    <x v="4"/>
    <n v="41881.699999999997"/>
    <n v="82.8"/>
    <n v="280"/>
    <n v="138"/>
    <s v="SUV"/>
    <n v="4"/>
    <x v="2"/>
    <x v="2"/>
    <n v="128802"/>
    <n v="3.46"/>
    <n v="3"/>
    <n v="5394446723.3999996"/>
  </r>
  <r>
    <x v="3"/>
    <x v="6"/>
    <n v="2025"/>
    <x v="0"/>
    <n v="90653.56"/>
    <n v="81.3"/>
    <n v="304"/>
    <n v="164"/>
    <s v="Van"/>
    <n v="5"/>
    <x v="2"/>
    <x v="0"/>
    <n v="227338"/>
    <n v="3.64"/>
    <n v="4"/>
    <n v="20608999023.279999"/>
  </r>
  <r>
    <x v="3"/>
    <x v="8"/>
    <n v="2025"/>
    <x v="0"/>
    <n v="27390.16"/>
    <n v="86"/>
    <n v="278"/>
    <n v="187"/>
    <s v="Coupe"/>
    <n v="4"/>
    <x v="2"/>
    <x v="3"/>
    <n v="146828"/>
    <n v="3.67"/>
    <n v="4"/>
    <n v="4021642412.48"/>
  </r>
  <r>
    <x v="6"/>
    <x v="9"/>
    <n v="2025"/>
    <x v="0"/>
    <n v="94028.85"/>
    <n v="102.7"/>
    <n v="334"/>
    <n v="194"/>
    <s v="SUV"/>
    <n v="4"/>
    <x v="4"/>
    <x v="0"/>
    <n v="71912"/>
    <n v="3.59"/>
    <n v="3"/>
    <n v="6761802661.2000008"/>
  </r>
  <r>
    <x v="12"/>
    <x v="45"/>
    <n v="2025"/>
    <x v="4"/>
    <n v="59620.99"/>
    <n v="44.8"/>
    <n v="150"/>
    <n v="142"/>
    <s v="Coupe"/>
    <n v="5"/>
    <x v="1"/>
    <x v="2"/>
    <n v="21979"/>
    <n v="3.27"/>
    <n v="4"/>
    <n v="1310409739.21"/>
  </r>
  <r>
    <x v="7"/>
    <x v="28"/>
    <n v="2025"/>
    <x v="1"/>
    <n v="78713.929999999993"/>
    <n v="85.5"/>
    <n v="300"/>
    <n v="200"/>
    <s v="Truck"/>
    <n v="4"/>
    <x v="3"/>
    <x v="0"/>
    <n v="216549"/>
    <n v="3.66"/>
    <n v="4"/>
    <n v="17045422827.569998"/>
  </r>
  <r>
    <x v="0"/>
    <x v="47"/>
    <n v="2025"/>
    <x v="1"/>
    <n v="62345.64"/>
    <n v="105.4"/>
    <n v="377"/>
    <n v="200"/>
    <s v="Truck"/>
    <n v="5"/>
    <x v="0"/>
    <x v="2"/>
    <n v="15819"/>
    <n v="4.18"/>
    <n v="3"/>
    <n v="986245679.15999997"/>
  </r>
  <r>
    <x v="6"/>
    <x v="50"/>
    <n v="2025"/>
    <x v="0"/>
    <n v="40497.64"/>
    <n v="109"/>
    <n v="417"/>
    <n v="177"/>
    <s v="SUV"/>
    <n v="3"/>
    <x v="4"/>
    <x v="2"/>
    <n v="61921"/>
    <n v="3.92"/>
    <n v="3"/>
    <n v="2507654366.4400001"/>
  </r>
  <r>
    <x v="2"/>
    <x v="2"/>
    <n v="2025"/>
    <x v="3"/>
    <n v="67489.81"/>
    <n v="67.099999999999994"/>
    <n v="239"/>
    <n v="146"/>
    <s v="Coupe"/>
    <n v="4"/>
    <x v="1"/>
    <x v="0"/>
    <n v="226745"/>
    <n v="3.61"/>
    <n v="5"/>
    <n v="15302976968.449999"/>
  </r>
  <r>
    <x v="5"/>
    <x v="15"/>
    <n v="2025"/>
    <x v="1"/>
    <n v="99993.15"/>
    <n v="93.7"/>
    <n v="336"/>
    <n v="196"/>
    <s v="SUV"/>
    <n v="4"/>
    <x v="4"/>
    <x v="0"/>
    <n v="52100"/>
    <n v="3.59"/>
    <n v="3"/>
    <n v="5209643115"/>
  </r>
  <r>
    <x v="6"/>
    <x v="53"/>
    <n v="2025"/>
    <x v="2"/>
    <n v="51159.74"/>
    <n v="75.599999999999994"/>
    <n v="278"/>
    <n v="153"/>
    <s v="Van"/>
    <n v="5"/>
    <x v="4"/>
    <x v="2"/>
    <n v="89226"/>
    <n v="3.67"/>
    <n v="4"/>
    <n v="4564778961.2399998"/>
  </r>
  <r>
    <x v="12"/>
    <x v="52"/>
    <n v="2025"/>
    <x v="3"/>
    <n v="46970.49"/>
    <n v="53.9"/>
    <n v="191"/>
    <n v="174"/>
    <s v="SUV"/>
    <n v="4"/>
    <x v="1"/>
    <x v="2"/>
    <n v="6914"/>
    <n v="3.21"/>
    <n v="4"/>
    <n v="324753967.86000001"/>
  </r>
  <r>
    <x v="7"/>
    <x v="28"/>
    <n v="2025"/>
    <x v="0"/>
    <n v="93619.57"/>
    <n v="83.5"/>
    <n v="289"/>
    <n v="172"/>
    <s v="Sedan"/>
    <n v="5"/>
    <x v="3"/>
    <x v="0"/>
    <n v="222583"/>
    <n v="3.38"/>
    <n v="3"/>
    <n v="20838124749.310001"/>
  </r>
  <r>
    <x v="9"/>
    <x v="38"/>
    <n v="2025"/>
    <x v="0"/>
    <n v="124852.49"/>
    <n v="85.3"/>
    <n v="324"/>
    <n v="158"/>
    <s v="Sedan"/>
    <n v="3"/>
    <x v="3"/>
    <x v="1"/>
    <n v="51096"/>
    <n v="3.39"/>
    <n v="7"/>
    <n v="6379462829.04"/>
  </r>
  <r>
    <x v="9"/>
    <x v="16"/>
    <n v="2025"/>
    <x v="3"/>
    <n v="97046.62"/>
    <n v="60"/>
    <n v="209"/>
    <n v="131"/>
    <s v="Hatchback"/>
    <n v="5"/>
    <x v="3"/>
    <x v="0"/>
    <n v="66065"/>
    <n v="3.41"/>
    <n v="5"/>
    <n v="6411384950.2999992"/>
  </r>
  <r>
    <x v="6"/>
    <x v="50"/>
    <n v="2025"/>
    <x v="0"/>
    <n v="43168.2"/>
    <n v="97.5"/>
    <n v="334"/>
    <n v="179"/>
    <s v="Van"/>
    <n v="4"/>
    <x v="4"/>
    <x v="2"/>
    <n v="84174"/>
    <n v="3.27"/>
    <n v="3"/>
    <n v="3633640066.7999997"/>
  </r>
  <r>
    <x v="7"/>
    <x v="24"/>
    <n v="2025"/>
    <x v="4"/>
    <n v="67323.210000000006"/>
    <n v="57.6"/>
    <n v="187"/>
    <n v="172"/>
    <s v="Van"/>
    <n v="5"/>
    <x v="3"/>
    <x v="0"/>
    <n v="295974"/>
    <n v="3.47"/>
    <n v="5"/>
    <n v="19925919756.540001"/>
  </r>
  <r>
    <x v="14"/>
    <x v="72"/>
    <n v="2025"/>
    <x v="0"/>
    <n v="108463.22"/>
    <n v="80"/>
    <n v="263"/>
    <n v="200"/>
    <s v="SUV"/>
    <n v="3"/>
    <x v="2"/>
    <x v="1"/>
    <n v="18130"/>
    <n v="3.2"/>
    <n v="4"/>
    <n v="1966438178.5999999"/>
  </r>
  <r>
    <x v="2"/>
    <x v="35"/>
    <n v="2025"/>
    <x v="2"/>
    <n v="71274.600000000006"/>
    <n v="49.2"/>
    <n v="150"/>
    <n v="160"/>
    <s v="Van"/>
    <n v="5"/>
    <x v="1"/>
    <x v="0"/>
    <n v="132658"/>
    <n v="3.6"/>
    <n v="4"/>
    <n v="9455145886.8000011"/>
  </r>
  <r>
    <x v="2"/>
    <x v="17"/>
    <n v="2025"/>
    <x v="3"/>
    <n v="132101.43"/>
    <n v="47.9"/>
    <n v="150"/>
    <n v="144"/>
    <s v="SUV"/>
    <n v="5"/>
    <x v="1"/>
    <x v="1"/>
    <n v="220080"/>
    <n v="3.43"/>
    <n v="6"/>
    <n v="29072882714.399998"/>
  </r>
  <r>
    <x v="9"/>
    <x v="16"/>
    <n v="2025"/>
    <x v="4"/>
    <n v="71335.77"/>
    <n v="45.4"/>
    <n v="168"/>
    <n v="143"/>
    <s v="Hatchback"/>
    <n v="4"/>
    <x v="3"/>
    <x v="0"/>
    <n v="26069"/>
    <n v="3.19"/>
    <n v="7"/>
    <n v="1859652188.1300001"/>
  </r>
  <r>
    <x v="3"/>
    <x v="8"/>
    <n v="2025"/>
    <x v="2"/>
    <n v="62107.839999999997"/>
    <n v="82.5"/>
    <n v="291"/>
    <n v="142"/>
    <s v="Truck"/>
    <n v="4"/>
    <x v="2"/>
    <x v="2"/>
    <n v="129397"/>
    <n v="3.55"/>
    <n v="5"/>
    <n v="8036568172.4799995"/>
  </r>
  <r>
    <x v="4"/>
    <x v="32"/>
    <n v="2025"/>
    <x v="0"/>
    <n v="70111.179999999993"/>
    <n v="75.599999999999994"/>
    <n v="262"/>
    <n v="166"/>
    <s v="Coupe"/>
    <n v="3"/>
    <x v="3"/>
    <x v="0"/>
    <n v="79614"/>
    <n v="3.53"/>
    <n v="5"/>
    <n v="5581831484.5199995"/>
  </r>
  <r>
    <x v="4"/>
    <x v="4"/>
    <n v="2025"/>
    <x v="4"/>
    <n v="138510.75"/>
    <n v="62.7"/>
    <n v="204"/>
    <n v="133"/>
    <s v="Coupe"/>
    <n v="4"/>
    <x v="3"/>
    <x v="1"/>
    <n v="58972"/>
    <n v="3.24"/>
    <n v="6"/>
    <n v="8168255949"/>
  </r>
  <r>
    <x v="4"/>
    <x v="32"/>
    <n v="2025"/>
    <x v="2"/>
    <n v="104530.78"/>
    <n v="61.3"/>
    <n v="194"/>
    <n v="135"/>
    <s v="SUV"/>
    <n v="5"/>
    <x v="3"/>
    <x v="1"/>
    <n v="52472"/>
    <n v="3.51"/>
    <n v="8"/>
    <n v="5484939088.1599998"/>
  </r>
  <r>
    <x v="4"/>
    <x v="4"/>
    <n v="2025"/>
    <x v="0"/>
    <n v="97248.51"/>
    <n v="90.6"/>
    <n v="304"/>
    <n v="168"/>
    <s v="Van"/>
    <n v="5"/>
    <x v="3"/>
    <x v="0"/>
    <n v="46587"/>
    <n v="3.19"/>
    <n v="6"/>
    <n v="4530516335.3699999"/>
  </r>
  <r>
    <x v="9"/>
    <x v="38"/>
    <n v="2025"/>
    <x v="3"/>
    <n v="55554.9"/>
    <n v="41.7"/>
    <n v="151"/>
    <n v="173"/>
    <s v="Van"/>
    <n v="5"/>
    <x v="3"/>
    <x v="2"/>
    <n v="69514"/>
    <n v="3.1"/>
    <n v="8"/>
    <n v="3861843318.5999999"/>
  </r>
  <r>
    <x v="2"/>
    <x v="5"/>
    <n v="2025"/>
    <x v="2"/>
    <n v="42292.45"/>
    <n v="67.3"/>
    <n v="240"/>
    <n v="159"/>
    <s v="Truck"/>
    <n v="4"/>
    <x v="1"/>
    <x v="2"/>
    <n v="472726"/>
    <n v="3.66"/>
    <n v="5"/>
    <n v="19992740718.699997"/>
  </r>
  <r>
    <x v="5"/>
    <x v="22"/>
    <n v="2025"/>
    <x v="3"/>
    <n v="77483.58"/>
    <n v="46.2"/>
    <n v="176"/>
    <n v="133"/>
    <s v="SUV"/>
    <n v="3"/>
    <x v="4"/>
    <x v="0"/>
    <n v="116585"/>
    <n v="3.02"/>
    <n v="4"/>
    <n v="9033423174.3000011"/>
  </r>
  <r>
    <x v="2"/>
    <x v="35"/>
    <n v="2025"/>
    <x v="4"/>
    <n v="112066.22"/>
    <n v="43.2"/>
    <n v="167"/>
    <n v="134"/>
    <s v="Van"/>
    <n v="4"/>
    <x v="1"/>
    <x v="1"/>
    <n v="245565"/>
    <n v="3.75"/>
    <n v="4"/>
    <n v="27519541314.299999"/>
  </r>
  <r>
    <x v="3"/>
    <x v="11"/>
    <n v="2025"/>
    <x v="2"/>
    <n v="67469.58"/>
    <n v="57.5"/>
    <n v="191"/>
    <n v="138"/>
    <s v="Hatchback"/>
    <n v="4"/>
    <x v="2"/>
    <x v="0"/>
    <n v="179136"/>
    <n v="3.46"/>
    <n v="4"/>
    <n v="12086230682.880001"/>
  </r>
  <r>
    <x v="3"/>
    <x v="11"/>
    <n v="2025"/>
    <x v="0"/>
    <n v="48990.53"/>
    <n v="99.3"/>
    <n v="357"/>
    <n v="156"/>
    <s v="SUV"/>
    <n v="4"/>
    <x v="2"/>
    <x v="2"/>
    <n v="211809"/>
    <n v="3.67"/>
    <n v="4"/>
    <n v="10376635168.77"/>
  </r>
  <r>
    <x v="13"/>
    <x v="48"/>
    <n v="2025"/>
    <x v="0"/>
    <n v="122338.76"/>
    <n v="85.1"/>
    <n v="270"/>
    <n v="193"/>
    <s v="Hatchback"/>
    <n v="3"/>
    <x v="3"/>
    <x v="1"/>
    <n v="52641"/>
    <n v="4.0599999999999996"/>
    <n v="7"/>
    <n v="6440034665.1599998"/>
  </r>
  <r>
    <x v="3"/>
    <x v="11"/>
    <n v="2025"/>
    <x v="0"/>
    <n v="24414.35"/>
    <n v="86.4"/>
    <n v="281"/>
    <n v="175"/>
    <s v="Sedan"/>
    <n v="5"/>
    <x v="2"/>
    <x v="3"/>
    <n v="228388"/>
    <n v="3.55"/>
    <n v="4"/>
    <n v="5575944567.7999992"/>
  </r>
  <r>
    <x v="7"/>
    <x v="28"/>
    <n v="2025"/>
    <x v="0"/>
    <n v="52579.97"/>
    <n v="94.8"/>
    <n v="325"/>
    <n v="171"/>
    <s v="Hatchback"/>
    <n v="3"/>
    <x v="3"/>
    <x v="2"/>
    <n v="238272"/>
    <n v="3.57"/>
    <n v="4"/>
    <n v="12528334611.84"/>
  </r>
  <r>
    <x v="4"/>
    <x v="61"/>
    <n v="2025"/>
    <x v="2"/>
    <n v="81941.39"/>
    <n v="40.200000000000003"/>
    <n v="150"/>
    <n v="166"/>
    <s v="Coupe"/>
    <n v="5"/>
    <x v="3"/>
    <x v="0"/>
    <n v="77358"/>
    <n v="3"/>
    <n v="7"/>
    <n v="6338822047.6199999"/>
  </r>
  <r>
    <x v="8"/>
    <x v="60"/>
    <n v="2025"/>
    <x v="3"/>
    <n v="56042.09"/>
    <n v="79.5"/>
    <n v="293"/>
    <n v="157"/>
    <s v="SUV"/>
    <n v="3"/>
    <x v="1"/>
    <x v="2"/>
    <n v="69874"/>
    <n v="3.35"/>
    <n v="4"/>
    <n v="3915884996.6599998"/>
  </r>
  <r>
    <x v="6"/>
    <x v="9"/>
    <n v="2025"/>
    <x v="2"/>
    <n v="61128.92"/>
    <n v="46.1"/>
    <n v="180"/>
    <n v="153"/>
    <s v="Van"/>
    <n v="5"/>
    <x v="4"/>
    <x v="2"/>
    <n v="110095"/>
    <n v="3.32"/>
    <n v="3"/>
    <n v="6729988447.3999996"/>
  </r>
  <r>
    <x v="12"/>
    <x v="46"/>
    <n v="2025"/>
    <x v="3"/>
    <n v="32070.17"/>
    <n v="44.1"/>
    <n v="158"/>
    <n v="161"/>
    <s v="SUV"/>
    <n v="4"/>
    <x v="1"/>
    <x v="3"/>
    <n v="1331"/>
    <n v="3.29"/>
    <n v="3"/>
    <n v="42685396.269999996"/>
  </r>
  <r>
    <x v="9"/>
    <x v="16"/>
    <n v="2025"/>
    <x v="1"/>
    <n v="132666.57999999999"/>
    <n v="82"/>
    <n v="299"/>
    <n v="194"/>
    <s v="Van"/>
    <n v="5"/>
    <x v="3"/>
    <x v="1"/>
    <n v="71584"/>
    <n v="3.74"/>
    <n v="6"/>
    <n v="9496804462.7199993"/>
  </r>
  <r>
    <x v="3"/>
    <x v="42"/>
    <n v="2025"/>
    <x v="0"/>
    <n v="48600.01"/>
    <n v="81.400000000000006"/>
    <n v="288"/>
    <n v="167"/>
    <s v="Sedan"/>
    <n v="4"/>
    <x v="2"/>
    <x v="2"/>
    <n v="222634"/>
    <n v="3.67"/>
    <n v="5"/>
    <n v="10820014626.34"/>
  </r>
  <r>
    <x v="2"/>
    <x v="31"/>
    <n v="2025"/>
    <x v="1"/>
    <n v="116077.71"/>
    <n v="118.6"/>
    <n v="428"/>
    <n v="189"/>
    <s v="Truck"/>
    <n v="5"/>
    <x v="1"/>
    <x v="1"/>
    <n v="150657"/>
    <n v="4.24"/>
    <n v="5"/>
    <n v="17487919555.470001"/>
  </r>
  <r>
    <x v="5"/>
    <x v="22"/>
    <n v="2025"/>
    <x v="0"/>
    <n v="56772.77"/>
    <n v="100.2"/>
    <n v="356"/>
    <n v="167"/>
    <s v="SUV"/>
    <n v="4"/>
    <x v="4"/>
    <x v="2"/>
    <n v="99235"/>
    <n v="3.69"/>
    <n v="3"/>
    <n v="5633845830.9499998"/>
  </r>
  <r>
    <x v="14"/>
    <x v="41"/>
    <n v="2025"/>
    <x v="4"/>
    <n v="87478.76"/>
    <n v="48.6"/>
    <n v="172"/>
    <n v="164"/>
    <s v="SUV"/>
    <n v="4"/>
    <x v="2"/>
    <x v="0"/>
    <n v="16505"/>
    <n v="3.43"/>
    <n v="3"/>
    <n v="1443836933.8"/>
  </r>
  <r>
    <x v="12"/>
    <x v="36"/>
    <n v="2025"/>
    <x v="0"/>
    <n v="68470.14"/>
    <n v="87.2"/>
    <n v="293"/>
    <n v="157"/>
    <s v="Van"/>
    <n v="4"/>
    <x v="1"/>
    <x v="0"/>
    <n v="14899"/>
    <n v="3.33"/>
    <n v="4"/>
    <n v="1020136615.86"/>
  </r>
  <r>
    <x v="5"/>
    <x v="22"/>
    <n v="2025"/>
    <x v="4"/>
    <n v="89987.27"/>
    <n v="70.400000000000006"/>
    <n v="245"/>
    <n v="174"/>
    <s v="SUV"/>
    <n v="4"/>
    <x v="4"/>
    <x v="0"/>
    <n v="123485"/>
    <n v="3.47"/>
    <n v="4"/>
    <n v="11112078035.950001"/>
  </r>
  <r>
    <x v="17"/>
    <x v="58"/>
    <n v="2025"/>
    <x v="1"/>
    <n v="106316.66"/>
    <n v="104.3"/>
    <n v="367"/>
    <n v="193"/>
    <s v="Van"/>
    <n v="5"/>
    <x v="5"/>
    <x v="1"/>
    <n v="8684"/>
    <n v="3.86"/>
    <n v="4"/>
    <n v="923253875.44000006"/>
  </r>
  <r>
    <x v="2"/>
    <x v="5"/>
    <n v="2025"/>
    <x v="4"/>
    <n v="83799.48"/>
    <n v="74.599999999999994"/>
    <n v="276"/>
    <n v="153"/>
    <s v="Truck"/>
    <n v="5"/>
    <x v="1"/>
    <x v="0"/>
    <n v="427228"/>
    <n v="4.1500000000000004"/>
    <n v="4"/>
    <n v="35801484241.439995"/>
  </r>
  <r>
    <x v="12"/>
    <x v="46"/>
    <n v="2025"/>
    <x v="1"/>
    <n v="101369.89"/>
    <n v="89.3"/>
    <n v="325"/>
    <n v="195"/>
    <s v="SUV"/>
    <n v="3"/>
    <x v="1"/>
    <x v="1"/>
    <n v="27681"/>
    <n v="3.35"/>
    <n v="3"/>
    <n v="2806019925.0900002"/>
  </r>
  <r>
    <x v="12"/>
    <x v="52"/>
    <n v="2025"/>
    <x v="2"/>
    <n v="61000.06"/>
    <n v="63.4"/>
    <n v="250"/>
    <n v="151"/>
    <s v="Truck"/>
    <n v="4"/>
    <x v="1"/>
    <x v="2"/>
    <n v="3536"/>
    <n v="3.69"/>
    <n v="4"/>
    <n v="215696212.16"/>
  </r>
  <r>
    <x v="12"/>
    <x v="29"/>
    <n v="2025"/>
    <x v="4"/>
    <n v="56307.41"/>
    <n v="55"/>
    <n v="193"/>
    <n v="155"/>
    <s v="Sedan"/>
    <n v="4"/>
    <x v="1"/>
    <x v="2"/>
    <n v="25746"/>
    <n v="3.34"/>
    <n v="4"/>
    <n v="1449690577.8600001"/>
  </r>
  <r>
    <x v="8"/>
    <x v="34"/>
    <n v="2025"/>
    <x v="0"/>
    <n v="92751.53"/>
    <n v="76.2"/>
    <n v="247"/>
    <n v="178"/>
    <s v="Truck"/>
    <n v="4"/>
    <x v="1"/>
    <x v="0"/>
    <n v="70352"/>
    <n v="3.3"/>
    <n v="3"/>
    <n v="6525255638.5599995"/>
  </r>
  <r>
    <x v="6"/>
    <x v="63"/>
    <n v="2025"/>
    <x v="0"/>
    <n v="37714.46"/>
    <n v="105.8"/>
    <n v="359"/>
    <n v="170"/>
    <s v="Truck"/>
    <n v="4"/>
    <x v="4"/>
    <x v="2"/>
    <n v="77052"/>
    <n v="3.86"/>
    <n v="5"/>
    <n v="2905974571.9200001"/>
  </r>
  <r>
    <x v="9"/>
    <x v="19"/>
    <n v="2025"/>
    <x v="4"/>
    <n v="150512.16"/>
    <n v="44.6"/>
    <n v="150"/>
    <n v="170"/>
    <s v="Hatchback"/>
    <n v="4"/>
    <x v="3"/>
    <x v="1"/>
    <n v="47379"/>
    <n v="3.31"/>
    <n v="8"/>
    <n v="7131115628.6400003"/>
  </r>
  <r>
    <x v="8"/>
    <x v="12"/>
    <n v="2025"/>
    <x v="0"/>
    <n v="66474.899999999994"/>
    <n v="78.5"/>
    <n v="273"/>
    <n v="168"/>
    <s v="Truck"/>
    <n v="4"/>
    <x v="1"/>
    <x v="0"/>
    <n v="43803"/>
    <n v="3.47"/>
    <n v="5"/>
    <n v="2911800044.6999998"/>
  </r>
  <r>
    <x v="3"/>
    <x v="8"/>
    <n v="2025"/>
    <x v="2"/>
    <n v="42876.18"/>
    <n v="78.3"/>
    <n v="263"/>
    <n v="161"/>
    <s v="SUV"/>
    <n v="5"/>
    <x v="2"/>
    <x v="2"/>
    <n v="158327"/>
    <n v="3.29"/>
    <n v="3"/>
    <n v="6788456950.8599997"/>
  </r>
  <r>
    <x v="5"/>
    <x v="23"/>
    <n v="2025"/>
    <x v="1"/>
    <n v="117331.76"/>
    <n v="116.3"/>
    <n v="411"/>
    <n v="200"/>
    <s v="Coupe"/>
    <n v="4"/>
    <x v="4"/>
    <x v="1"/>
    <n v="108933"/>
    <n v="3.59"/>
    <n v="4"/>
    <n v="12781300612.08"/>
  </r>
  <r>
    <x v="5"/>
    <x v="23"/>
    <n v="2025"/>
    <x v="2"/>
    <n v="74609.83"/>
    <n v="44.7"/>
    <n v="153"/>
    <n v="165"/>
    <s v="Truck"/>
    <n v="5"/>
    <x v="4"/>
    <x v="0"/>
    <n v="84247"/>
    <n v="3.42"/>
    <n v="3"/>
    <n v="6285654348.0100002"/>
  </r>
  <r>
    <x v="2"/>
    <x v="31"/>
    <n v="2025"/>
    <x v="2"/>
    <n v="87113.04"/>
    <n v="47.4"/>
    <n v="150"/>
    <n v="176"/>
    <s v="Truck"/>
    <n v="4"/>
    <x v="1"/>
    <x v="0"/>
    <n v="217680"/>
    <n v="3.55"/>
    <n v="4"/>
    <n v="18962766547.199997"/>
  </r>
  <r>
    <x v="2"/>
    <x v="31"/>
    <n v="2025"/>
    <x v="1"/>
    <n v="166572.78"/>
    <n v="117.8"/>
    <n v="398"/>
    <n v="200"/>
    <s v="Truck"/>
    <n v="5"/>
    <x v="1"/>
    <x v="1"/>
    <n v="229037"/>
    <n v="4.3499999999999996"/>
    <n v="6"/>
    <n v="38151329812.860001"/>
  </r>
  <r>
    <x v="8"/>
    <x v="21"/>
    <n v="2025"/>
    <x v="3"/>
    <n v="49970.16"/>
    <n v="77.5"/>
    <n v="267"/>
    <n v="181"/>
    <s v="Truck"/>
    <n v="4"/>
    <x v="1"/>
    <x v="2"/>
    <n v="35218"/>
    <n v="3.57"/>
    <n v="3"/>
    <n v="1759849094.8800001"/>
  </r>
  <r>
    <x v="9"/>
    <x v="55"/>
    <n v="2025"/>
    <x v="2"/>
    <n v="85729.44"/>
    <n v="59.9"/>
    <n v="191"/>
    <n v="168"/>
    <s v="Truck"/>
    <n v="5"/>
    <x v="3"/>
    <x v="0"/>
    <n v="29338"/>
    <n v="3.48"/>
    <n v="6"/>
    <n v="2515130310.7200003"/>
  </r>
  <r>
    <x v="12"/>
    <x v="52"/>
    <n v="2025"/>
    <x v="4"/>
    <n v="80896.009999999995"/>
    <n v="64.400000000000006"/>
    <n v="194"/>
    <n v="148"/>
    <s v="Hatchback"/>
    <n v="4"/>
    <x v="1"/>
    <x v="0"/>
    <n v="11404"/>
    <n v="3.35"/>
    <n v="4"/>
    <n v="922538098.03999996"/>
  </r>
  <r>
    <x v="7"/>
    <x v="28"/>
    <n v="2025"/>
    <x v="0"/>
    <n v="66045.149999999994"/>
    <n v="82.5"/>
    <n v="269"/>
    <n v="163"/>
    <s v="Hatchback"/>
    <n v="4"/>
    <x v="3"/>
    <x v="0"/>
    <n v="228215"/>
    <n v="3.37"/>
    <n v="3"/>
    <n v="15072493907.249998"/>
  </r>
  <r>
    <x v="12"/>
    <x v="52"/>
    <n v="2025"/>
    <x v="3"/>
    <n v="70614.100000000006"/>
    <n v="41.9"/>
    <n v="187"/>
    <n v="173"/>
    <s v="Hatchback"/>
    <n v="4"/>
    <x v="1"/>
    <x v="0"/>
    <n v="27643"/>
    <n v="3.38"/>
    <n v="4"/>
    <n v="1951985566.3000002"/>
  </r>
  <r>
    <x v="7"/>
    <x v="24"/>
    <n v="2025"/>
    <x v="1"/>
    <n v="80549.5"/>
    <n v="119.7"/>
    <n v="447"/>
    <n v="192"/>
    <s v="Truck"/>
    <n v="5"/>
    <x v="3"/>
    <x v="0"/>
    <n v="291709"/>
    <n v="3.7"/>
    <n v="3"/>
    <n v="23497014095.5"/>
  </r>
  <r>
    <x v="5"/>
    <x v="13"/>
    <n v="2025"/>
    <x v="2"/>
    <n v="41416.019999999997"/>
    <n v="60.8"/>
    <n v="228"/>
    <n v="160"/>
    <s v="Hatchback"/>
    <n v="5"/>
    <x v="4"/>
    <x v="2"/>
    <n v="137512"/>
    <n v="3.35"/>
    <n v="3"/>
    <n v="5695199742.2399998"/>
  </r>
  <r>
    <x v="9"/>
    <x v="39"/>
    <n v="2025"/>
    <x v="1"/>
    <n v="97630.54"/>
    <n v="108"/>
    <n v="374"/>
    <n v="200"/>
    <s v="Truck"/>
    <n v="4"/>
    <x v="3"/>
    <x v="0"/>
    <n v="50895"/>
    <n v="3.63"/>
    <n v="5"/>
    <n v="4968906333.2999992"/>
  </r>
  <r>
    <x v="0"/>
    <x v="47"/>
    <n v="2025"/>
    <x v="0"/>
    <n v="77617.509999999995"/>
    <n v="84.5"/>
    <n v="295"/>
    <n v="180"/>
    <s v="Coupe"/>
    <n v="5"/>
    <x v="0"/>
    <x v="0"/>
    <n v="15856"/>
    <n v="3.46"/>
    <n v="4"/>
    <n v="1230703238.5599999"/>
  </r>
  <r>
    <x v="12"/>
    <x v="45"/>
    <n v="2025"/>
    <x v="1"/>
    <n v="53614.17"/>
    <n v="77.3"/>
    <n v="266"/>
    <n v="192"/>
    <s v="Truck"/>
    <n v="5"/>
    <x v="1"/>
    <x v="2"/>
    <n v="7236"/>
    <n v="3.24"/>
    <n v="3"/>
    <n v="387952134.12"/>
  </r>
  <r>
    <x v="5"/>
    <x v="22"/>
    <n v="2025"/>
    <x v="4"/>
    <n v="62151.7"/>
    <n v="74"/>
    <n v="246"/>
    <n v="129"/>
    <s v="SUV"/>
    <n v="5"/>
    <x v="4"/>
    <x v="2"/>
    <n v="58624"/>
    <n v="3.74"/>
    <n v="5"/>
    <n v="3643581260.7999997"/>
  </r>
  <r>
    <x v="7"/>
    <x v="28"/>
    <n v="2025"/>
    <x v="1"/>
    <n v="57462.19"/>
    <n v="76.2"/>
    <n v="259"/>
    <n v="183"/>
    <s v="Hatchback"/>
    <n v="4"/>
    <x v="3"/>
    <x v="2"/>
    <n v="298599"/>
    <n v="3.42"/>
    <n v="5"/>
    <n v="17158152471.810001"/>
  </r>
  <r>
    <x v="7"/>
    <x v="27"/>
    <n v="2025"/>
    <x v="1"/>
    <n v="88158.61"/>
    <n v="99.8"/>
    <n v="333"/>
    <n v="200"/>
    <s v="Hatchback"/>
    <n v="5"/>
    <x v="3"/>
    <x v="0"/>
    <n v="265949"/>
    <n v="3.68"/>
    <n v="4"/>
    <n v="23445694170.889999"/>
  </r>
  <r>
    <x v="2"/>
    <x v="31"/>
    <n v="2025"/>
    <x v="2"/>
    <n v="29689.54"/>
    <n v="58.1"/>
    <n v="216"/>
    <n v="170"/>
    <s v="Truck"/>
    <n v="5"/>
    <x v="1"/>
    <x v="3"/>
    <n v="210522"/>
    <n v="3.78"/>
    <n v="5"/>
    <n v="6250301339.8800001"/>
  </r>
  <r>
    <x v="2"/>
    <x v="2"/>
    <n v="2025"/>
    <x v="0"/>
    <n v="129183.24"/>
    <n v="87.9"/>
    <n v="337"/>
    <n v="169"/>
    <s v="Hatchback"/>
    <n v="5"/>
    <x v="1"/>
    <x v="1"/>
    <n v="207546"/>
    <n v="3.74"/>
    <n v="6"/>
    <n v="26811464729.040001"/>
  </r>
  <r>
    <x v="2"/>
    <x v="31"/>
    <n v="2025"/>
    <x v="0"/>
    <n v="132226.95000000001"/>
    <n v="87.5"/>
    <n v="319"/>
    <n v="176"/>
    <s v="Truck"/>
    <n v="5"/>
    <x v="1"/>
    <x v="1"/>
    <n v="133735"/>
    <n v="3.85"/>
    <n v="4"/>
    <n v="17683371158.25"/>
  </r>
  <r>
    <x v="2"/>
    <x v="2"/>
    <n v="2025"/>
    <x v="4"/>
    <n v="162032.44"/>
    <n v="61.2"/>
    <n v="193"/>
    <n v="132"/>
    <s v="Sedan"/>
    <n v="5"/>
    <x v="1"/>
    <x v="1"/>
    <n v="210253"/>
    <n v="3.9"/>
    <n v="4"/>
    <n v="34067806607.32"/>
  </r>
  <r>
    <x v="6"/>
    <x v="50"/>
    <n v="2025"/>
    <x v="4"/>
    <n v="51036.86"/>
    <n v="52.8"/>
    <n v="234"/>
    <n v="142"/>
    <s v="Coupe"/>
    <n v="5"/>
    <x v="4"/>
    <x v="2"/>
    <n v="55671"/>
    <n v="3.38"/>
    <n v="3"/>
    <n v="2841273033.0599999"/>
  </r>
  <r>
    <x v="2"/>
    <x v="2"/>
    <n v="2025"/>
    <x v="2"/>
    <n v="54018.19"/>
    <n v="40.6"/>
    <n v="150"/>
    <n v="145"/>
    <s v="Coupe"/>
    <n v="4"/>
    <x v="1"/>
    <x v="2"/>
    <n v="101221"/>
    <n v="3.6"/>
    <n v="4"/>
    <n v="5467775209.9899998"/>
  </r>
  <r>
    <x v="7"/>
    <x v="44"/>
    <n v="2025"/>
    <x v="2"/>
    <n v="78662.149999999994"/>
    <n v="41.4"/>
    <n v="150"/>
    <n v="134"/>
    <s v="Van"/>
    <n v="4"/>
    <x v="3"/>
    <x v="0"/>
    <n v="237990"/>
    <n v="3.28"/>
    <n v="4"/>
    <n v="18720805078.5"/>
  </r>
  <r>
    <x v="5"/>
    <x v="22"/>
    <n v="2025"/>
    <x v="4"/>
    <n v="103512.45"/>
    <n v="63"/>
    <n v="213"/>
    <n v="124"/>
    <s v="SUV"/>
    <n v="5"/>
    <x v="4"/>
    <x v="1"/>
    <n v="50563"/>
    <n v="3.44"/>
    <n v="3"/>
    <n v="5233900009.3499994"/>
  </r>
  <r>
    <x v="6"/>
    <x v="63"/>
    <n v="2025"/>
    <x v="3"/>
    <n v="39399.56"/>
    <n v="70.900000000000006"/>
    <n v="268"/>
    <n v="159"/>
    <s v="SUV"/>
    <n v="4"/>
    <x v="4"/>
    <x v="2"/>
    <n v="101021"/>
    <n v="3.33"/>
    <n v="3"/>
    <n v="3980182950.7599998"/>
  </r>
  <r>
    <x v="9"/>
    <x v="19"/>
    <n v="2025"/>
    <x v="1"/>
    <n v="113646.11"/>
    <n v="73.599999999999994"/>
    <n v="279"/>
    <n v="199"/>
    <s v="Truck"/>
    <n v="5"/>
    <x v="3"/>
    <x v="1"/>
    <n v="68048"/>
    <n v="3.7"/>
    <n v="8"/>
    <n v="7733390493.2799997"/>
  </r>
  <r>
    <x v="2"/>
    <x v="17"/>
    <n v="2025"/>
    <x v="2"/>
    <n v="42979.12"/>
    <n v="62.8"/>
    <n v="229"/>
    <n v="133"/>
    <s v="SUV"/>
    <n v="4"/>
    <x v="1"/>
    <x v="2"/>
    <n v="207769"/>
    <n v="3.71"/>
    <n v="5"/>
    <n v="8929728783.2800007"/>
  </r>
  <r>
    <x v="7"/>
    <x v="44"/>
    <n v="2025"/>
    <x v="1"/>
    <n v="97402.81"/>
    <n v="71.7"/>
    <n v="258"/>
    <n v="200"/>
    <s v="Truck"/>
    <n v="4"/>
    <x v="3"/>
    <x v="0"/>
    <n v="255988"/>
    <n v="3.58"/>
    <n v="4"/>
    <n v="24933950526.279999"/>
  </r>
  <r>
    <x v="9"/>
    <x v="19"/>
    <n v="2025"/>
    <x v="3"/>
    <n v="85706.08"/>
    <n v="45.1"/>
    <n v="150"/>
    <n v="135"/>
    <s v="Hatchback"/>
    <n v="4"/>
    <x v="3"/>
    <x v="0"/>
    <n v="78799"/>
    <n v="3.26"/>
    <n v="8"/>
    <n v="6753553397.9200001"/>
  </r>
  <r>
    <x v="7"/>
    <x v="27"/>
    <n v="2025"/>
    <x v="1"/>
    <n v="58313.43"/>
    <n v="71.5"/>
    <n v="260"/>
    <n v="193"/>
    <s v="Truck"/>
    <n v="3"/>
    <x v="3"/>
    <x v="2"/>
    <n v="263694"/>
    <n v="3.21"/>
    <n v="3"/>
    <n v="15376901610.42"/>
  </r>
  <r>
    <x v="4"/>
    <x v="40"/>
    <n v="2025"/>
    <x v="3"/>
    <n v="91038.75"/>
    <n v="55.9"/>
    <n v="192"/>
    <n v="149"/>
    <s v="Truck"/>
    <n v="5"/>
    <x v="3"/>
    <x v="0"/>
    <n v="26577"/>
    <n v="3.76"/>
    <n v="7"/>
    <n v="2419536858.75"/>
  </r>
  <r>
    <x v="2"/>
    <x v="17"/>
    <n v="2025"/>
    <x v="2"/>
    <n v="69626.259999999995"/>
    <n v="76.8"/>
    <n v="249"/>
    <n v="158"/>
    <s v="Sedan"/>
    <n v="5"/>
    <x v="1"/>
    <x v="0"/>
    <n v="189686"/>
    <n v="3.74"/>
    <n v="5"/>
    <n v="13207126754.359999"/>
  </r>
  <r>
    <x v="9"/>
    <x v="19"/>
    <n v="2025"/>
    <x v="2"/>
    <n v="66273.55"/>
    <n v="72.400000000000006"/>
    <n v="246"/>
    <n v="154"/>
    <s v="Truck"/>
    <n v="5"/>
    <x v="3"/>
    <x v="0"/>
    <n v="30088"/>
    <n v="3.19"/>
    <n v="8"/>
    <n v="1994038572.4000001"/>
  </r>
  <r>
    <x v="13"/>
    <x v="48"/>
    <n v="2025"/>
    <x v="2"/>
    <n v="127213.62"/>
    <n v="61.6"/>
    <n v="214"/>
    <n v="146"/>
    <s v="Sedan"/>
    <n v="4"/>
    <x v="3"/>
    <x v="1"/>
    <n v="74928"/>
    <n v="3.82"/>
    <n v="5"/>
    <n v="9531862119.3599987"/>
  </r>
  <r>
    <x v="2"/>
    <x v="2"/>
    <n v="2025"/>
    <x v="0"/>
    <n v="137829.03"/>
    <n v="95.3"/>
    <n v="323"/>
    <n v="187"/>
    <s v="Van"/>
    <n v="3"/>
    <x v="1"/>
    <x v="1"/>
    <n v="239713"/>
    <n v="3.88"/>
    <n v="5"/>
    <n v="33039410268.389999"/>
  </r>
  <r>
    <x v="12"/>
    <x v="29"/>
    <n v="2025"/>
    <x v="3"/>
    <n v="70239.009999999995"/>
    <n v="40.5"/>
    <n v="150"/>
    <n v="184"/>
    <s v="Van"/>
    <n v="5"/>
    <x v="1"/>
    <x v="0"/>
    <n v="23483"/>
    <n v="3.13"/>
    <n v="4"/>
    <n v="1649422671.8299999"/>
  </r>
  <r>
    <x v="12"/>
    <x v="52"/>
    <n v="2025"/>
    <x v="0"/>
    <n v="44798.27"/>
    <n v="109.1"/>
    <n v="375"/>
    <n v="168"/>
    <s v="Hatchback"/>
    <n v="4"/>
    <x v="1"/>
    <x v="2"/>
    <n v="19461"/>
    <n v="3.6"/>
    <n v="4"/>
    <n v="871819132.46999991"/>
  </r>
  <r>
    <x v="17"/>
    <x v="58"/>
    <n v="2025"/>
    <x v="3"/>
    <n v="55877.09"/>
    <n v="51.9"/>
    <n v="192"/>
    <n v="166"/>
    <s v="Van"/>
    <n v="5"/>
    <x v="5"/>
    <x v="2"/>
    <n v="15994"/>
    <n v="3.31"/>
    <n v="5"/>
    <n v="893698177.45999992"/>
  </r>
  <r>
    <x v="3"/>
    <x v="8"/>
    <n v="2025"/>
    <x v="3"/>
    <n v="22600.22"/>
    <n v="66.900000000000006"/>
    <n v="206"/>
    <n v="146"/>
    <s v="Hatchback"/>
    <n v="5"/>
    <x v="2"/>
    <x v="3"/>
    <n v="131689"/>
    <n v="3.16"/>
    <n v="4"/>
    <n v="2976200371.5799999"/>
  </r>
  <r>
    <x v="12"/>
    <x v="52"/>
    <n v="2025"/>
    <x v="3"/>
    <n v="35979.300000000003"/>
    <n v="56.1"/>
    <n v="209"/>
    <n v="124"/>
    <s v="SUV"/>
    <n v="4"/>
    <x v="1"/>
    <x v="2"/>
    <n v="25503"/>
    <n v="3.61"/>
    <n v="4"/>
    <n v="917580087.9000001"/>
  </r>
  <r>
    <x v="12"/>
    <x v="46"/>
    <n v="2025"/>
    <x v="1"/>
    <n v="57051.32"/>
    <n v="98.6"/>
    <n v="344"/>
    <n v="200"/>
    <s v="SUV"/>
    <n v="4"/>
    <x v="1"/>
    <x v="2"/>
    <n v="13660"/>
    <n v="3.69"/>
    <n v="4"/>
    <n v="779321031.20000005"/>
  </r>
  <r>
    <x v="2"/>
    <x v="5"/>
    <n v="2025"/>
    <x v="2"/>
    <n v="109970.08"/>
    <n v="60"/>
    <n v="194"/>
    <n v="165"/>
    <s v="Coupe"/>
    <n v="4"/>
    <x v="1"/>
    <x v="1"/>
    <n v="456748"/>
    <n v="3.5"/>
    <n v="6"/>
    <n v="50228614099.840004"/>
  </r>
  <r>
    <x v="6"/>
    <x v="53"/>
    <n v="2025"/>
    <x v="3"/>
    <n v="65007.57"/>
    <n v="44.2"/>
    <n v="150"/>
    <n v="174"/>
    <s v="Hatchback"/>
    <n v="4"/>
    <x v="4"/>
    <x v="0"/>
    <n v="138781"/>
    <n v="3.03"/>
    <n v="4"/>
    <n v="9021815572.1700001"/>
  </r>
  <r>
    <x v="4"/>
    <x v="40"/>
    <n v="2025"/>
    <x v="2"/>
    <n v="79195.78"/>
    <n v="74.7"/>
    <n v="275"/>
    <n v="162"/>
    <s v="Sedan"/>
    <n v="4"/>
    <x v="3"/>
    <x v="0"/>
    <n v="62967"/>
    <n v="3.57"/>
    <n v="6"/>
    <n v="4986720679.2600002"/>
  </r>
  <r>
    <x v="4"/>
    <x v="40"/>
    <n v="2025"/>
    <x v="2"/>
    <n v="84380.71"/>
    <n v="80"/>
    <n v="275"/>
    <n v="165"/>
    <s v="SUV"/>
    <n v="4"/>
    <x v="3"/>
    <x v="0"/>
    <n v="37226"/>
    <n v="3.53"/>
    <n v="5"/>
    <n v="3141156310.46"/>
  </r>
  <r>
    <x v="2"/>
    <x v="35"/>
    <n v="2025"/>
    <x v="3"/>
    <n v="76635.5"/>
    <n v="45.2"/>
    <n v="150"/>
    <n v="175"/>
    <s v="SUV"/>
    <n v="5"/>
    <x v="1"/>
    <x v="0"/>
    <n v="167458"/>
    <n v="3.59"/>
    <n v="5"/>
    <n v="12833227559"/>
  </r>
  <r>
    <x v="5"/>
    <x v="13"/>
    <n v="2025"/>
    <x v="2"/>
    <n v="41302.85"/>
    <n v="54.4"/>
    <n v="210"/>
    <n v="128"/>
    <s v="Truck"/>
    <n v="5"/>
    <x v="4"/>
    <x v="2"/>
    <n v="124417"/>
    <n v="3.31"/>
    <n v="5"/>
    <n v="5138776688.4499998"/>
  </r>
  <r>
    <x v="3"/>
    <x v="8"/>
    <n v="2025"/>
    <x v="1"/>
    <n v="53327.95"/>
    <n v="101.5"/>
    <n v="344"/>
    <n v="186"/>
    <s v="Sedan"/>
    <n v="4"/>
    <x v="2"/>
    <x v="2"/>
    <n v="120007"/>
    <n v="3.46"/>
    <n v="4"/>
    <n v="6399727295.6499996"/>
  </r>
  <r>
    <x v="12"/>
    <x v="29"/>
    <n v="2025"/>
    <x v="1"/>
    <n v="50051.199999999997"/>
    <n v="92.1"/>
    <n v="286"/>
    <n v="199"/>
    <s v="Sedan"/>
    <n v="5"/>
    <x v="1"/>
    <x v="2"/>
    <n v="17861"/>
    <n v="3.54"/>
    <n v="3"/>
    <n v="893964483.19999993"/>
  </r>
  <r>
    <x v="2"/>
    <x v="31"/>
    <n v="2025"/>
    <x v="2"/>
    <n v="69446.789999999994"/>
    <n v="55.6"/>
    <n v="196"/>
    <n v="155"/>
    <s v="Truck"/>
    <n v="4"/>
    <x v="1"/>
    <x v="0"/>
    <n v="214270"/>
    <n v="3.74"/>
    <n v="5"/>
    <n v="14880363693.299999"/>
  </r>
  <r>
    <x v="7"/>
    <x v="10"/>
    <n v="2025"/>
    <x v="4"/>
    <n v="89383.1"/>
    <n v="57.7"/>
    <n v="217"/>
    <n v="143"/>
    <s v="Truck"/>
    <n v="4"/>
    <x v="3"/>
    <x v="0"/>
    <n v="222817"/>
    <n v="3.39"/>
    <n v="4"/>
    <n v="19916074192.700001"/>
  </r>
  <r>
    <x v="3"/>
    <x v="3"/>
    <n v="2025"/>
    <x v="1"/>
    <n v="92829.9"/>
    <n v="82.3"/>
    <n v="285"/>
    <n v="200"/>
    <s v="SUV"/>
    <n v="5"/>
    <x v="2"/>
    <x v="0"/>
    <n v="235698"/>
    <n v="3.58"/>
    <n v="4"/>
    <n v="21879821770.199997"/>
  </r>
  <r>
    <x v="2"/>
    <x v="31"/>
    <n v="2025"/>
    <x v="4"/>
    <n v="35991.9"/>
    <n v="60.6"/>
    <n v="218"/>
    <n v="151"/>
    <s v="Truck"/>
    <n v="4"/>
    <x v="1"/>
    <x v="2"/>
    <n v="169730"/>
    <n v="3.71"/>
    <n v="6"/>
    <n v="6108905187"/>
  </r>
  <r>
    <x v="2"/>
    <x v="17"/>
    <n v="2025"/>
    <x v="2"/>
    <n v="88596.07"/>
    <n v="45.9"/>
    <n v="179"/>
    <n v="178"/>
    <s v="Van"/>
    <n v="5"/>
    <x v="1"/>
    <x v="0"/>
    <n v="124700"/>
    <n v="3.61"/>
    <n v="5"/>
    <n v="11047929929"/>
  </r>
  <r>
    <x v="2"/>
    <x v="2"/>
    <n v="2025"/>
    <x v="2"/>
    <n v="43016.55"/>
    <n v="44.3"/>
    <n v="159"/>
    <n v="163"/>
    <s v="SUV"/>
    <n v="5"/>
    <x v="1"/>
    <x v="2"/>
    <n v="118264"/>
    <n v="3.47"/>
    <n v="6"/>
    <n v="5087309269.2000008"/>
  </r>
  <r>
    <x v="7"/>
    <x v="24"/>
    <n v="2025"/>
    <x v="1"/>
    <n v="66259.17"/>
    <n v="77.599999999999994"/>
    <n v="256"/>
    <n v="200"/>
    <s v="Sedan"/>
    <n v="4"/>
    <x v="3"/>
    <x v="0"/>
    <n v="296982"/>
    <n v="3.45"/>
    <n v="3"/>
    <n v="19677780824.939999"/>
  </r>
  <r>
    <x v="12"/>
    <x v="45"/>
    <n v="2025"/>
    <x v="4"/>
    <n v="93152"/>
    <n v="60.9"/>
    <n v="214"/>
    <n v="145"/>
    <s v="Sedan"/>
    <n v="5"/>
    <x v="1"/>
    <x v="0"/>
    <n v="20002"/>
    <n v="3.74"/>
    <n v="4"/>
    <n v="1863226304"/>
  </r>
  <r>
    <x v="4"/>
    <x v="32"/>
    <n v="2025"/>
    <x v="3"/>
    <n v="109816.18"/>
    <n v="60.8"/>
    <n v="222"/>
    <n v="139"/>
    <s v="Sedan"/>
    <n v="5"/>
    <x v="3"/>
    <x v="1"/>
    <n v="73358"/>
    <n v="3.54"/>
    <n v="8"/>
    <n v="8055895332.4399996"/>
  </r>
  <r>
    <x v="6"/>
    <x v="63"/>
    <n v="2025"/>
    <x v="3"/>
    <n v="63640"/>
    <n v="40.299999999999997"/>
    <n v="150"/>
    <n v="131"/>
    <s v="Truck"/>
    <n v="4"/>
    <x v="4"/>
    <x v="2"/>
    <n v="139571"/>
    <n v="3.2"/>
    <n v="4"/>
    <n v="8882298440"/>
  </r>
  <r>
    <x v="2"/>
    <x v="5"/>
    <n v="2025"/>
    <x v="0"/>
    <n v="161112.44"/>
    <n v="98.8"/>
    <n v="371"/>
    <n v="163"/>
    <s v="Coupe"/>
    <n v="4"/>
    <x v="1"/>
    <x v="1"/>
    <n v="404800"/>
    <n v="4.22"/>
    <n v="5"/>
    <n v="65218315712"/>
  </r>
  <r>
    <x v="6"/>
    <x v="63"/>
    <n v="2025"/>
    <x v="4"/>
    <n v="44861.53"/>
    <n v="84.1"/>
    <n v="305"/>
    <n v="172"/>
    <s v="Coupe"/>
    <n v="4"/>
    <x v="4"/>
    <x v="2"/>
    <n v="98434"/>
    <n v="3.53"/>
    <n v="3"/>
    <n v="4415899844.0199995"/>
  </r>
  <r>
    <x v="2"/>
    <x v="17"/>
    <n v="2025"/>
    <x v="1"/>
    <n v="42441.37"/>
    <n v="104.2"/>
    <n v="372"/>
    <n v="200"/>
    <s v="Truck"/>
    <n v="5"/>
    <x v="1"/>
    <x v="2"/>
    <n v="230471"/>
    <n v="4.32"/>
    <n v="5"/>
    <n v="9781504985.2700005"/>
  </r>
  <r>
    <x v="7"/>
    <x v="24"/>
    <n v="2025"/>
    <x v="0"/>
    <n v="47485.93"/>
    <n v="104.7"/>
    <n v="349"/>
    <n v="166"/>
    <s v="Sedan"/>
    <n v="4"/>
    <x v="3"/>
    <x v="2"/>
    <n v="243761"/>
    <n v="3.63"/>
    <n v="5"/>
    <n v="11575217782.73"/>
  </r>
  <r>
    <x v="3"/>
    <x v="8"/>
    <n v="2025"/>
    <x v="1"/>
    <n v="53346.09"/>
    <n v="111"/>
    <n v="410"/>
    <n v="189"/>
    <s v="SUV"/>
    <n v="5"/>
    <x v="2"/>
    <x v="2"/>
    <n v="141126"/>
    <n v="4.1900000000000004"/>
    <n v="3"/>
    <n v="7528520297.3399992"/>
  </r>
  <r>
    <x v="13"/>
    <x v="59"/>
    <n v="2025"/>
    <x v="0"/>
    <n v="162751.1"/>
    <n v="96.3"/>
    <n v="344"/>
    <n v="185"/>
    <s v="Sedan"/>
    <n v="5"/>
    <x v="3"/>
    <x v="1"/>
    <n v="68195"/>
    <n v="4.28"/>
    <n v="6"/>
    <n v="11098811264.5"/>
  </r>
  <r>
    <x v="6"/>
    <x v="53"/>
    <n v="2025"/>
    <x v="3"/>
    <n v="41853.99"/>
    <n v="80.099999999999994"/>
    <n v="318"/>
    <n v="157"/>
    <s v="Hatchback"/>
    <n v="4"/>
    <x v="4"/>
    <x v="2"/>
    <n v="111448"/>
    <n v="3.65"/>
    <n v="4"/>
    <n v="4664543477.5199995"/>
  </r>
  <r>
    <x v="17"/>
    <x v="58"/>
    <n v="2025"/>
    <x v="4"/>
    <n v="96813.71"/>
    <n v="40.6"/>
    <n v="150"/>
    <n v="123"/>
    <s v="Van"/>
    <n v="5"/>
    <x v="5"/>
    <x v="0"/>
    <n v="10606"/>
    <n v="3.2"/>
    <n v="3"/>
    <n v="1026806208.2600001"/>
  </r>
  <r>
    <x v="2"/>
    <x v="5"/>
    <n v="2025"/>
    <x v="4"/>
    <n v="129623.74"/>
    <n v="54.6"/>
    <n v="210"/>
    <n v="132"/>
    <s v="Truck"/>
    <n v="5"/>
    <x v="1"/>
    <x v="1"/>
    <n v="481115"/>
    <n v="3.49"/>
    <n v="5"/>
    <n v="62363925670.100006"/>
  </r>
  <r>
    <x v="1"/>
    <x v="51"/>
    <n v="2025"/>
    <x v="4"/>
    <n v="141027"/>
    <n v="54.1"/>
    <n v="190"/>
    <n v="168"/>
    <s v="Sedan"/>
    <n v="5"/>
    <x v="1"/>
    <x v="1"/>
    <n v="11123"/>
    <n v="3.38"/>
    <n v="4"/>
    <n v="1568643321"/>
  </r>
  <r>
    <x v="9"/>
    <x v="55"/>
    <n v="2025"/>
    <x v="4"/>
    <n v="113836.67"/>
    <n v="71.5"/>
    <n v="253"/>
    <n v="152"/>
    <s v="SUV"/>
    <n v="4"/>
    <x v="3"/>
    <x v="1"/>
    <n v="42535"/>
    <n v="3.47"/>
    <n v="8"/>
    <n v="4842042758.4499998"/>
  </r>
  <r>
    <x v="12"/>
    <x v="29"/>
    <n v="2025"/>
    <x v="3"/>
    <n v="51177.18"/>
    <n v="46.9"/>
    <n v="150"/>
    <n v="140"/>
    <s v="Van"/>
    <n v="4"/>
    <x v="1"/>
    <x v="2"/>
    <n v="14323"/>
    <n v="3.34"/>
    <n v="4"/>
    <n v="733010749.13999999"/>
  </r>
  <r>
    <x v="5"/>
    <x v="7"/>
    <n v="2025"/>
    <x v="1"/>
    <n v="56005.31"/>
    <n v="102.7"/>
    <n v="361"/>
    <n v="184"/>
    <s v="Sedan"/>
    <n v="5"/>
    <x v="4"/>
    <x v="2"/>
    <n v="96451"/>
    <n v="3.9"/>
    <n v="5"/>
    <n v="5401768154.8099995"/>
  </r>
  <r>
    <x v="7"/>
    <x v="27"/>
    <n v="2025"/>
    <x v="1"/>
    <n v="88484.86"/>
    <n v="105.9"/>
    <n v="381"/>
    <n v="196"/>
    <s v="Coupe"/>
    <n v="3"/>
    <x v="3"/>
    <x v="0"/>
    <n v="285530"/>
    <n v="3.65"/>
    <n v="4"/>
    <n v="25265082075.799999"/>
  </r>
  <r>
    <x v="3"/>
    <x v="3"/>
    <n v="2025"/>
    <x v="4"/>
    <n v="104281.84"/>
    <n v="69.7"/>
    <n v="233"/>
    <n v="170"/>
    <s v="Van"/>
    <n v="4"/>
    <x v="2"/>
    <x v="1"/>
    <n v="164080"/>
    <n v="3.52"/>
    <n v="4"/>
    <n v="17110564307.199999"/>
  </r>
  <r>
    <x v="3"/>
    <x v="3"/>
    <n v="2025"/>
    <x v="3"/>
    <n v="86288.72"/>
    <n v="81.900000000000006"/>
    <n v="311"/>
    <n v="174"/>
    <s v="Van"/>
    <n v="4"/>
    <x v="2"/>
    <x v="0"/>
    <n v="120560"/>
    <n v="3.71"/>
    <n v="3"/>
    <n v="10402968083.200001"/>
  </r>
  <r>
    <x v="5"/>
    <x v="13"/>
    <n v="2025"/>
    <x v="2"/>
    <n v="58803.16"/>
    <n v="70.099999999999994"/>
    <n v="248"/>
    <n v="153"/>
    <s v="Truck"/>
    <n v="4"/>
    <x v="4"/>
    <x v="2"/>
    <n v="111130"/>
    <n v="3.52"/>
    <n v="3"/>
    <n v="6534795170.8000002"/>
  </r>
  <r>
    <x v="3"/>
    <x v="14"/>
    <n v="2025"/>
    <x v="1"/>
    <n v="122517.87"/>
    <n v="73.599999999999994"/>
    <n v="252"/>
    <n v="200"/>
    <s v="Hatchback"/>
    <n v="4"/>
    <x v="2"/>
    <x v="1"/>
    <n v="150780"/>
    <n v="3.44"/>
    <n v="3"/>
    <n v="18473244438.599998"/>
  </r>
  <r>
    <x v="2"/>
    <x v="17"/>
    <n v="2025"/>
    <x v="2"/>
    <n v="90298.51"/>
    <n v="49.3"/>
    <n v="183"/>
    <n v="157"/>
    <s v="Sedan"/>
    <n v="3"/>
    <x v="1"/>
    <x v="0"/>
    <n v="163915"/>
    <n v="3.66"/>
    <n v="5"/>
    <n v="14801280266.65"/>
  </r>
  <r>
    <x v="4"/>
    <x v="61"/>
    <n v="2025"/>
    <x v="2"/>
    <n v="79689.05"/>
    <n v="81.7"/>
    <n v="278"/>
    <n v="148"/>
    <s v="Van"/>
    <n v="4"/>
    <x v="3"/>
    <x v="0"/>
    <n v="66705"/>
    <n v="3.5"/>
    <n v="7"/>
    <n v="5315658080.25"/>
  </r>
  <r>
    <x v="0"/>
    <x v="47"/>
    <n v="2025"/>
    <x v="0"/>
    <n v="72608.92"/>
    <n v="97.1"/>
    <n v="334"/>
    <n v="156"/>
    <s v="Sedan"/>
    <n v="4"/>
    <x v="0"/>
    <x v="0"/>
    <n v="13954"/>
    <n v="3.57"/>
    <n v="4"/>
    <n v="1013184869.6799999"/>
  </r>
  <r>
    <x v="12"/>
    <x v="46"/>
    <n v="2025"/>
    <x v="4"/>
    <n v="91034.7"/>
    <n v="47.9"/>
    <n v="164"/>
    <n v="169"/>
    <s v="SUV"/>
    <n v="4"/>
    <x v="1"/>
    <x v="0"/>
    <n v="12825"/>
    <n v="3.46"/>
    <n v="3"/>
    <n v="1167520027.5"/>
  </r>
  <r>
    <x v="11"/>
    <x v="30"/>
    <n v="2025"/>
    <x v="2"/>
    <n v="70880.73"/>
    <n v="80.900000000000006"/>
    <n v="285"/>
    <n v="148"/>
    <s v="Truck"/>
    <n v="5"/>
    <x v="1"/>
    <x v="0"/>
    <n v="11173"/>
    <n v="3.44"/>
    <n v="4"/>
    <n v="791950396.28999996"/>
  </r>
  <r>
    <x v="2"/>
    <x v="31"/>
    <n v="2025"/>
    <x v="4"/>
    <n v="124865.93"/>
    <n v="64.900000000000006"/>
    <n v="241"/>
    <n v="124"/>
    <s v="Truck"/>
    <n v="4"/>
    <x v="1"/>
    <x v="1"/>
    <n v="223231"/>
    <n v="3.65"/>
    <n v="4"/>
    <n v="27873946419.829998"/>
  </r>
  <r>
    <x v="13"/>
    <x v="57"/>
    <n v="2025"/>
    <x v="3"/>
    <n v="139106.45000000001"/>
    <n v="61.4"/>
    <n v="208"/>
    <n v="150"/>
    <s v="Coupe"/>
    <n v="5"/>
    <x v="3"/>
    <x v="1"/>
    <n v="49644"/>
    <n v="3.35"/>
    <n v="6"/>
    <n v="6905800603.8000002"/>
  </r>
  <r>
    <x v="6"/>
    <x v="53"/>
    <n v="2025"/>
    <x v="3"/>
    <n v="60050.99"/>
    <n v="47.8"/>
    <n v="165"/>
    <n v="133"/>
    <s v="Hatchback"/>
    <n v="4"/>
    <x v="4"/>
    <x v="2"/>
    <n v="138281"/>
    <n v="3.21"/>
    <n v="3"/>
    <n v="8303910948.1899996"/>
  </r>
  <r>
    <x v="13"/>
    <x v="33"/>
    <n v="2025"/>
    <x v="3"/>
    <n v="103044.63"/>
    <n v="78.900000000000006"/>
    <n v="264"/>
    <n v="132"/>
    <s v="Van"/>
    <n v="5"/>
    <x v="3"/>
    <x v="1"/>
    <n v="75663"/>
    <n v="3.56"/>
    <n v="5"/>
    <n v="7796665839.6900005"/>
  </r>
  <r>
    <x v="3"/>
    <x v="14"/>
    <n v="2025"/>
    <x v="3"/>
    <n v="36623.25"/>
    <n v="43.3"/>
    <n v="164"/>
    <n v="139"/>
    <s v="Truck"/>
    <n v="5"/>
    <x v="2"/>
    <x v="2"/>
    <n v="185983"/>
    <n v="3.42"/>
    <n v="5"/>
    <n v="6811301904.75"/>
  </r>
  <r>
    <x v="7"/>
    <x v="44"/>
    <n v="2025"/>
    <x v="2"/>
    <n v="30097.01"/>
    <n v="74.3"/>
    <n v="267"/>
    <n v="127"/>
    <s v="Coupe"/>
    <n v="5"/>
    <x v="3"/>
    <x v="3"/>
    <n v="289031"/>
    <n v="3.27"/>
    <n v="5"/>
    <n v="8698968897.3099995"/>
  </r>
  <r>
    <x v="7"/>
    <x v="27"/>
    <n v="2025"/>
    <x v="4"/>
    <n v="94110.75"/>
    <n v="60.5"/>
    <n v="194"/>
    <n v="149"/>
    <s v="Van"/>
    <n v="5"/>
    <x v="3"/>
    <x v="0"/>
    <n v="225387"/>
    <n v="3.43"/>
    <n v="4"/>
    <n v="21211339610.25"/>
  </r>
  <r>
    <x v="2"/>
    <x v="31"/>
    <n v="2025"/>
    <x v="3"/>
    <n v="125305.65"/>
    <n v="42"/>
    <n v="158"/>
    <n v="136"/>
    <s v="Truck"/>
    <n v="4"/>
    <x v="1"/>
    <x v="1"/>
    <n v="199754"/>
    <n v="3.28"/>
    <n v="5"/>
    <n v="25030304810.099998"/>
  </r>
  <r>
    <x v="8"/>
    <x v="34"/>
    <n v="2025"/>
    <x v="3"/>
    <n v="65329.39"/>
    <n v="49.5"/>
    <n v="157"/>
    <n v="165"/>
    <s v="Coupe"/>
    <n v="4"/>
    <x v="1"/>
    <x v="0"/>
    <n v="24686"/>
    <n v="3.21"/>
    <n v="4"/>
    <n v="1612721321.54"/>
  </r>
  <r>
    <x v="2"/>
    <x v="2"/>
    <n v="2025"/>
    <x v="2"/>
    <n v="101976.23"/>
    <n v="83.7"/>
    <n v="284"/>
    <n v="139"/>
    <s v="Hatchback"/>
    <n v="5"/>
    <x v="1"/>
    <x v="1"/>
    <n v="160905"/>
    <n v="3.89"/>
    <n v="5"/>
    <n v="16408485288.15"/>
  </r>
  <r>
    <x v="12"/>
    <x v="46"/>
    <n v="2025"/>
    <x v="1"/>
    <n v="83117.350000000006"/>
    <n v="106.5"/>
    <n v="362"/>
    <n v="200"/>
    <s v="SUV"/>
    <n v="3"/>
    <x v="1"/>
    <x v="0"/>
    <n v="17250"/>
    <n v="3.59"/>
    <n v="4"/>
    <n v="1433774287.5"/>
  </r>
  <r>
    <x v="9"/>
    <x v="19"/>
    <n v="2025"/>
    <x v="4"/>
    <n v="107462.71"/>
    <n v="63"/>
    <n v="242"/>
    <n v="175"/>
    <s v="Sedan"/>
    <n v="5"/>
    <x v="3"/>
    <x v="1"/>
    <n v="59946"/>
    <n v="3.37"/>
    <n v="7"/>
    <n v="6441959613.6600008"/>
  </r>
  <r>
    <x v="3"/>
    <x v="14"/>
    <n v="2025"/>
    <x v="2"/>
    <n v="43868.55"/>
    <n v="77.3"/>
    <n v="290"/>
    <n v="165"/>
    <s v="Coupe"/>
    <n v="5"/>
    <x v="2"/>
    <x v="2"/>
    <n v="211394"/>
    <n v="3.74"/>
    <n v="3"/>
    <n v="9273548258.7000008"/>
  </r>
  <r>
    <x v="7"/>
    <x v="10"/>
    <n v="2025"/>
    <x v="0"/>
    <n v="98049.57"/>
    <n v="79.3"/>
    <n v="271"/>
    <n v="178"/>
    <s v="Truck"/>
    <n v="4"/>
    <x v="3"/>
    <x v="0"/>
    <n v="232457"/>
    <n v="3.53"/>
    <n v="3"/>
    <n v="22792308893.490002"/>
  </r>
  <r>
    <x v="4"/>
    <x v="4"/>
    <n v="2025"/>
    <x v="2"/>
    <n v="91070.12"/>
    <n v="66.400000000000006"/>
    <n v="224"/>
    <n v="152"/>
    <s v="Sedan"/>
    <n v="3"/>
    <x v="3"/>
    <x v="0"/>
    <n v="69627"/>
    <n v="3.71"/>
    <n v="7"/>
    <n v="6340939245.2399998"/>
  </r>
  <r>
    <x v="8"/>
    <x v="60"/>
    <n v="2025"/>
    <x v="2"/>
    <n v="31921.1"/>
    <n v="77.2"/>
    <n v="284"/>
    <n v="172"/>
    <s v="Coupe"/>
    <n v="5"/>
    <x v="1"/>
    <x v="3"/>
    <n v="21264"/>
    <n v="3.57"/>
    <n v="5"/>
    <n v="678770270.39999998"/>
  </r>
  <r>
    <x v="9"/>
    <x v="19"/>
    <n v="2025"/>
    <x v="3"/>
    <n v="56108.72"/>
    <n v="78.400000000000006"/>
    <n v="280"/>
    <n v="178"/>
    <s v="Hatchback"/>
    <n v="5"/>
    <x v="3"/>
    <x v="2"/>
    <n v="32771"/>
    <n v="3.55"/>
    <n v="5"/>
    <n v="1838738863.1200001"/>
  </r>
  <r>
    <x v="11"/>
    <x v="26"/>
    <n v="2025"/>
    <x v="3"/>
    <n v="78693.27"/>
    <n v="63.6"/>
    <n v="243"/>
    <n v="171"/>
    <s v="Truck"/>
    <n v="4"/>
    <x v="1"/>
    <x v="0"/>
    <n v="14022"/>
    <n v="3.14"/>
    <n v="6"/>
    <n v="1103437031.9400001"/>
  </r>
  <r>
    <x v="6"/>
    <x v="63"/>
    <n v="2025"/>
    <x v="3"/>
    <n v="46340.480000000003"/>
    <n v="70.599999999999994"/>
    <n v="240"/>
    <n v="133"/>
    <s v="Sedan"/>
    <n v="3"/>
    <x v="4"/>
    <x v="2"/>
    <n v="91894"/>
    <n v="3.21"/>
    <n v="4"/>
    <n v="4258412069.1200004"/>
  </r>
  <r>
    <x v="6"/>
    <x v="63"/>
    <n v="2025"/>
    <x v="3"/>
    <n v="70402.19"/>
    <n v="49.9"/>
    <n v="170"/>
    <n v="148"/>
    <s v="Sedan"/>
    <n v="5"/>
    <x v="4"/>
    <x v="0"/>
    <n v="69074"/>
    <n v="3.3"/>
    <n v="4"/>
    <n v="4862960872.0600004"/>
  </r>
  <r>
    <x v="2"/>
    <x v="31"/>
    <n v="2025"/>
    <x v="4"/>
    <n v="104330.24000000001"/>
    <n v="50.1"/>
    <n v="185"/>
    <n v="145"/>
    <s v="Truck"/>
    <n v="4"/>
    <x v="1"/>
    <x v="1"/>
    <n v="241443"/>
    <n v="3.82"/>
    <n v="6"/>
    <n v="25189806136.32"/>
  </r>
  <r>
    <x v="2"/>
    <x v="5"/>
    <n v="2025"/>
    <x v="1"/>
    <n v="146521.88"/>
    <n v="91.7"/>
    <n v="343"/>
    <n v="200"/>
    <s v="SUV"/>
    <n v="4"/>
    <x v="1"/>
    <x v="1"/>
    <n v="406719"/>
    <n v="4.12"/>
    <n v="5"/>
    <n v="59593232511.720001"/>
  </r>
  <r>
    <x v="2"/>
    <x v="35"/>
    <n v="2025"/>
    <x v="2"/>
    <n v="42945.26"/>
    <n v="77"/>
    <n v="266"/>
    <n v="148"/>
    <s v="SUV"/>
    <n v="5"/>
    <x v="1"/>
    <x v="2"/>
    <n v="202664"/>
    <n v="3.79"/>
    <n v="5"/>
    <n v="8703458172.6400013"/>
  </r>
  <r>
    <x v="4"/>
    <x v="40"/>
    <n v="2025"/>
    <x v="3"/>
    <n v="109441.61"/>
    <n v="51.1"/>
    <n v="161"/>
    <n v="151"/>
    <s v="Hatchback"/>
    <n v="4"/>
    <x v="3"/>
    <x v="1"/>
    <n v="27623"/>
    <n v="3.34"/>
    <n v="7"/>
    <n v="3023105593.0300002"/>
  </r>
  <r>
    <x v="9"/>
    <x v="16"/>
    <n v="2025"/>
    <x v="4"/>
    <n v="79696.27"/>
    <n v="76.5"/>
    <n v="251"/>
    <n v="161"/>
    <s v="Truck"/>
    <n v="5"/>
    <x v="3"/>
    <x v="0"/>
    <n v="32509"/>
    <n v="3.24"/>
    <n v="5"/>
    <n v="2590846041.4300003"/>
  </r>
  <r>
    <x v="2"/>
    <x v="5"/>
    <n v="2025"/>
    <x v="3"/>
    <n v="85878.17"/>
    <n v="49.2"/>
    <n v="188"/>
    <n v="164"/>
    <s v="Sedan"/>
    <n v="4"/>
    <x v="1"/>
    <x v="0"/>
    <n v="499717"/>
    <n v="3.42"/>
    <n v="5"/>
    <n v="42914781477.889999"/>
  </r>
  <r>
    <x v="2"/>
    <x v="17"/>
    <n v="2025"/>
    <x v="4"/>
    <n v="60544.17"/>
    <n v="81.599999999999994"/>
    <n v="287"/>
    <n v="158"/>
    <s v="Truck"/>
    <n v="5"/>
    <x v="1"/>
    <x v="2"/>
    <n v="170776"/>
    <n v="3.98"/>
    <n v="6"/>
    <n v="10339491175.92"/>
  </r>
  <r>
    <x v="2"/>
    <x v="5"/>
    <n v="2025"/>
    <x v="3"/>
    <n v="122990.85"/>
    <n v="43.1"/>
    <n v="177"/>
    <n v="132"/>
    <s v="Hatchback"/>
    <n v="4"/>
    <x v="1"/>
    <x v="1"/>
    <n v="444103"/>
    <n v="3.49"/>
    <n v="5"/>
    <n v="54620605457.550003"/>
  </r>
  <r>
    <x v="2"/>
    <x v="17"/>
    <n v="2025"/>
    <x v="3"/>
    <n v="77509.320000000007"/>
    <n v="78.599999999999994"/>
    <n v="256"/>
    <n v="130"/>
    <s v="Hatchback"/>
    <n v="3"/>
    <x v="1"/>
    <x v="0"/>
    <n v="156028"/>
    <n v="3.89"/>
    <n v="4"/>
    <n v="12093624180.960001"/>
  </r>
  <r>
    <x v="6"/>
    <x v="9"/>
    <n v="2025"/>
    <x v="2"/>
    <n v="42592.08"/>
    <n v="73.400000000000006"/>
    <n v="215"/>
    <n v="154"/>
    <s v="Truck"/>
    <n v="4"/>
    <x v="4"/>
    <x v="2"/>
    <n v="124929"/>
    <n v="3.43"/>
    <n v="4"/>
    <n v="5320985962.3200006"/>
  </r>
  <r>
    <x v="6"/>
    <x v="63"/>
    <n v="2025"/>
    <x v="1"/>
    <n v="107109.36"/>
    <n v="119.6"/>
    <n v="434"/>
    <n v="200"/>
    <s v="SUV"/>
    <n v="5"/>
    <x v="4"/>
    <x v="1"/>
    <n v="92278"/>
    <n v="3.9"/>
    <n v="3"/>
    <n v="9883837522.0799999"/>
  </r>
  <r>
    <x v="2"/>
    <x v="5"/>
    <n v="2025"/>
    <x v="0"/>
    <n v="33796.25"/>
    <n v="90.1"/>
    <n v="295"/>
    <n v="183"/>
    <s v="SUV"/>
    <n v="5"/>
    <x v="1"/>
    <x v="3"/>
    <n v="476519"/>
    <n v="3.86"/>
    <n v="5"/>
    <n v="16104555253.75"/>
  </r>
  <r>
    <x v="4"/>
    <x v="32"/>
    <n v="2025"/>
    <x v="2"/>
    <n v="67634.789999999994"/>
    <n v="79.900000000000006"/>
    <n v="278"/>
    <n v="167"/>
    <s v="Sedan"/>
    <n v="4"/>
    <x v="3"/>
    <x v="0"/>
    <n v="62437"/>
    <n v="3.52"/>
    <n v="8"/>
    <n v="4222913383.2299995"/>
  </r>
  <r>
    <x v="11"/>
    <x v="25"/>
    <n v="2025"/>
    <x v="0"/>
    <n v="105675.37"/>
    <n v="104"/>
    <n v="386"/>
    <n v="173"/>
    <s v="SUV"/>
    <n v="5"/>
    <x v="1"/>
    <x v="1"/>
    <n v="25421"/>
    <n v="3.88"/>
    <n v="4"/>
    <n v="2686373580.77"/>
  </r>
  <r>
    <x v="3"/>
    <x v="8"/>
    <n v="2025"/>
    <x v="2"/>
    <n v="19398.189999999999"/>
    <n v="79.599999999999994"/>
    <n v="255"/>
    <n v="125"/>
    <s v="Van"/>
    <n v="4"/>
    <x v="2"/>
    <x v="3"/>
    <n v="165718"/>
    <n v="3.4"/>
    <n v="4"/>
    <n v="3214629250.4199996"/>
  </r>
  <r>
    <x v="12"/>
    <x v="52"/>
    <n v="2025"/>
    <x v="3"/>
    <n v="55791.9"/>
    <n v="43.1"/>
    <n v="150"/>
    <n v="150"/>
    <s v="SUV"/>
    <n v="5"/>
    <x v="1"/>
    <x v="2"/>
    <n v="16439"/>
    <n v="3.05"/>
    <n v="4"/>
    <n v="917163044.10000002"/>
  </r>
  <r>
    <x v="2"/>
    <x v="17"/>
    <n v="2025"/>
    <x v="4"/>
    <n v="151283.19"/>
    <n v="58.3"/>
    <n v="189"/>
    <n v="152"/>
    <s v="Sedan"/>
    <n v="5"/>
    <x v="1"/>
    <x v="1"/>
    <n v="203592"/>
    <n v="3.49"/>
    <n v="5"/>
    <n v="30800047218.48"/>
  </r>
  <r>
    <x v="7"/>
    <x v="28"/>
    <n v="2025"/>
    <x v="3"/>
    <n v="55247.47"/>
    <n v="53.5"/>
    <n v="199"/>
    <n v="170"/>
    <s v="Sedan"/>
    <n v="5"/>
    <x v="3"/>
    <x v="2"/>
    <n v="220284"/>
    <n v="3.29"/>
    <n v="4"/>
    <n v="12170133681.48"/>
  </r>
  <r>
    <x v="6"/>
    <x v="63"/>
    <n v="2025"/>
    <x v="2"/>
    <n v="37922.42"/>
    <n v="50.5"/>
    <n v="150"/>
    <n v="155"/>
    <s v="SUV"/>
    <n v="3"/>
    <x v="4"/>
    <x v="2"/>
    <n v="75225"/>
    <n v="3.06"/>
    <n v="5"/>
    <n v="2852714044.5"/>
  </r>
  <r>
    <x v="2"/>
    <x v="2"/>
    <n v="2025"/>
    <x v="3"/>
    <n v="75212.509999999995"/>
    <n v="79.3"/>
    <n v="260"/>
    <n v="154"/>
    <s v="Sedan"/>
    <n v="5"/>
    <x v="1"/>
    <x v="0"/>
    <n v="148099"/>
    <n v="3.93"/>
    <n v="6"/>
    <n v="11138897518.49"/>
  </r>
  <r>
    <x v="3"/>
    <x v="6"/>
    <n v="2025"/>
    <x v="0"/>
    <n v="87159.360000000001"/>
    <n v="101.7"/>
    <n v="351"/>
    <n v="183"/>
    <s v="Truck"/>
    <n v="3"/>
    <x v="2"/>
    <x v="0"/>
    <n v="204628"/>
    <n v="3.58"/>
    <n v="3"/>
    <n v="17835245518.080002"/>
  </r>
  <r>
    <x v="2"/>
    <x v="5"/>
    <n v="2025"/>
    <x v="0"/>
    <n v="64135.13"/>
    <n v="97.7"/>
    <n v="359"/>
    <n v="171"/>
    <s v="Hatchback"/>
    <n v="4"/>
    <x v="1"/>
    <x v="2"/>
    <n v="427732"/>
    <n v="4.21"/>
    <n v="4"/>
    <n v="27432647425.16"/>
  </r>
  <r>
    <x v="7"/>
    <x v="24"/>
    <n v="2025"/>
    <x v="1"/>
    <n v="91483.89"/>
    <n v="74.2"/>
    <n v="246"/>
    <n v="199"/>
    <s v="Coupe"/>
    <n v="4"/>
    <x v="3"/>
    <x v="0"/>
    <n v="206750"/>
    <n v="3.64"/>
    <n v="3"/>
    <n v="18914294257.5"/>
  </r>
  <r>
    <x v="3"/>
    <x v="8"/>
    <n v="2025"/>
    <x v="2"/>
    <n v="52144.09"/>
    <n v="43.5"/>
    <n v="150"/>
    <n v="178"/>
    <s v="Hatchback"/>
    <n v="4"/>
    <x v="2"/>
    <x v="2"/>
    <n v="212512"/>
    <n v="3.12"/>
    <n v="3"/>
    <n v="11081244854.08"/>
  </r>
  <r>
    <x v="2"/>
    <x v="17"/>
    <n v="2025"/>
    <x v="4"/>
    <n v="154568.94"/>
    <n v="68"/>
    <n v="235"/>
    <n v="170"/>
    <s v="Coupe"/>
    <n v="5"/>
    <x v="1"/>
    <x v="1"/>
    <n v="245844"/>
    <n v="3.7"/>
    <n v="5"/>
    <n v="37999846485.360001"/>
  </r>
  <r>
    <x v="7"/>
    <x v="28"/>
    <n v="2025"/>
    <x v="1"/>
    <n v="58007.82"/>
    <n v="105.3"/>
    <n v="382"/>
    <n v="188"/>
    <s v="Van"/>
    <n v="3"/>
    <x v="3"/>
    <x v="2"/>
    <n v="241176"/>
    <n v="3.98"/>
    <n v="3"/>
    <n v="13990093996.32"/>
  </r>
  <r>
    <x v="3"/>
    <x v="37"/>
    <n v="2025"/>
    <x v="3"/>
    <n v="33650.32"/>
    <n v="63.9"/>
    <n v="231"/>
    <n v="134"/>
    <s v="Sedan"/>
    <n v="4"/>
    <x v="2"/>
    <x v="3"/>
    <n v="210399"/>
    <n v="3.56"/>
    <n v="4"/>
    <n v="7079993677.6800003"/>
  </r>
  <r>
    <x v="2"/>
    <x v="2"/>
    <n v="2025"/>
    <x v="1"/>
    <n v="99545.7"/>
    <n v="74.099999999999994"/>
    <n v="250"/>
    <n v="190"/>
    <s v="Hatchback"/>
    <n v="4"/>
    <x v="1"/>
    <x v="0"/>
    <n v="244941"/>
    <n v="3.69"/>
    <n v="5"/>
    <n v="24382823303.700001"/>
  </r>
  <r>
    <x v="2"/>
    <x v="2"/>
    <n v="2025"/>
    <x v="1"/>
    <n v="135540.84"/>
    <n v="85.8"/>
    <n v="296"/>
    <n v="188"/>
    <s v="SUV"/>
    <n v="5"/>
    <x v="1"/>
    <x v="1"/>
    <n v="108193"/>
    <n v="3.98"/>
    <n v="5"/>
    <n v="14664570102.119999"/>
  </r>
  <r>
    <x v="4"/>
    <x v="4"/>
    <n v="2025"/>
    <x v="2"/>
    <n v="80914.990000000005"/>
    <n v="67.400000000000006"/>
    <n v="220"/>
    <n v="178"/>
    <s v="Sedan"/>
    <n v="5"/>
    <x v="3"/>
    <x v="0"/>
    <n v="22856"/>
    <n v="3.44"/>
    <n v="7"/>
    <n v="1849393011.4400001"/>
  </r>
  <r>
    <x v="7"/>
    <x v="44"/>
    <n v="2025"/>
    <x v="3"/>
    <n v="70801.47"/>
    <n v="60.4"/>
    <n v="204"/>
    <n v="137"/>
    <s v="SUV"/>
    <n v="5"/>
    <x v="3"/>
    <x v="0"/>
    <n v="299914"/>
    <n v="3.54"/>
    <n v="4"/>
    <n v="21234352073.580002"/>
  </r>
  <r>
    <x v="10"/>
    <x v="69"/>
    <n v="2025"/>
    <x v="3"/>
    <n v="80679.27"/>
    <n v="41.3"/>
    <n v="155"/>
    <n v="170"/>
    <s v="Hatchback"/>
    <n v="5"/>
    <x v="5"/>
    <x v="0"/>
    <n v="7428"/>
    <n v="3.03"/>
    <n v="4"/>
    <n v="599285617.56000006"/>
  </r>
  <r>
    <x v="2"/>
    <x v="2"/>
    <n v="2025"/>
    <x v="2"/>
    <n v="29088.57"/>
    <n v="79.3"/>
    <n v="262"/>
    <n v="148"/>
    <s v="Van"/>
    <n v="5"/>
    <x v="1"/>
    <x v="3"/>
    <n v="173989"/>
    <n v="4.17"/>
    <n v="6"/>
    <n v="5061091205.7299995"/>
  </r>
  <r>
    <x v="1"/>
    <x v="1"/>
    <n v="2025"/>
    <x v="4"/>
    <n v="67039.100000000006"/>
    <n v="75"/>
    <n v="271"/>
    <n v="127"/>
    <s v="Coupe"/>
    <n v="5"/>
    <x v="1"/>
    <x v="0"/>
    <n v="2336"/>
    <n v="3.5"/>
    <n v="5"/>
    <n v="156603337.60000002"/>
  </r>
  <r>
    <x v="11"/>
    <x v="25"/>
    <n v="2025"/>
    <x v="1"/>
    <n v="104305.19"/>
    <n v="112.7"/>
    <n v="429"/>
    <n v="200"/>
    <s v="Hatchback"/>
    <n v="4"/>
    <x v="1"/>
    <x v="1"/>
    <n v="26219"/>
    <n v="4.08"/>
    <n v="6"/>
    <n v="2734777776.6100001"/>
  </r>
  <r>
    <x v="5"/>
    <x v="23"/>
    <n v="2025"/>
    <x v="1"/>
    <n v="107335.21"/>
    <n v="101.2"/>
    <n v="372"/>
    <n v="187"/>
    <s v="Truck"/>
    <n v="5"/>
    <x v="4"/>
    <x v="1"/>
    <n v="56222"/>
    <n v="3.63"/>
    <n v="5"/>
    <n v="6034600176.6199999"/>
  </r>
  <r>
    <x v="3"/>
    <x v="8"/>
    <n v="2025"/>
    <x v="3"/>
    <n v="45068.52"/>
    <n v="56.6"/>
    <n v="195"/>
    <n v="162"/>
    <s v="Sedan"/>
    <n v="5"/>
    <x v="2"/>
    <x v="2"/>
    <n v="196546"/>
    <n v="3.22"/>
    <n v="5"/>
    <n v="8858037331.9200001"/>
  </r>
  <r>
    <x v="2"/>
    <x v="2"/>
    <n v="2025"/>
    <x v="3"/>
    <n v="47711.51"/>
    <n v="47.2"/>
    <n v="173"/>
    <n v="154"/>
    <s v="Sedan"/>
    <n v="4"/>
    <x v="1"/>
    <x v="2"/>
    <n v="180408"/>
    <n v="3.58"/>
    <n v="5"/>
    <n v="8607538096.0799999"/>
  </r>
  <r>
    <x v="6"/>
    <x v="63"/>
    <n v="2025"/>
    <x v="4"/>
    <n v="72308.960000000006"/>
    <n v="49.7"/>
    <n v="167"/>
    <n v="150"/>
    <s v="Van"/>
    <n v="3"/>
    <x v="4"/>
    <x v="0"/>
    <n v="143294"/>
    <n v="3.17"/>
    <n v="4"/>
    <n v="10361440114.240002"/>
  </r>
  <r>
    <x v="5"/>
    <x v="15"/>
    <n v="2025"/>
    <x v="0"/>
    <n v="37973.050000000003"/>
    <n v="76.2"/>
    <n v="263"/>
    <n v="172"/>
    <s v="SUV"/>
    <n v="4"/>
    <x v="4"/>
    <x v="2"/>
    <n v="66783"/>
    <n v="3.42"/>
    <n v="4"/>
    <n v="2535954198.1500001"/>
  </r>
  <r>
    <x v="2"/>
    <x v="2"/>
    <n v="2025"/>
    <x v="0"/>
    <n v="89182.57"/>
    <n v="108.7"/>
    <n v="358"/>
    <n v="158"/>
    <s v="Truck"/>
    <n v="4"/>
    <x v="1"/>
    <x v="0"/>
    <n v="161378"/>
    <n v="4"/>
    <n v="6"/>
    <n v="14392104781.460001"/>
  </r>
  <r>
    <x v="6"/>
    <x v="9"/>
    <n v="2025"/>
    <x v="0"/>
    <n v="49595.48"/>
    <n v="75.099999999999994"/>
    <n v="260"/>
    <n v="187"/>
    <s v="Coupe"/>
    <n v="5"/>
    <x v="4"/>
    <x v="2"/>
    <n v="108288"/>
    <n v="3.54"/>
    <n v="4"/>
    <n v="5370595338.2400007"/>
  </r>
  <r>
    <x v="2"/>
    <x v="2"/>
    <n v="2025"/>
    <x v="2"/>
    <n v="99045.61"/>
    <n v="69.900000000000006"/>
    <n v="238"/>
    <n v="125"/>
    <s v="SUV"/>
    <n v="4"/>
    <x v="1"/>
    <x v="0"/>
    <n v="134937"/>
    <n v="3.58"/>
    <n v="5"/>
    <n v="13364917476.57"/>
  </r>
  <r>
    <x v="2"/>
    <x v="31"/>
    <n v="2025"/>
    <x v="4"/>
    <n v="160711.64000000001"/>
    <n v="76.8"/>
    <n v="290"/>
    <n v="153"/>
    <s v="Truck"/>
    <n v="5"/>
    <x v="1"/>
    <x v="1"/>
    <n v="208796"/>
    <n v="3.95"/>
    <n v="5"/>
    <n v="33555947585.440002"/>
  </r>
  <r>
    <x v="8"/>
    <x v="21"/>
    <n v="2025"/>
    <x v="3"/>
    <n v="43156.03"/>
    <n v="81.3"/>
    <n v="293"/>
    <n v="139"/>
    <s v="Van"/>
    <n v="4"/>
    <x v="1"/>
    <x v="2"/>
    <n v="34530"/>
    <n v="3.75"/>
    <n v="4"/>
    <n v="1490177715.8999999"/>
  </r>
  <r>
    <x v="12"/>
    <x v="36"/>
    <n v="2025"/>
    <x v="2"/>
    <n v="38010.06"/>
    <n v="62.7"/>
    <n v="226"/>
    <n v="137"/>
    <s v="Hatchback"/>
    <n v="4"/>
    <x v="1"/>
    <x v="2"/>
    <n v="16274"/>
    <n v="3.18"/>
    <n v="4"/>
    <n v="618575716.43999994"/>
  </r>
  <r>
    <x v="3"/>
    <x v="3"/>
    <n v="2025"/>
    <x v="2"/>
    <n v="23230.02"/>
    <n v="80.599999999999994"/>
    <n v="262"/>
    <n v="151"/>
    <s v="Van"/>
    <n v="5"/>
    <x v="2"/>
    <x v="3"/>
    <n v="183226"/>
    <n v="3.75"/>
    <n v="4"/>
    <n v="4256343644.52"/>
  </r>
  <r>
    <x v="2"/>
    <x v="17"/>
    <n v="2025"/>
    <x v="4"/>
    <n v="106221.52"/>
    <n v="66.8"/>
    <n v="251"/>
    <n v="134"/>
    <s v="Sedan"/>
    <n v="4"/>
    <x v="1"/>
    <x v="1"/>
    <n v="106799"/>
    <n v="3.65"/>
    <n v="5"/>
    <n v="11344352114.48"/>
  </r>
  <r>
    <x v="14"/>
    <x v="72"/>
    <n v="2025"/>
    <x v="3"/>
    <n v="70152.19"/>
    <n v="44.1"/>
    <n v="160"/>
    <n v="156"/>
    <s v="Truck"/>
    <n v="5"/>
    <x v="2"/>
    <x v="0"/>
    <n v="21427"/>
    <n v="3"/>
    <n v="3"/>
    <n v="1503150975.1300001"/>
  </r>
  <r>
    <x v="2"/>
    <x v="5"/>
    <n v="2025"/>
    <x v="0"/>
    <n v="97027.38"/>
    <n v="108.3"/>
    <n v="372"/>
    <n v="170"/>
    <s v="Truck"/>
    <n v="5"/>
    <x v="1"/>
    <x v="0"/>
    <n v="401761"/>
    <n v="4.12"/>
    <n v="4"/>
    <n v="38981817216.18"/>
  </r>
  <r>
    <x v="8"/>
    <x v="12"/>
    <n v="2025"/>
    <x v="0"/>
    <n v="53281.67"/>
    <n v="84.7"/>
    <n v="295"/>
    <n v="173"/>
    <s v="Truck"/>
    <n v="4"/>
    <x v="1"/>
    <x v="2"/>
    <n v="59310"/>
    <n v="3.42"/>
    <n v="4"/>
    <n v="3160135847.6999998"/>
  </r>
  <r>
    <x v="2"/>
    <x v="35"/>
    <n v="2025"/>
    <x v="0"/>
    <n v="92231.53"/>
    <n v="76"/>
    <n v="264"/>
    <n v="177"/>
    <s v="Van"/>
    <n v="4"/>
    <x v="1"/>
    <x v="0"/>
    <n v="226342"/>
    <n v="3.56"/>
    <n v="5"/>
    <n v="20875868963.259998"/>
  </r>
  <r>
    <x v="7"/>
    <x v="10"/>
    <n v="2025"/>
    <x v="0"/>
    <n v="102771.71"/>
    <n v="104.2"/>
    <n v="392"/>
    <n v="174"/>
    <s v="Van"/>
    <n v="4"/>
    <x v="3"/>
    <x v="1"/>
    <n v="235887"/>
    <n v="3.78"/>
    <n v="5"/>
    <n v="24242510356.77"/>
  </r>
  <r>
    <x v="7"/>
    <x v="10"/>
    <n v="2025"/>
    <x v="0"/>
    <n v="97037.17"/>
    <n v="79.8"/>
    <n v="284"/>
    <n v="167"/>
    <s v="Coupe"/>
    <n v="4"/>
    <x v="3"/>
    <x v="0"/>
    <n v="292071"/>
    <n v="3.47"/>
    <n v="4"/>
    <n v="28341743279.07"/>
  </r>
  <r>
    <x v="6"/>
    <x v="53"/>
    <n v="2025"/>
    <x v="0"/>
    <n v="81032.960000000006"/>
    <n v="109.2"/>
    <n v="372"/>
    <n v="171"/>
    <s v="Coupe"/>
    <n v="5"/>
    <x v="4"/>
    <x v="0"/>
    <n v="132543"/>
    <n v="3.49"/>
    <n v="4"/>
    <n v="10740351617.280001"/>
  </r>
  <r>
    <x v="6"/>
    <x v="20"/>
    <n v="2025"/>
    <x v="3"/>
    <n v="59265.27"/>
    <n v="76.5"/>
    <n v="288"/>
    <n v="166"/>
    <s v="Van"/>
    <n v="5"/>
    <x v="4"/>
    <x v="2"/>
    <n v="55296"/>
    <n v="3.41"/>
    <n v="4"/>
    <n v="3277132369.9199996"/>
  </r>
  <r>
    <x v="3"/>
    <x v="8"/>
    <n v="2025"/>
    <x v="0"/>
    <n v="24263.38"/>
    <n v="90.6"/>
    <n v="313"/>
    <n v="165"/>
    <s v="Coupe"/>
    <n v="4"/>
    <x v="2"/>
    <x v="3"/>
    <n v="185360"/>
    <n v="3.79"/>
    <n v="3"/>
    <n v="4497460116.8000002"/>
  </r>
  <r>
    <x v="7"/>
    <x v="28"/>
    <n v="2025"/>
    <x v="2"/>
    <n v="65624.38"/>
    <n v="83.8"/>
    <n v="327"/>
    <n v="166"/>
    <s v="Sedan"/>
    <n v="5"/>
    <x v="3"/>
    <x v="0"/>
    <n v="228265"/>
    <n v="3.75"/>
    <n v="3"/>
    <n v="14979749100.700001"/>
  </r>
  <r>
    <x v="5"/>
    <x v="23"/>
    <n v="2025"/>
    <x v="2"/>
    <n v="34297.300000000003"/>
    <n v="40.9"/>
    <n v="150"/>
    <n v="156"/>
    <s v="Coupe"/>
    <n v="4"/>
    <x v="4"/>
    <x v="3"/>
    <n v="124108"/>
    <n v="3.31"/>
    <n v="4"/>
    <n v="4256569308.4000006"/>
  </r>
  <r>
    <x v="2"/>
    <x v="17"/>
    <n v="2025"/>
    <x v="0"/>
    <n v="37324.82"/>
    <n v="100.2"/>
    <n v="350"/>
    <n v="169"/>
    <s v="Coupe"/>
    <n v="3"/>
    <x v="1"/>
    <x v="2"/>
    <n v="182729"/>
    <n v="3.94"/>
    <n v="6"/>
    <n v="6820327033.7799997"/>
  </r>
  <r>
    <x v="2"/>
    <x v="17"/>
    <n v="2025"/>
    <x v="2"/>
    <n v="39961.089999999997"/>
    <n v="82.4"/>
    <n v="271"/>
    <n v="140"/>
    <s v="Hatchback"/>
    <n v="5"/>
    <x v="1"/>
    <x v="2"/>
    <n v="132702"/>
    <n v="3.97"/>
    <n v="6"/>
    <n v="5302916565.1799994"/>
  </r>
  <r>
    <x v="8"/>
    <x v="12"/>
    <n v="2025"/>
    <x v="3"/>
    <n v="71166.509999999995"/>
    <n v="63.6"/>
    <n v="211"/>
    <n v="168"/>
    <s v="Truck"/>
    <n v="4"/>
    <x v="1"/>
    <x v="0"/>
    <n v="29813"/>
    <n v="3.63"/>
    <n v="3"/>
    <n v="2121687162.6299999"/>
  </r>
  <r>
    <x v="6"/>
    <x v="50"/>
    <n v="2025"/>
    <x v="3"/>
    <n v="33895.78"/>
    <n v="72.7"/>
    <n v="271"/>
    <n v="148"/>
    <s v="Sedan"/>
    <n v="4"/>
    <x v="4"/>
    <x v="3"/>
    <n v="74203"/>
    <n v="3.74"/>
    <n v="4"/>
    <n v="2515168563.3399997"/>
  </r>
  <r>
    <x v="2"/>
    <x v="35"/>
    <n v="2025"/>
    <x v="3"/>
    <n v="81903.39"/>
    <n v="69.099999999999994"/>
    <n v="257"/>
    <n v="170"/>
    <s v="Sedan"/>
    <n v="4"/>
    <x v="1"/>
    <x v="0"/>
    <n v="135577"/>
    <n v="3.78"/>
    <n v="5"/>
    <n v="11104215906.030001"/>
  </r>
  <r>
    <x v="8"/>
    <x v="12"/>
    <n v="2025"/>
    <x v="4"/>
    <n v="44324.9"/>
    <n v="61.8"/>
    <n v="198"/>
    <n v="139"/>
    <s v="Truck"/>
    <n v="4"/>
    <x v="1"/>
    <x v="2"/>
    <n v="57644"/>
    <n v="3.48"/>
    <n v="4"/>
    <n v="2555064535.5999999"/>
  </r>
  <r>
    <x v="4"/>
    <x v="40"/>
    <n v="2025"/>
    <x v="3"/>
    <n v="114471.43"/>
    <n v="76.2"/>
    <n v="231"/>
    <n v="152"/>
    <s v="Van"/>
    <n v="4"/>
    <x v="3"/>
    <x v="1"/>
    <n v="21563"/>
    <n v="3.5"/>
    <n v="6"/>
    <n v="2468347445.0899997"/>
  </r>
  <r>
    <x v="13"/>
    <x v="48"/>
    <n v="2025"/>
    <x v="0"/>
    <n v="83712.42"/>
    <n v="97.4"/>
    <n v="338"/>
    <n v="170"/>
    <s v="Van"/>
    <n v="3"/>
    <x v="3"/>
    <x v="0"/>
    <n v="37695"/>
    <n v="3.9"/>
    <n v="5"/>
    <n v="3155539671.9000001"/>
  </r>
  <r>
    <x v="7"/>
    <x v="10"/>
    <n v="2025"/>
    <x v="0"/>
    <n v="92182.9"/>
    <n v="103.2"/>
    <n v="359"/>
    <n v="194"/>
    <s v="Sedan"/>
    <n v="5"/>
    <x v="3"/>
    <x v="0"/>
    <n v="254291"/>
    <n v="3.6"/>
    <n v="3"/>
    <n v="23441281823.899998"/>
  </r>
  <r>
    <x v="8"/>
    <x v="34"/>
    <n v="2025"/>
    <x v="2"/>
    <n v="31805.75"/>
    <n v="48.6"/>
    <n v="157"/>
    <n v="168"/>
    <s v="Truck"/>
    <n v="4"/>
    <x v="1"/>
    <x v="3"/>
    <n v="49546"/>
    <n v="3.24"/>
    <n v="3"/>
    <n v="1575847689.5"/>
  </r>
  <r>
    <x v="12"/>
    <x v="36"/>
    <n v="2025"/>
    <x v="3"/>
    <n v="29502.2"/>
    <n v="67.8"/>
    <n v="248"/>
    <n v="142"/>
    <s v="Hatchback"/>
    <n v="4"/>
    <x v="1"/>
    <x v="3"/>
    <n v="19509"/>
    <n v="3.46"/>
    <n v="3"/>
    <n v="575558419.80000007"/>
  </r>
  <r>
    <x v="3"/>
    <x v="6"/>
    <n v="2025"/>
    <x v="1"/>
    <n v="94900.11"/>
    <n v="105.2"/>
    <n v="381"/>
    <n v="190"/>
    <s v="Hatchback"/>
    <n v="5"/>
    <x v="2"/>
    <x v="0"/>
    <n v="172031"/>
    <n v="3.92"/>
    <n v="3"/>
    <n v="16325760823.41"/>
  </r>
  <r>
    <x v="6"/>
    <x v="20"/>
    <n v="2025"/>
    <x v="1"/>
    <n v="95402.2"/>
    <n v="91.6"/>
    <n v="321"/>
    <n v="187"/>
    <s v="Coupe"/>
    <n v="4"/>
    <x v="4"/>
    <x v="0"/>
    <n v="124589"/>
    <n v="3.85"/>
    <n v="4"/>
    <n v="11886064695.799999"/>
  </r>
  <r>
    <x v="0"/>
    <x v="0"/>
    <n v="2025"/>
    <x v="0"/>
    <n v="84185.72"/>
    <n v="103.8"/>
    <n v="377"/>
    <n v="165"/>
    <s v="SUV"/>
    <n v="5"/>
    <x v="0"/>
    <x v="0"/>
    <n v="15914"/>
    <n v="3.93"/>
    <n v="4"/>
    <n v="1339731548.0799999"/>
  </r>
  <r>
    <x v="5"/>
    <x v="15"/>
    <n v="2025"/>
    <x v="4"/>
    <n v="76146.100000000006"/>
    <n v="42.4"/>
    <n v="175"/>
    <n v="146"/>
    <s v="SUV"/>
    <n v="4"/>
    <x v="4"/>
    <x v="0"/>
    <n v="86432"/>
    <n v="3.41"/>
    <n v="5"/>
    <n v="6581459715.2000008"/>
  </r>
  <r>
    <x v="13"/>
    <x v="48"/>
    <n v="2025"/>
    <x v="4"/>
    <n v="158316.82999999999"/>
    <n v="76"/>
    <n v="241"/>
    <n v="164"/>
    <s v="Van"/>
    <n v="5"/>
    <x v="3"/>
    <x v="1"/>
    <n v="22636"/>
    <n v="3.82"/>
    <n v="6"/>
    <n v="3583659763.8799996"/>
  </r>
  <r>
    <x v="11"/>
    <x v="30"/>
    <n v="2025"/>
    <x v="1"/>
    <n v="109164.41"/>
    <n v="79.599999999999994"/>
    <n v="288"/>
    <n v="197"/>
    <s v="Hatchback"/>
    <n v="5"/>
    <x v="1"/>
    <x v="1"/>
    <n v="19234"/>
    <n v="3.75"/>
    <n v="4"/>
    <n v="2099668261.9400001"/>
  </r>
  <r>
    <x v="5"/>
    <x v="7"/>
    <n v="2025"/>
    <x v="4"/>
    <n v="108567.95"/>
    <n v="56.3"/>
    <n v="197"/>
    <n v="165"/>
    <s v="Van"/>
    <n v="4"/>
    <x v="4"/>
    <x v="1"/>
    <n v="139588"/>
    <n v="3.58"/>
    <n v="4"/>
    <n v="15154783004.6"/>
  </r>
  <r>
    <x v="11"/>
    <x v="30"/>
    <n v="2025"/>
    <x v="2"/>
    <n v="79068.679999999993"/>
    <n v="62.9"/>
    <n v="236"/>
    <n v="146"/>
    <s v="SUV"/>
    <n v="5"/>
    <x v="1"/>
    <x v="0"/>
    <n v="25139"/>
    <n v="3.32"/>
    <n v="4"/>
    <n v="1987707546.5199997"/>
  </r>
  <r>
    <x v="2"/>
    <x v="17"/>
    <n v="2025"/>
    <x v="2"/>
    <n v="38136.97"/>
    <n v="76"/>
    <n v="284"/>
    <n v="142"/>
    <s v="Sedan"/>
    <n v="5"/>
    <x v="1"/>
    <x v="2"/>
    <n v="113015"/>
    <n v="3.93"/>
    <n v="5"/>
    <n v="4310049664.5500002"/>
  </r>
  <r>
    <x v="7"/>
    <x v="28"/>
    <n v="2025"/>
    <x v="4"/>
    <n v="45327.13"/>
    <n v="67.8"/>
    <n v="261"/>
    <n v="132"/>
    <s v="Coupe"/>
    <n v="4"/>
    <x v="3"/>
    <x v="2"/>
    <n v="299882"/>
    <n v="3.61"/>
    <n v="3"/>
    <n v="13592790398.66"/>
  </r>
  <r>
    <x v="15"/>
    <x v="43"/>
    <n v="2025"/>
    <x v="3"/>
    <n v="185796.61"/>
    <n v="78.099999999999994"/>
    <n v="296"/>
    <n v="148"/>
    <s v="Coupe"/>
    <n v="4"/>
    <x v="3"/>
    <x v="1"/>
    <n v="21608"/>
    <n v="3.85"/>
    <n v="6"/>
    <n v="4014693148.8799996"/>
  </r>
  <r>
    <x v="13"/>
    <x v="57"/>
    <n v="2025"/>
    <x v="0"/>
    <n v="94596.53"/>
    <n v="77.5"/>
    <n v="267"/>
    <n v="167"/>
    <s v="Coupe"/>
    <n v="5"/>
    <x v="3"/>
    <x v="0"/>
    <n v="48573"/>
    <n v="3.82"/>
    <n v="5"/>
    <n v="4594837251.6899996"/>
  </r>
  <r>
    <x v="11"/>
    <x v="25"/>
    <n v="2025"/>
    <x v="2"/>
    <n v="79447.62"/>
    <n v="60.5"/>
    <n v="184"/>
    <n v="158"/>
    <s v="Truck"/>
    <n v="5"/>
    <x v="1"/>
    <x v="0"/>
    <n v="21177"/>
    <n v="3.42"/>
    <n v="5"/>
    <n v="1682462248.74"/>
  </r>
  <r>
    <x v="6"/>
    <x v="53"/>
    <n v="2025"/>
    <x v="3"/>
    <n v="30172.57"/>
    <n v="82.9"/>
    <n v="283"/>
    <n v="137"/>
    <s v="Truck"/>
    <n v="3"/>
    <x v="4"/>
    <x v="3"/>
    <n v="76614"/>
    <n v="3.55"/>
    <n v="3"/>
    <n v="2311641277.98"/>
  </r>
  <r>
    <x v="6"/>
    <x v="9"/>
    <n v="2025"/>
    <x v="0"/>
    <n v="50915.71"/>
    <n v="81"/>
    <n v="278"/>
    <n v="183"/>
    <s v="Sedan"/>
    <n v="3"/>
    <x v="4"/>
    <x v="2"/>
    <n v="54316"/>
    <n v="3.5"/>
    <n v="5"/>
    <n v="2765537704.3600001"/>
  </r>
  <r>
    <x v="3"/>
    <x v="6"/>
    <n v="2025"/>
    <x v="0"/>
    <n v="99107.520000000004"/>
    <n v="98.9"/>
    <n v="347"/>
    <n v="177"/>
    <s v="Hatchback"/>
    <n v="5"/>
    <x v="2"/>
    <x v="0"/>
    <n v="190865"/>
    <n v="3.32"/>
    <n v="3"/>
    <n v="18916156804.799999"/>
  </r>
  <r>
    <x v="12"/>
    <x v="45"/>
    <n v="2025"/>
    <x v="2"/>
    <n v="60512.959999999999"/>
    <n v="58.6"/>
    <n v="258"/>
    <n v="146"/>
    <s v="Hatchback"/>
    <n v="5"/>
    <x v="1"/>
    <x v="2"/>
    <n v="12934"/>
    <n v="3.42"/>
    <n v="5"/>
    <n v="782674624.63999999"/>
  </r>
  <r>
    <x v="2"/>
    <x v="2"/>
    <n v="2025"/>
    <x v="1"/>
    <n v="68593.72"/>
    <n v="107.6"/>
    <n v="361"/>
    <n v="192"/>
    <s v="Coupe"/>
    <n v="5"/>
    <x v="1"/>
    <x v="0"/>
    <n v="245974"/>
    <n v="4.2300000000000004"/>
    <n v="5"/>
    <n v="16872271683.280001"/>
  </r>
  <r>
    <x v="2"/>
    <x v="31"/>
    <n v="2025"/>
    <x v="3"/>
    <n v="61013.48"/>
    <n v="45.2"/>
    <n v="156"/>
    <n v="151"/>
    <s v="Truck"/>
    <n v="3"/>
    <x v="1"/>
    <x v="2"/>
    <n v="132800"/>
    <n v="3.35"/>
    <n v="5"/>
    <n v="8102590144"/>
  </r>
  <r>
    <x v="6"/>
    <x v="9"/>
    <n v="2025"/>
    <x v="2"/>
    <n v="68602.240000000005"/>
    <n v="75.7"/>
    <n v="260"/>
    <n v="164"/>
    <s v="SUV"/>
    <n v="5"/>
    <x v="4"/>
    <x v="0"/>
    <n v="109721"/>
    <n v="3.31"/>
    <n v="5"/>
    <n v="7527106375.0400009"/>
  </r>
  <r>
    <x v="5"/>
    <x v="7"/>
    <n v="2025"/>
    <x v="4"/>
    <n v="64726.92"/>
    <n v="52.3"/>
    <n v="203"/>
    <n v="136"/>
    <s v="Truck"/>
    <n v="5"/>
    <x v="4"/>
    <x v="2"/>
    <n v="135916"/>
    <n v="3.12"/>
    <n v="4"/>
    <n v="8797424058.7199993"/>
  </r>
  <r>
    <x v="9"/>
    <x v="39"/>
    <n v="2025"/>
    <x v="2"/>
    <n v="93156.19"/>
    <n v="74.599999999999994"/>
    <n v="254"/>
    <n v="143"/>
    <s v="Van"/>
    <n v="4"/>
    <x v="3"/>
    <x v="0"/>
    <n v="71204"/>
    <n v="3.55"/>
    <n v="7"/>
    <n v="6633093352.7600002"/>
  </r>
  <r>
    <x v="7"/>
    <x v="24"/>
    <n v="2025"/>
    <x v="2"/>
    <n v="78698.7"/>
    <n v="67.400000000000006"/>
    <n v="200"/>
    <n v="164"/>
    <s v="Coupe"/>
    <n v="5"/>
    <x v="3"/>
    <x v="0"/>
    <n v="200182"/>
    <n v="3.41"/>
    <n v="4"/>
    <n v="15754063163.4"/>
  </r>
  <r>
    <x v="5"/>
    <x v="23"/>
    <n v="2025"/>
    <x v="2"/>
    <n v="60524.160000000003"/>
    <n v="58.8"/>
    <n v="217"/>
    <n v="148"/>
    <s v="Coupe"/>
    <n v="4"/>
    <x v="4"/>
    <x v="2"/>
    <n v="105178"/>
    <n v="3.37"/>
    <n v="4"/>
    <n v="6365810100.4800005"/>
  </r>
  <r>
    <x v="6"/>
    <x v="9"/>
    <n v="2025"/>
    <x v="2"/>
    <n v="46385.14"/>
    <n v="84.1"/>
    <n v="301"/>
    <n v="148"/>
    <s v="Truck"/>
    <n v="4"/>
    <x v="4"/>
    <x v="2"/>
    <n v="58564"/>
    <n v="3.62"/>
    <n v="3"/>
    <n v="2716499338.96"/>
  </r>
  <r>
    <x v="8"/>
    <x v="34"/>
    <n v="2025"/>
    <x v="1"/>
    <n v="106247.4"/>
    <n v="72.900000000000006"/>
    <n v="277"/>
    <n v="200"/>
    <s v="Coupe"/>
    <n v="5"/>
    <x v="1"/>
    <x v="1"/>
    <n v="49209"/>
    <n v="3.4"/>
    <n v="3"/>
    <n v="5228328306.5999994"/>
  </r>
  <r>
    <x v="6"/>
    <x v="20"/>
    <n v="2025"/>
    <x v="0"/>
    <n v="74693.36"/>
    <n v="95.4"/>
    <n v="340"/>
    <n v="186"/>
    <s v="Hatchback"/>
    <n v="5"/>
    <x v="4"/>
    <x v="0"/>
    <n v="138161"/>
    <n v="3.52"/>
    <n v="4"/>
    <n v="10319709310.960001"/>
  </r>
  <r>
    <x v="7"/>
    <x v="44"/>
    <n v="2025"/>
    <x v="3"/>
    <n v="60218.55"/>
    <n v="82.8"/>
    <n v="240"/>
    <n v="163"/>
    <s v="Van"/>
    <n v="5"/>
    <x v="3"/>
    <x v="2"/>
    <n v="290126"/>
    <n v="3.59"/>
    <n v="4"/>
    <n v="17470967037.299999"/>
  </r>
  <r>
    <x v="2"/>
    <x v="17"/>
    <n v="2025"/>
    <x v="1"/>
    <n v="58452.94"/>
    <n v="77.2"/>
    <n v="274"/>
    <n v="183"/>
    <s v="Van"/>
    <n v="3"/>
    <x v="1"/>
    <x v="2"/>
    <n v="216013"/>
    <n v="3.86"/>
    <n v="4"/>
    <n v="12626594928.220001"/>
  </r>
  <r>
    <x v="3"/>
    <x v="8"/>
    <n v="2025"/>
    <x v="3"/>
    <n v="82759.69"/>
    <n v="73.3"/>
    <n v="235"/>
    <n v="151"/>
    <s v="SUV"/>
    <n v="3"/>
    <x v="2"/>
    <x v="0"/>
    <n v="125776"/>
    <n v="3.36"/>
    <n v="3"/>
    <n v="10409182769.440001"/>
  </r>
  <r>
    <x v="7"/>
    <x v="24"/>
    <n v="2025"/>
    <x v="2"/>
    <n v="65061.9"/>
    <n v="65.099999999999994"/>
    <n v="212"/>
    <n v="137"/>
    <s v="Coupe"/>
    <n v="5"/>
    <x v="3"/>
    <x v="0"/>
    <n v="282957"/>
    <n v="3.68"/>
    <n v="3"/>
    <n v="18409720038.299999"/>
  </r>
  <r>
    <x v="12"/>
    <x v="45"/>
    <n v="2025"/>
    <x v="1"/>
    <n v="60210.65"/>
    <n v="70.400000000000006"/>
    <n v="258"/>
    <n v="200"/>
    <s v="Coupe"/>
    <n v="4"/>
    <x v="1"/>
    <x v="2"/>
    <n v="23288"/>
    <n v="3.63"/>
    <n v="4"/>
    <n v="1402185617.2"/>
  </r>
  <r>
    <x v="2"/>
    <x v="2"/>
    <n v="2025"/>
    <x v="1"/>
    <n v="140244.92000000001"/>
    <n v="75.7"/>
    <n v="265"/>
    <n v="187"/>
    <s v="Sedan"/>
    <n v="5"/>
    <x v="1"/>
    <x v="1"/>
    <n v="186365"/>
    <n v="3.84"/>
    <n v="5"/>
    <n v="26136744515.800003"/>
  </r>
  <r>
    <x v="3"/>
    <x v="11"/>
    <n v="2025"/>
    <x v="2"/>
    <n v="31665.46"/>
    <n v="68.3"/>
    <n v="217"/>
    <n v="171"/>
    <s v="Van"/>
    <n v="5"/>
    <x v="2"/>
    <x v="3"/>
    <n v="162790"/>
    <n v="3.33"/>
    <n v="4"/>
    <n v="5154820233.3999996"/>
  </r>
  <r>
    <x v="2"/>
    <x v="17"/>
    <n v="2025"/>
    <x v="0"/>
    <n v="91388.05"/>
    <n v="100.1"/>
    <n v="350"/>
    <n v="168"/>
    <s v="Sedan"/>
    <n v="4"/>
    <x v="1"/>
    <x v="0"/>
    <n v="148700"/>
    <n v="3.99"/>
    <n v="5"/>
    <n v="13589403035"/>
  </r>
  <r>
    <x v="13"/>
    <x v="64"/>
    <n v="2025"/>
    <x v="2"/>
    <n v="136918.85"/>
    <n v="55.5"/>
    <n v="195"/>
    <n v="148"/>
    <s v="Coupe"/>
    <n v="5"/>
    <x v="3"/>
    <x v="1"/>
    <n v="59537"/>
    <n v="3.51"/>
    <n v="7"/>
    <n v="8151737572.4500008"/>
  </r>
  <r>
    <x v="7"/>
    <x v="10"/>
    <n v="2025"/>
    <x v="1"/>
    <n v="68256.27"/>
    <n v="92.8"/>
    <n v="334"/>
    <n v="182"/>
    <s v="Sedan"/>
    <n v="5"/>
    <x v="3"/>
    <x v="0"/>
    <n v="215601"/>
    <n v="3.82"/>
    <n v="5"/>
    <n v="14716120068.27"/>
  </r>
  <r>
    <x v="9"/>
    <x v="39"/>
    <n v="2025"/>
    <x v="4"/>
    <n v="127970.02"/>
    <n v="52.7"/>
    <n v="181"/>
    <n v="171"/>
    <s v="Coupe"/>
    <n v="5"/>
    <x v="3"/>
    <x v="1"/>
    <n v="25659"/>
    <n v="3.39"/>
    <n v="7"/>
    <n v="3283582743.1800003"/>
  </r>
  <r>
    <x v="2"/>
    <x v="35"/>
    <n v="2025"/>
    <x v="1"/>
    <n v="40997.300000000003"/>
    <n v="73.3"/>
    <n v="261"/>
    <n v="198"/>
    <s v="Sedan"/>
    <n v="5"/>
    <x v="1"/>
    <x v="2"/>
    <n v="192699"/>
    <n v="3.73"/>
    <n v="4"/>
    <n v="7900138712.7000008"/>
  </r>
  <r>
    <x v="2"/>
    <x v="35"/>
    <n v="2025"/>
    <x v="2"/>
    <n v="76806.22"/>
    <n v="41.8"/>
    <n v="166"/>
    <n v="152"/>
    <s v="Sedan"/>
    <n v="5"/>
    <x v="1"/>
    <x v="0"/>
    <n v="136111"/>
    <n v="3.64"/>
    <n v="6"/>
    <n v="10454171410.42"/>
  </r>
  <r>
    <x v="2"/>
    <x v="31"/>
    <n v="2025"/>
    <x v="2"/>
    <n v="96810.26"/>
    <n v="47.9"/>
    <n v="153"/>
    <n v="146"/>
    <s v="Truck"/>
    <n v="4"/>
    <x v="1"/>
    <x v="0"/>
    <n v="113593"/>
    <n v="3.86"/>
    <n v="6"/>
    <n v="10996967864.18"/>
  </r>
  <r>
    <x v="7"/>
    <x v="27"/>
    <n v="2025"/>
    <x v="2"/>
    <n v="47861.91"/>
    <n v="65.3"/>
    <n v="231"/>
    <n v="161"/>
    <s v="Sedan"/>
    <n v="3"/>
    <x v="3"/>
    <x v="2"/>
    <n v="247700"/>
    <n v="3.21"/>
    <n v="3"/>
    <n v="11855395107"/>
  </r>
  <r>
    <x v="4"/>
    <x v="61"/>
    <n v="2025"/>
    <x v="2"/>
    <n v="84123.81"/>
    <n v="68.5"/>
    <n v="247"/>
    <n v="149"/>
    <s v="Hatchback"/>
    <n v="4"/>
    <x v="3"/>
    <x v="0"/>
    <n v="60155"/>
    <n v="3.29"/>
    <n v="8"/>
    <n v="5060467790.5500002"/>
  </r>
  <r>
    <x v="8"/>
    <x v="60"/>
    <n v="2025"/>
    <x v="1"/>
    <n v="60546.720000000001"/>
    <n v="113"/>
    <n v="423"/>
    <n v="200"/>
    <s v="Coupe"/>
    <n v="3"/>
    <x v="1"/>
    <x v="2"/>
    <n v="27560"/>
    <n v="3.76"/>
    <n v="5"/>
    <n v="1668667603.2"/>
  </r>
  <r>
    <x v="2"/>
    <x v="31"/>
    <n v="2025"/>
    <x v="4"/>
    <n v="170547.81"/>
    <n v="44.5"/>
    <n v="153"/>
    <n v="132"/>
    <s v="Truck"/>
    <n v="4"/>
    <x v="1"/>
    <x v="1"/>
    <n v="192321"/>
    <n v="3.6"/>
    <n v="5"/>
    <n v="32799925367.009998"/>
  </r>
  <r>
    <x v="6"/>
    <x v="63"/>
    <n v="2025"/>
    <x v="4"/>
    <n v="100947.83"/>
    <n v="60.5"/>
    <n v="195"/>
    <n v="135"/>
    <s v="Hatchback"/>
    <n v="5"/>
    <x v="4"/>
    <x v="1"/>
    <n v="101360"/>
    <n v="3.44"/>
    <n v="4"/>
    <n v="10232072048.799999"/>
  </r>
  <r>
    <x v="10"/>
    <x v="18"/>
    <n v="2025"/>
    <x v="1"/>
    <n v="93833.94"/>
    <n v="111.8"/>
    <n v="383"/>
    <n v="200"/>
    <s v="Coupe"/>
    <n v="5"/>
    <x v="5"/>
    <x v="0"/>
    <n v="6307"/>
    <n v="3.42"/>
    <n v="4"/>
    <n v="591810659.58000004"/>
  </r>
  <r>
    <x v="2"/>
    <x v="31"/>
    <n v="2025"/>
    <x v="3"/>
    <n v="127335.12"/>
    <n v="71.900000000000006"/>
    <n v="270"/>
    <n v="175"/>
    <s v="Truck"/>
    <n v="5"/>
    <x v="1"/>
    <x v="1"/>
    <n v="188107"/>
    <n v="3.78"/>
    <n v="4"/>
    <n v="23952627417.84"/>
  </r>
  <r>
    <x v="11"/>
    <x v="25"/>
    <n v="2025"/>
    <x v="1"/>
    <n v="117871.06"/>
    <n v="81.900000000000006"/>
    <n v="280"/>
    <n v="199"/>
    <s v="Truck"/>
    <n v="5"/>
    <x v="1"/>
    <x v="1"/>
    <n v="14378"/>
    <n v="3.8"/>
    <n v="6"/>
    <n v="1694750100.6800001"/>
  </r>
  <r>
    <x v="2"/>
    <x v="35"/>
    <n v="2025"/>
    <x v="1"/>
    <n v="126875.08"/>
    <n v="98.3"/>
    <n v="345"/>
    <n v="198"/>
    <s v="Van"/>
    <n v="5"/>
    <x v="1"/>
    <x v="1"/>
    <n v="158417"/>
    <n v="3.71"/>
    <n v="5"/>
    <n v="20099169548.360001"/>
  </r>
  <r>
    <x v="9"/>
    <x v="16"/>
    <n v="2025"/>
    <x v="1"/>
    <n v="83830.66"/>
    <n v="91.7"/>
    <n v="316"/>
    <n v="188"/>
    <s v="Truck"/>
    <n v="4"/>
    <x v="3"/>
    <x v="0"/>
    <n v="61677"/>
    <n v="3.43"/>
    <n v="7"/>
    <n v="5170423616.8200006"/>
  </r>
  <r>
    <x v="2"/>
    <x v="2"/>
    <n v="2025"/>
    <x v="2"/>
    <n v="29411.54"/>
    <n v="61.2"/>
    <n v="220"/>
    <n v="127"/>
    <s v="Hatchback"/>
    <n v="5"/>
    <x v="1"/>
    <x v="3"/>
    <n v="206579"/>
    <n v="3.63"/>
    <n v="6"/>
    <n v="6075806521.6599998"/>
  </r>
  <r>
    <x v="2"/>
    <x v="31"/>
    <n v="2025"/>
    <x v="4"/>
    <n v="131326.82"/>
    <n v="44.5"/>
    <n v="172"/>
    <n v="164"/>
    <s v="Truck"/>
    <n v="5"/>
    <x v="1"/>
    <x v="1"/>
    <n v="195107"/>
    <n v="3.68"/>
    <n v="5"/>
    <n v="25622781869.740002"/>
  </r>
  <r>
    <x v="2"/>
    <x v="35"/>
    <n v="2025"/>
    <x v="2"/>
    <n v="106034.49"/>
    <n v="82.6"/>
    <n v="286"/>
    <n v="151"/>
    <s v="Van"/>
    <n v="5"/>
    <x v="1"/>
    <x v="1"/>
    <n v="136623"/>
    <n v="3.7"/>
    <n v="6"/>
    <n v="14486750127.27"/>
  </r>
  <r>
    <x v="5"/>
    <x v="13"/>
    <n v="2025"/>
    <x v="2"/>
    <n v="33502.19"/>
    <n v="82.4"/>
    <n v="304"/>
    <n v="144"/>
    <s v="Van"/>
    <n v="4"/>
    <x v="4"/>
    <x v="3"/>
    <n v="70571"/>
    <n v="3.47"/>
    <n v="4"/>
    <n v="2364283050.4900002"/>
  </r>
  <r>
    <x v="3"/>
    <x v="11"/>
    <n v="2025"/>
    <x v="4"/>
    <n v="98579.06"/>
    <n v="64.3"/>
    <n v="224"/>
    <n v="143"/>
    <s v="Coupe"/>
    <n v="5"/>
    <x v="2"/>
    <x v="0"/>
    <n v="142672"/>
    <n v="3.25"/>
    <n v="3"/>
    <n v="14064471648.32"/>
  </r>
  <r>
    <x v="3"/>
    <x v="6"/>
    <n v="2025"/>
    <x v="0"/>
    <n v="32535.18"/>
    <n v="92"/>
    <n v="307"/>
    <n v="175"/>
    <s v="Sedan"/>
    <n v="4"/>
    <x v="2"/>
    <x v="3"/>
    <n v="218123"/>
    <n v="3.53"/>
    <n v="3"/>
    <n v="7096671067.1400003"/>
  </r>
  <r>
    <x v="12"/>
    <x v="36"/>
    <n v="2025"/>
    <x v="4"/>
    <n v="61871.83"/>
    <n v="57.9"/>
    <n v="176"/>
    <n v="168"/>
    <s v="Hatchback"/>
    <n v="5"/>
    <x v="1"/>
    <x v="2"/>
    <n v="10487"/>
    <n v="3.16"/>
    <n v="3"/>
    <n v="648849881.21000004"/>
  </r>
  <r>
    <x v="5"/>
    <x v="15"/>
    <n v="2025"/>
    <x v="1"/>
    <n v="72347.59"/>
    <n v="112"/>
    <n v="369"/>
    <n v="185"/>
    <s v="SUV"/>
    <n v="3"/>
    <x v="4"/>
    <x v="0"/>
    <n v="144057"/>
    <n v="3.62"/>
    <n v="3"/>
    <n v="10422176772.629999"/>
  </r>
  <r>
    <x v="6"/>
    <x v="63"/>
    <n v="2025"/>
    <x v="1"/>
    <n v="47415.02"/>
    <n v="112.3"/>
    <n v="399"/>
    <n v="200"/>
    <s v="Hatchback"/>
    <n v="5"/>
    <x v="4"/>
    <x v="2"/>
    <n v="102665"/>
    <n v="3.98"/>
    <n v="3"/>
    <n v="4867863028.2999992"/>
  </r>
  <r>
    <x v="14"/>
    <x v="66"/>
    <n v="2025"/>
    <x v="4"/>
    <n v="83405.89"/>
    <n v="75.400000000000006"/>
    <n v="277"/>
    <n v="164"/>
    <s v="Van"/>
    <n v="5"/>
    <x v="2"/>
    <x v="0"/>
    <n v="11073"/>
    <n v="3.32"/>
    <n v="5"/>
    <n v="923553419.97000003"/>
  </r>
  <r>
    <x v="2"/>
    <x v="17"/>
    <n v="2025"/>
    <x v="0"/>
    <n v="84190.57"/>
    <n v="98"/>
    <n v="350"/>
    <n v="182"/>
    <s v="Coupe"/>
    <n v="4"/>
    <x v="1"/>
    <x v="0"/>
    <n v="181874"/>
    <n v="3.94"/>
    <n v="4"/>
    <n v="15312075728.180002"/>
  </r>
  <r>
    <x v="3"/>
    <x v="8"/>
    <n v="2025"/>
    <x v="2"/>
    <n v="53719.72"/>
    <n v="48.4"/>
    <n v="150"/>
    <n v="160"/>
    <s v="Hatchback"/>
    <n v="3"/>
    <x v="2"/>
    <x v="2"/>
    <n v="246801"/>
    <n v="3.15"/>
    <n v="5"/>
    <n v="13258080615.720001"/>
  </r>
  <r>
    <x v="2"/>
    <x v="35"/>
    <n v="2025"/>
    <x v="0"/>
    <n v="153915.44"/>
    <n v="92"/>
    <n v="309"/>
    <n v="177"/>
    <s v="Van"/>
    <n v="5"/>
    <x v="1"/>
    <x v="1"/>
    <n v="210826"/>
    <n v="3.64"/>
    <n v="5"/>
    <n v="32449376553.439999"/>
  </r>
  <r>
    <x v="12"/>
    <x v="46"/>
    <n v="2025"/>
    <x v="3"/>
    <n v="28857.9"/>
    <n v="80"/>
    <n v="326"/>
    <n v="147"/>
    <s v="SUV"/>
    <n v="4"/>
    <x v="1"/>
    <x v="3"/>
    <n v="24599"/>
    <n v="3.71"/>
    <n v="4"/>
    <n v="709875482.10000002"/>
  </r>
  <r>
    <x v="8"/>
    <x v="12"/>
    <n v="2025"/>
    <x v="0"/>
    <n v="91074.2"/>
    <n v="83.3"/>
    <n v="309"/>
    <n v="165"/>
    <s v="Truck"/>
    <n v="5"/>
    <x v="1"/>
    <x v="0"/>
    <n v="78477"/>
    <n v="3.54"/>
    <n v="5"/>
    <n v="7147229993.3999996"/>
  </r>
  <r>
    <x v="3"/>
    <x v="3"/>
    <n v="2025"/>
    <x v="4"/>
    <n v="100296.35"/>
    <n v="81.5"/>
    <n v="290"/>
    <n v="143"/>
    <s v="Hatchback"/>
    <n v="4"/>
    <x v="2"/>
    <x v="1"/>
    <n v="155370"/>
    <n v="3.84"/>
    <n v="4"/>
    <n v="15583043899.5"/>
  </r>
  <r>
    <x v="0"/>
    <x v="0"/>
    <n v="2025"/>
    <x v="2"/>
    <n v="65608.600000000006"/>
    <n v="60.1"/>
    <n v="208"/>
    <n v="154"/>
    <s v="SUV"/>
    <n v="4"/>
    <x v="0"/>
    <x v="0"/>
    <n v="24977"/>
    <n v="3.36"/>
    <n v="5"/>
    <n v="1638706002.2"/>
  </r>
  <r>
    <x v="5"/>
    <x v="15"/>
    <n v="2025"/>
    <x v="4"/>
    <n v="81244.23"/>
    <n v="54.9"/>
    <n v="181"/>
    <n v="149"/>
    <s v="SUV"/>
    <n v="5"/>
    <x v="4"/>
    <x v="0"/>
    <n v="70466"/>
    <n v="3.28"/>
    <n v="5"/>
    <n v="5724955911.1799994"/>
  </r>
  <r>
    <x v="12"/>
    <x v="29"/>
    <n v="2025"/>
    <x v="4"/>
    <n v="46867.37"/>
    <n v="59.3"/>
    <n v="232"/>
    <n v="135"/>
    <s v="Sedan"/>
    <n v="5"/>
    <x v="1"/>
    <x v="2"/>
    <n v="24354"/>
    <n v="3.3"/>
    <n v="3"/>
    <n v="1141407928.98"/>
  </r>
  <r>
    <x v="3"/>
    <x v="3"/>
    <n v="2025"/>
    <x v="0"/>
    <n v="26705.48"/>
    <n v="85.3"/>
    <n v="273"/>
    <n v="169"/>
    <s v="Truck"/>
    <n v="4"/>
    <x v="2"/>
    <x v="3"/>
    <n v="188547"/>
    <n v="3.41"/>
    <n v="3"/>
    <n v="5035238137.5599995"/>
  </r>
  <r>
    <x v="3"/>
    <x v="8"/>
    <n v="2025"/>
    <x v="1"/>
    <n v="98821.6"/>
    <n v="98.4"/>
    <n v="363"/>
    <n v="189"/>
    <s v="Hatchback"/>
    <n v="4"/>
    <x v="2"/>
    <x v="0"/>
    <n v="172137"/>
    <n v="3.93"/>
    <n v="4"/>
    <n v="17010853759.200001"/>
  </r>
  <r>
    <x v="15"/>
    <x v="43"/>
    <n v="2025"/>
    <x v="3"/>
    <n v="186969.89"/>
    <n v="80.5"/>
    <n v="291"/>
    <n v="132"/>
    <s v="Hatchback"/>
    <n v="5"/>
    <x v="3"/>
    <x v="1"/>
    <n v="29154"/>
    <n v="4.28"/>
    <n v="8"/>
    <n v="5450920173.0600004"/>
  </r>
  <r>
    <x v="2"/>
    <x v="31"/>
    <n v="2025"/>
    <x v="3"/>
    <n v="98006.33"/>
    <n v="50.5"/>
    <n v="177"/>
    <n v="138"/>
    <s v="Truck"/>
    <n v="4"/>
    <x v="1"/>
    <x v="0"/>
    <n v="113383"/>
    <n v="3.75"/>
    <n v="4"/>
    <n v="11112251714.389999"/>
  </r>
  <r>
    <x v="3"/>
    <x v="8"/>
    <n v="2025"/>
    <x v="2"/>
    <n v="52113.75"/>
    <n v="54.9"/>
    <n v="221"/>
    <n v="148"/>
    <s v="Coupe"/>
    <n v="4"/>
    <x v="2"/>
    <x v="2"/>
    <n v="186712"/>
    <n v="3.38"/>
    <n v="5"/>
    <n v="9730262490"/>
  </r>
  <r>
    <x v="13"/>
    <x v="59"/>
    <n v="2025"/>
    <x v="4"/>
    <n v="91108.2"/>
    <n v="66.3"/>
    <n v="223"/>
    <n v="157"/>
    <s v="Van"/>
    <n v="5"/>
    <x v="3"/>
    <x v="0"/>
    <n v="58124"/>
    <n v="3.6"/>
    <n v="6"/>
    <n v="5295573016.8000002"/>
  </r>
  <r>
    <x v="2"/>
    <x v="17"/>
    <n v="2025"/>
    <x v="4"/>
    <n v="137916.62"/>
    <n v="66"/>
    <n v="216"/>
    <n v="158"/>
    <s v="SUV"/>
    <n v="5"/>
    <x v="1"/>
    <x v="1"/>
    <n v="132643"/>
    <n v="3.73"/>
    <n v="5"/>
    <n v="18293674226.66"/>
  </r>
  <r>
    <x v="12"/>
    <x v="36"/>
    <n v="2025"/>
    <x v="1"/>
    <n v="62330.93"/>
    <n v="108"/>
    <n v="376"/>
    <n v="200"/>
    <s v="Truck"/>
    <n v="4"/>
    <x v="1"/>
    <x v="2"/>
    <n v="27154"/>
    <n v="3.92"/>
    <n v="5"/>
    <n v="1692534073.22"/>
  </r>
  <r>
    <x v="3"/>
    <x v="14"/>
    <n v="2025"/>
    <x v="3"/>
    <n v="29108.23"/>
    <n v="44.5"/>
    <n v="170"/>
    <n v="165"/>
    <s v="Hatchback"/>
    <n v="5"/>
    <x v="2"/>
    <x v="3"/>
    <n v="179440"/>
    <n v="3.4"/>
    <n v="4"/>
    <n v="5223180791.1999998"/>
  </r>
  <r>
    <x v="12"/>
    <x v="36"/>
    <n v="2025"/>
    <x v="1"/>
    <n v="81159.740000000005"/>
    <n v="104.4"/>
    <n v="379"/>
    <n v="200"/>
    <s v="Truck"/>
    <n v="4"/>
    <x v="1"/>
    <x v="0"/>
    <n v="28393"/>
    <n v="3.84"/>
    <n v="3"/>
    <n v="2304368497.8200002"/>
  </r>
  <r>
    <x v="2"/>
    <x v="17"/>
    <n v="2025"/>
    <x v="2"/>
    <n v="80586.23"/>
    <n v="77.900000000000006"/>
    <n v="274"/>
    <n v="149"/>
    <s v="Van"/>
    <n v="5"/>
    <x v="1"/>
    <x v="0"/>
    <n v="243472"/>
    <n v="3.8"/>
    <n v="4"/>
    <n v="19620490590.559998"/>
  </r>
  <r>
    <x v="3"/>
    <x v="14"/>
    <n v="2025"/>
    <x v="3"/>
    <n v="79451.820000000007"/>
    <n v="66.3"/>
    <n v="253"/>
    <n v="158"/>
    <s v="Hatchback"/>
    <n v="5"/>
    <x v="2"/>
    <x v="0"/>
    <n v="216726"/>
    <n v="3.44"/>
    <n v="3"/>
    <n v="17219275141.32"/>
  </r>
  <r>
    <x v="8"/>
    <x v="21"/>
    <n v="2025"/>
    <x v="2"/>
    <n v="47442.7"/>
    <n v="70.8"/>
    <n v="237"/>
    <n v="153"/>
    <s v="Van"/>
    <n v="4"/>
    <x v="1"/>
    <x v="2"/>
    <n v="71700"/>
    <n v="3.47"/>
    <n v="3"/>
    <n v="3401641590"/>
  </r>
  <r>
    <x v="3"/>
    <x v="37"/>
    <n v="2025"/>
    <x v="3"/>
    <n v="32451.41"/>
    <n v="72.900000000000006"/>
    <n v="268"/>
    <n v="148"/>
    <s v="Coupe"/>
    <n v="4"/>
    <x v="2"/>
    <x v="3"/>
    <n v="104392"/>
    <n v="3.51"/>
    <n v="4"/>
    <n v="3387667592.7199998"/>
  </r>
  <r>
    <x v="2"/>
    <x v="17"/>
    <n v="2025"/>
    <x v="2"/>
    <n v="108727.13"/>
    <n v="41.1"/>
    <n v="150"/>
    <n v="131"/>
    <s v="Truck"/>
    <n v="3"/>
    <x v="1"/>
    <x v="1"/>
    <n v="118818"/>
    <n v="3.3"/>
    <n v="6"/>
    <n v="12918740132.34"/>
  </r>
  <r>
    <x v="6"/>
    <x v="9"/>
    <n v="2025"/>
    <x v="2"/>
    <n v="34994.42"/>
    <n v="79.099999999999994"/>
    <n v="269"/>
    <n v="142"/>
    <s v="Hatchback"/>
    <n v="3"/>
    <x v="4"/>
    <x v="3"/>
    <n v="123225"/>
    <n v="3.52"/>
    <n v="4"/>
    <n v="4312187404.5"/>
  </r>
  <r>
    <x v="8"/>
    <x v="60"/>
    <n v="2025"/>
    <x v="0"/>
    <n v="70076.78"/>
    <n v="107.7"/>
    <n v="396"/>
    <n v="185"/>
    <s v="Truck"/>
    <n v="3"/>
    <x v="1"/>
    <x v="0"/>
    <n v="52702"/>
    <n v="3.92"/>
    <n v="4"/>
    <n v="3693186459.5599999"/>
  </r>
  <r>
    <x v="7"/>
    <x v="27"/>
    <n v="2025"/>
    <x v="1"/>
    <n v="52326.27"/>
    <n v="115.4"/>
    <n v="383"/>
    <n v="200"/>
    <s v="SUV"/>
    <n v="5"/>
    <x v="3"/>
    <x v="2"/>
    <n v="248780"/>
    <n v="3.88"/>
    <n v="3"/>
    <n v="13017729450.599998"/>
  </r>
  <r>
    <x v="9"/>
    <x v="16"/>
    <n v="2025"/>
    <x v="2"/>
    <n v="68260.210000000006"/>
    <n v="52.1"/>
    <n v="191"/>
    <n v="171"/>
    <s v="SUV"/>
    <n v="4"/>
    <x v="3"/>
    <x v="0"/>
    <n v="78488"/>
    <n v="3.02"/>
    <n v="7"/>
    <n v="5357607362.4800005"/>
  </r>
  <r>
    <x v="10"/>
    <x v="18"/>
    <n v="2025"/>
    <x v="2"/>
    <n v="91715.74"/>
    <n v="62.6"/>
    <n v="234"/>
    <n v="155"/>
    <s v="Hatchback"/>
    <n v="5"/>
    <x v="5"/>
    <x v="0"/>
    <n v="2292"/>
    <n v="3.52"/>
    <n v="4"/>
    <n v="210212476.08000001"/>
  </r>
  <r>
    <x v="8"/>
    <x v="34"/>
    <n v="2025"/>
    <x v="2"/>
    <n v="55304.32"/>
    <n v="58.4"/>
    <n v="191"/>
    <n v="164"/>
    <s v="SUV"/>
    <n v="5"/>
    <x v="1"/>
    <x v="2"/>
    <n v="32117"/>
    <n v="3.32"/>
    <n v="4"/>
    <n v="1776208845.4400001"/>
  </r>
  <r>
    <x v="3"/>
    <x v="8"/>
    <n v="2025"/>
    <x v="1"/>
    <n v="30282.11"/>
    <n v="100"/>
    <n v="331"/>
    <n v="200"/>
    <s v="Van"/>
    <n v="5"/>
    <x v="2"/>
    <x v="3"/>
    <n v="180781"/>
    <n v="4.04"/>
    <n v="5"/>
    <n v="5474430127.9099998"/>
  </r>
  <r>
    <x v="3"/>
    <x v="8"/>
    <n v="2025"/>
    <x v="3"/>
    <n v="83813.38"/>
    <n v="70"/>
    <n v="271"/>
    <n v="166"/>
    <s v="SUV"/>
    <n v="3"/>
    <x v="2"/>
    <x v="0"/>
    <n v="193467"/>
    <n v="3.4"/>
    <n v="5"/>
    <n v="16215123188.460001"/>
  </r>
  <r>
    <x v="2"/>
    <x v="5"/>
    <n v="2025"/>
    <x v="1"/>
    <n v="63323.17"/>
    <n v="90.5"/>
    <n v="314"/>
    <n v="195"/>
    <s v="Coupe"/>
    <n v="5"/>
    <x v="1"/>
    <x v="2"/>
    <n v="404935"/>
    <n v="3.92"/>
    <n v="5"/>
    <n v="25641767843.950001"/>
  </r>
  <r>
    <x v="3"/>
    <x v="6"/>
    <n v="2025"/>
    <x v="0"/>
    <n v="51946.07"/>
    <n v="98.3"/>
    <n v="331"/>
    <n v="185"/>
    <s v="Sedan"/>
    <n v="5"/>
    <x v="2"/>
    <x v="2"/>
    <n v="247778"/>
    <n v="3.61"/>
    <n v="3"/>
    <n v="12871093332.459999"/>
  </r>
  <r>
    <x v="8"/>
    <x v="21"/>
    <n v="2025"/>
    <x v="3"/>
    <n v="44718.1"/>
    <n v="71.7"/>
    <n v="258"/>
    <n v="157"/>
    <s v="Hatchback"/>
    <n v="5"/>
    <x v="1"/>
    <x v="2"/>
    <n v="41551"/>
    <n v="3.51"/>
    <n v="3"/>
    <n v="1858081773.0999999"/>
  </r>
  <r>
    <x v="7"/>
    <x v="10"/>
    <n v="2025"/>
    <x v="4"/>
    <n v="112803.13"/>
    <n v="81.2"/>
    <n v="297"/>
    <n v="158"/>
    <s v="Truck"/>
    <n v="4"/>
    <x v="3"/>
    <x v="1"/>
    <n v="225327"/>
    <n v="3.76"/>
    <n v="3"/>
    <n v="25417590873.510002"/>
  </r>
  <r>
    <x v="4"/>
    <x v="32"/>
    <n v="2025"/>
    <x v="0"/>
    <n v="126392.96000000001"/>
    <n v="109.8"/>
    <n v="384"/>
    <n v="176"/>
    <s v="Sedan"/>
    <n v="4"/>
    <x v="3"/>
    <x v="1"/>
    <n v="38380"/>
    <n v="4.0199999999999996"/>
    <n v="8"/>
    <n v="4850961804.8000002"/>
  </r>
  <r>
    <x v="0"/>
    <x v="0"/>
    <n v="2025"/>
    <x v="4"/>
    <n v="79560.179999999993"/>
    <n v="48.9"/>
    <n v="199"/>
    <n v="167"/>
    <s v="SUV"/>
    <n v="5"/>
    <x v="0"/>
    <x v="0"/>
    <n v="12847"/>
    <n v="3.03"/>
    <n v="3"/>
    <n v="1022109632.4599999"/>
  </r>
  <r>
    <x v="6"/>
    <x v="20"/>
    <n v="2025"/>
    <x v="1"/>
    <n v="56648.45"/>
    <n v="77.2"/>
    <n v="256"/>
    <n v="200"/>
    <s v="Truck"/>
    <n v="4"/>
    <x v="4"/>
    <x v="2"/>
    <n v="120189"/>
    <n v="3.68"/>
    <n v="3"/>
    <n v="6808520557.0499992"/>
  </r>
  <r>
    <x v="2"/>
    <x v="5"/>
    <n v="2025"/>
    <x v="4"/>
    <n v="126346.84"/>
    <n v="62.5"/>
    <n v="253"/>
    <n v="147"/>
    <s v="SUV"/>
    <n v="4"/>
    <x v="1"/>
    <x v="1"/>
    <n v="433007"/>
    <n v="3.92"/>
    <n v="5"/>
    <n v="54709066147.879997"/>
  </r>
  <r>
    <x v="17"/>
    <x v="73"/>
    <n v="2025"/>
    <x v="0"/>
    <n v="79465"/>
    <n v="100.9"/>
    <n v="373"/>
    <n v="183"/>
    <s v="Van"/>
    <n v="5"/>
    <x v="5"/>
    <x v="0"/>
    <n v="9072"/>
    <n v="4"/>
    <n v="5"/>
    <n v="720906480"/>
  </r>
  <r>
    <x v="7"/>
    <x v="28"/>
    <n v="2025"/>
    <x v="0"/>
    <n v="97039.06"/>
    <n v="100.7"/>
    <n v="357"/>
    <n v="191"/>
    <s v="Coupe"/>
    <n v="4"/>
    <x v="3"/>
    <x v="0"/>
    <n v="224398"/>
    <n v="3.79"/>
    <n v="3"/>
    <n v="21775370985.880001"/>
  </r>
  <r>
    <x v="12"/>
    <x v="52"/>
    <n v="2025"/>
    <x v="4"/>
    <n v="80502.600000000006"/>
    <n v="78.599999999999994"/>
    <n v="262"/>
    <n v="176"/>
    <s v="Sedan"/>
    <n v="3"/>
    <x v="1"/>
    <x v="0"/>
    <n v="14992"/>
    <n v="3.62"/>
    <n v="4"/>
    <n v="1206894979.2"/>
  </r>
  <r>
    <x v="2"/>
    <x v="17"/>
    <n v="2025"/>
    <x v="0"/>
    <n v="31639.64"/>
    <n v="77.2"/>
    <n v="287"/>
    <n v="172"/>
    <s v="Coupe"/>
    <n v="5"/>
    <x v="1"/>
    <x v="3"/>
    <n v="146342"/>
    <n v="4"/>
    <n v="4"/>
    <n v="4630208196.8800001"/>
  </r>
  <r>
    <x v="3"/>
    <x v="6"/>
    <n v="2025"/>
    <x v="1"/>
    <n v="81358.02"/>
    <n v="82.4"/>
    <n v="282"/>
    <n v="195"/>
    <s v="Sedan"/>
    <n v="4"/>
    <x v="2"/>
    <x v="0"/>
    <n v="108251"/>
    <n v="3.65"/>
    <n v="4"/>
    <n v="8807087023.0200005"/>
  </r>
  <r>
    <x v="3"/>
    <x v="8"/>
    <n v="2025"/>
    <x v="2"/>
    <n v="73207.320000000007"/>
    <n v="69.3"/>
    <n v="232"/>
    <n v="152"/>
    <s v="Hatchback"/>
    <n v="4"/>
    <x v="2"/>
    <x v="0"/>
    <n v="205374"/>
    <n v="3.21"/>
    <n v="4"/>
    <n v="15034880137.680002"/>
  </r>
  <r>
    <x v="13"/>
    <x v="33"/>
    <n v="2025"/>
    <x v="4"/>
    <n v="112650.99"/>
    <n v="53.9"/>
    <n v="165"/>
    <n v="148"/>
    <s v="SUV"/>
    <n v="4"/>
    <x v="3"/>
    <x v="1"/>
    <n v="79068"/>
    <n v="3.36"/>
    <n v="6"/>
    <n v="8907088477.3199997"/>
  </r>
  <r>
    <x v="2"/>
    <x v="2"/>
    <n v="2025"/>
    <x v="3"/>
    <n v="58831.27"/>
    <n v="45"/>
    <n v="150"/>
    <n v="147"/>
    <s v="Sedan"/>
    <n v="5"/>
    <x v="1"/>
    <x v="2"/>
    <n v="150860"/>
    <n v="3.42"/>
    <n v="5"/>
    <n v="8875285392.1999989"/>
  </r>
  <r>
    <x v="7"/>
    <x v="27"/>
    <n v="2025"/>
    <x v="0"/>
    <n v="70858.100000000006"/>
    <n v="90.5"/>
    <n v="274"/>
    <n v="163"/>
    <s v="Truck"/>
    <n v="5"/>
    <x v="3"/>
    <x v="0"/>
    <n v="251846"/>
    <n v="3.59"/>
    <n v="4"/>
    <n v="17845329052.600002"/>
  </r>
  <r>
    <x v="3"/>
    <x v="42"/>
    <n v="2025"/>
    <x v="2"/>
    <n v="73712.39"/>
    <n v="44.1"/>
    <n v="173"/>
    <n v="126"/>
    <s v="Sedan"/>
    <n v="4"/>
    <x v="2"/>
    <x v="0"/>
    <n v="243890"/>
    <n v="3.08"/>
    <n v="4"/>
    <n v="17977714797.099998"/>
  </r>
  <r>
    <x v="6"/>
    <x v="20"/>
    <n v="2025"/>
    <x v="3"/>
    <n v="65291.37"/>
    <n v="83.7"/>
    <n v="283"/>
    <n v="150"/>
    <s v="Van"/>
    <n v="5"/>
    <x v="4"/>
    <x v="0"/>
    <n v="99183"/>
    <n v="3.55"/>
    <n v="3"/>
    <n v="6475793950.71"/>
  </r>
  <r>
    <x v="2"/>
    <x v="31"/>
    <n v="2025"/>
    <x v="2"/>
    <n v="64862.04"/>
    <n v="68.099999999999994"/>
    <n v="237"/>
    <n v="145"/>
    <s v="Truck"/>
    <n v="5"/>
    <x v="1"/>
    <x v="2"/>
    <n v="237113"/>
    <n v="3.85"/>
    <n v="5"/>
    <n v="15379632890.52"/>
  </r>
  <r>
    <x v="13"/>
    <x v="64"/>
    <n v="2025"/>
    <x v="3"/>
    <n v="131964.76"/>
    <n v="47"/>
    <n v="157"/>
    <n v="160"/>
    <s v="Coupe"/>
    <n v="4"/>
    <x v="3"/>
    <x v="1"/>
    <n v="62952"/>
    <n v="3.64"/>
    <n v="6"/>
    <n v="8307445571.5200005"/>
  </r>
  <r>
    <x v="3"/>
    <x v="11"/>
    <n v="2025"/>
    <x v="3"/>
    <n v="37099.25"/>
    <n v="64.7"/>
    <n v="205"/>
    <n v="171"/>
    <s v="Hatchback"/>
    <n v="5"/>
    <x v="2"/>
    <x v="2"/>
    <n v="163441"/>
    <n v="3.69"/>
    <n v="4"/>
    <n v="6063538519.25"/>
  </r>
  <r>
    <x v="4"/>
    <x v="61"/>
    <n v="2025"/>
    <x v="3"/>
    <n v="55204.45"/>
    <n v="65.400000000000006"/>
    <n v="223"/>
    <n v="164"/>
    <s v="Hatchback"/>
    <n v="4"/>
    <x v="3"/>
    <x v="2"/>
    <n v="48087"/>
    <n v="3.24"/>
    <n v="7"/>
    <n v="2654616387.1500001"/>
  </r>
  <r>
    <x v="8"/>
    <x v="21"/>
    <n v="2025"/>
    <x v="3"/>
    <n v="63604.01"/>
    <n v="40"/>
    <n v="150"/>
    <n v="148"/>
    <s v="Hatchback"/>
    <n v="4"/>
    <x v="1"/>
    <x v="2"/>
    <n v="36824"/>
    <n v="3.23"/>
    <n v="4"/>
    <n v="2342154064.2400002"/>
  </r>
  <r>
    <x v="13"/>
    <x v="64"/>
    <n v="2025"/>
    <x v="3"/>
    <n v="99348.31"/>
    <n v="48.9"/>
    <n v="189"/>
    <n v="150"/>
    <s v="Coupe"/>
    <n v="4"/>
    <x v="3"/>
    <x v="0"/>
    <n v="79812"/>
    <n v="3.77"/>
    <n v="7"/>
    <n v="7929187317.7200003"/>
  </r>
  <r>
    <x v="13"/>
    <x v="59"/>
    <n v="2025"/>
    <x v="2"/>
    <n v="124226.17"/>
    <n v="74.2"/>
    <n v="253"/>
    <n v="164"/>
    <s v="SUV"/>
    <n v="4"/>
    <x v="3"/>
    <x v="1"/>
    <n v="40173"/>
    <n v="3.67"/>
    <n v="8"/>
    <n v="4990537927.4099998"/>
  </r>
  <r>
    <x v="12"/>
    <x v="52"/>
    <n v="2025"/>
    <x v="2"/>
    <n v="34616.61"/>
    <n v="73.900000000000006"/>
    <n v="287"/>
    <n v="167"/>
    <s v="Coupe"/>
    <n v="4"/>
    <x v="1"/>
    <x v="3"/>
    <n v="24423"/>
    <n v="3.83"/>
    <n v="4"/>
    <n v="845441466.02999997"/>
  </r>
  <r>
    <x v="13"/>
    <x v="64"/>
    <n v="2025"/>
    <x v="0"/>
    <n v="183986.43"/>
    <n v="100.6"/>
    <n v="365"/>
    <n v="193"/>
    <s v="Hatchback"/>
    <n v="5"/>
    <x v="3"/>
    <x v="1"/>
    <n v="50432"/>
    <n v="4.09"/>
    <n v="5"/>
    <n v="9278803637.7600002"/>
  </r>
  <r>
    <x v="2"/>
    <x v="31"/>
    <n v="2025"/>
    <x v="1"/>
    <n v="56352.74"/>
    <n v="82.9"/>
    <n v="297"/>
    <n v="200"/>
    <s v="Truck"/>
    <n v="4"/>
    <x v="1"/>
    <x v="2"/>
    <n v="197115"/>
    <n v="3.86"/>
    <n v="5"/>
    <n v="11107970345.1"/>
  </r>
  <r>
    <x v="12"/>
    <x v="52"/>
    <n v="2025"/>
    <x v="2"/>
    <n v="63436.73"/>
    <n v="52.8"/>
    <n v="186"/>
    <n v="130"/>
    <s v="Truck"/>
    <n v="5"/>
    <x v="1"/>
    <x v="2"/>
    <n v="13397"/>
    <n v="3.49"/>
    <n v="4"/>
    <n v="849861871.81000006"/>
  </r>
  <r>
    <x v="9"/>
    <x v="16"/>
    <n v="2025"/>
    <x v="2"/>
    <n v="84667.26"/>
    <n v="78.3"/>
    <n v="258"/>
    <n v="141"/>
    <s v="Truck"/>
    <n v="3"/>
    <x v="3"/>
    <x v="0"/>
    <n v="39763"/>
    <n v="3.26"/>
    <n v="6"/>
    <n v="3366624259.3799996"/>
  </r>
  <r>
    <x v="9"/>
    <x v="38"/>
    <n v="2025"/>
    <x v="3"/>
    <n v="92031.99"/>
    <n v="74.599999999999994"/>
    <n v="257"/>
    <n v="166"/>
    <s v="Sedan"/>
    <n v="5"/>
    <x v="3"/>
    <x v="0"/>
    <n v="29936"/>
    <n v="3.7"/>
    <n v="7"/>
    <n v="2755069652.6400003"/>
  </r>
  <r>
    <x v="8"/>
    <x v="34"/>
    <n v="2025"/>
    <x v="4"/>
    <n v="66422.789999999994"/>
    <n v="77.900000000000006"/>
    <n v="263"/>
    <n v="149"/>
    <s v="Van"/>
    <n v="5"/>
    <x v="1"/>
    <x v="0"/>
    <n v="56669"/>
    <n v="3.69"/>
    <n v="4"/>
    <n v="3764113086.5099998"/>
  </r>
  <r>
    <x v="2"/>
    <x v="31"/>
    <n v="2025"/>
    <x v="4"/>
    <n v="52220.2"/>
    <n v="69.099999999999994"/>
    <n v="211"/>
    <n v="172"/>
    <s v="Truck"/>
    <n v="5"/>
    <x v="1"/>
    <x v="2"/>
    <n v="119997"/>
    <n v="3.75"/>
    <n v="5"/>
    <n v="6266267339.3999996"/>
  </r>
  <r>
    <x v="12"/>
    <x v="46"/>
    <n v="2025"/>
    <x v="0"/>
    <n v="84366.720000000001"/>
    <n v="76.7"/>
    <n v="244"/>
    <n v="185"/>
    <s v="SUV"/>
    <n v="4"/>
    <x v="1"/>
    <x v="0"/>
    <n v="6773"/>
    <n v="3.64"/>
    <n v="4"/>
    <n v="571415794.56000006"/>
  </r>
  <r>
    <x v="5"/>
    <x v="22"/>
    <n v="2025"/>
    <x v="0"/>
    <n v="93514.06"/>
    <n v="80.2"/>
    <n v="278"/>
    <n v="179"/>
    <s v="SUV"/>
    <n v="5"/>
    <x v="4"/>
    <x v="0"/>
    <n v="120989"/>
    <n v="3.34"/>
    <n v="4"/>
    <n v="11314172605.34"/>
  </r>
  <r>
    <x v="2"/>
    <x v="2"/>
    <n v="2025"/>
    <x v="3"/>
    <n v="67256.69"/>
    <n v="74.099999999999994"/>
    <n v="249"/>
    <n v="156"/>
    <s v="Truck"/>
    <n v="5"/>
    <x v="1"/>
    <x v="0"/>
    <n v="149284"/>
    <n v="3.76"/>
    <n v="5"/>
    <n v="10040347709.960001"/>
  </r>
  <r>
    <x v="14"/>
    <x v="54"/>
    <n v="2025"/>
    <x v="3"/>
    <n v="65308.05"/>
    <n v="45.9"/>
    <n v="171"/>
    <n v="156"/>
    <s v="Sedan"/>
    <n v="5"/>
    <x v="2"/>
    <x v="0"/>
    <n v="19253"/>
    <n v="3.04"/>
    <n v="4"/>
    <n v="1257375886.6500001"/>
  </r>
  <r>
    <x v="2"/>
    <x v="5"/>
    <n v="2025"/>
    <x v="4"/>
    <n v="154034.20000000001"/>
    <n v="80.599999999999994"/>
    <n v="277"/>
    <n v="146"/>
    <s v="Hatchback"/>
    <n v="5"/>
    <x v="1"/>
    <x v="1"/>
    <n v="428866"/>
    <n v="3.69"/>
    <n v="6"/>
    <n v="66060031217.200005"/>
  </r>
  <r>
    <x v="3"/>
    <x v="11"/>
    <n v="2025"/>
    <x v="3"/>
    <n v="26964.92"/>
    <n v="56.1"/>
    <n v="166"/>
    <n v="165"/>
    <s v="Van"/>
    <n v="5"/>
    <x v="2"/>
    <x v="3"/>
    <n v="131090"/>
    <n v="3.27"/>
    <n v="3"/>
    <n v="3534831362.7999997"/>
  </r>
  <r>
    <x v="5"/>
    <x v="22"/>
    <n v="2025"/>
    <x v="0"/>
    <n v="74000.570000000007"/>
    <n v="102.9"/>
    <n v="371"/>
    <n v="187"/>
    <s v="SUV"/>
    <n v="5"/>
    <x v="4"/>
    <x v="0"/>
    <n v="137133"/>
    <n v="3.72"/>
    <n v="3"/>
    <n v="10147920165.810001"/>
  </r>
  <r>
    <x v="3"/>
    <x v="6"/>
    <n v="2025"/>
    <x v="4"/>
    <n v="81058.7"/>
    <n v="78.3"/>
    <n v="260"/>
    <n v="160"/>
    <s v="Van"/>
    <n v="4"/>
    <x v="2"/>
    <x v="0"/>
    <n v="230802"/>
    <n v="3.44"/>
    <n v="4"/>
    <n v="18708510077.399998"/>
  </r>
  <r>
    <x v="2"/>
    <x v="17"/>
    <n v="2025"/>
    <x v="1"/>
    <n v="112635.62"/>
    <n v="91.1"/>
    <n v="305"/>
    <n v="195"/>
    <s v="Truck"/>
    <n v="5"/>
    <x v="1"/>
    <x v="1"/>
    <n v="126461"/>
    <n v="4.1399999999999997"/>
    <n v="5"/>
    <n v="14244013140.82"/>
  </r>
  <r>
    <x v="2"/>
    <x v="35"/>
    <n v="2025"/>
    <x v="1"/>
    <n v="92160.09"/>
    <n v="115.6"/>
    <n v="400"/>
    <n v="200"/>
    <s v="Sedan"/>
    <n v="4"/>
    <x v="1"/>
    <x v="0"/>
    <n v="139912"/>
    <n v="4.17"/>
    <n v="6"/>
    <n v="12894302512.08"/>
  </r>
  <r>
    <x v="9"/>
    <x v="39"/>
    <n v="2025"/>
    <x v="3"/>
    <n v="69070.75"/>
    <n v="82"/>
    <n v="304"/>
    <n v="143"/>
    <s v="Van"/>
    <n v="4"/>
    <x v="3"/>
    <x v="0"/>
    <n v="73019"/>
    <n v="3.53"/>
    <n v="5"/>
    <n v="5043477094.25"/>
  </r>
  <r>
    <x v="3"/>
    <x v="42"/>
    <n v="2025"/>
    <x v="3"/>
    <n v="28078.09"/>
    <n v="44.7"/>
    <n v="150"/>
    <n v="156"/>
    <s v="Sedan"/>
    <n v="3"/>
    <x v="2"/>
    <x v="3"/>
    <n v="207345"/>
    <n v="3.08"/>
    <n v="5"/>
    <n v="5821851571.0500002"/>
  </r>
  <r>
    <x v="7"/>
    <x v="28"/>
    <n v="2025"/>
    <x v="3"/>
    <n v="34913.449999999997"/>
    <n v="57.9"/>
    <n v="187"/>
    <n v="145"/>
    <s v="Hatchback"/>
    <n v="5"/>
    <x v="3"/>
    <x v="3"/>
    <n v="204604"/>
    <n v="3.5"/>
    <n v="4"/>
    <n v="7143431523.7999992"/>
  </r>
  <r>
    <x v="3"/>
    <x v="42"/>
    <n v="2025"/>
    <x v="1"/>
    <n v="113906.34"/>
    <n v="84.5"/>
    <n v="315"/>
    <n v="200"/>
    <s v="Truck"/>
    <n v="3"/>
    <x v="2"/>
    <x v="1"/>
    <n v="193570"/>
    <n v="3.68"/>
    <n v="5"/>
    <n v="22048850233.799999"/>
  </r>
  <r>
    <x v="2"/>
    <x v="2"/>
    <n v="2025"/>
    <x v="0"/>
    <n v="67690.460000000006"/>
    <n v="92.6"/>
    <n v="317"/>
    <n v="179"/>
    <s v="Hatchback"/>
    <n v="4"/>
    <x v="1"/>
    <x v="0"/>
    <n v="187975"/>
    <n v="3.94"/>
    <n v="4"/>
    <n v="12724114218.500002"/>
  </r>
  <r>
    <x v="7"/>
    <x v="28"/>
    <n v="2025"/>
    <x v="3"/>
    <n v="71667.28"/>
    <n v="81.5"/>
    <n v="282"/>
    <n v="156"/>
    <s v="Van"/>
    <n v="3"/>
    <x v="3"/>
    <x v="0"/>
    <n v="285418"/>
    <n v="3.48"/>
    <n v="4"/>
    <n v="20455131723.040001"/>
  </r>
  <r>
    <x v="14"/>
    <x v="66"/>
    <n v="2025"/>
    <x v="4"/>
    <n v="103197.25"/>
    <n v="46.4"/>
    <n v="161"/>
    <n v="163"/>
    <s v="Van"/>
    <n v="4"/>
    <x v="2"/>
    <x v="1"/>
    <n v="20886"/>
    <n v="3.24"/>
    <n v="5"/>
    <n v="2155377763.5"/>
  </r>
  <r>
    <x v="9"/>
    <x v="19"/>
    <n v="2025"/>
    <x v="1"/>
    <n v="150935.25"/>
    <n v="119.6"/>
    <n v="423"/>
    <n v="200"/>
    <s v="Hatchback"/>
    <n v="5"/>
    <x v="3"/>
    <x v="1"/>
    <n v="49006"/>
    <n v="3.99"/>
    <n v="6"/>
    <n v="7396732861.5"/>
  </r>
  <r>
    <x v="3"/>
    <x v="11"/>
    <n v="2025"/>
    <x v="0"/>
    <n v="32710.87"/>
    <n v="88.5"/>
    <n v="321"/>
    <n v="192"/>
    <s v="Truck"/>
    <n v="5"/>
    <x v="2"/>
    <x v="3"/>
    <n v="169948"/>
    <n v="3.62"/>
    <n v="4"/>
    <n v="5559146934.7600002"/>
  </r>
  <r>
    <x v="3"/>
    <x v="3"/>
    <n v="2025"/>
    <x v="1"/>
    <n v="118077.25"/>
    <n v="109.3"/>
    <n v="391"/>
    <n v="191"/>
    <s v="Sedan"/>
    <n v="5"/>
    <x v="2"/>
    <x v="1"/>
    <n v="103364"/>
    <n v="3.72"/>
    <n v="4"/>
    <n v="12204936869"/>
  </r>
  <r>
    <x v="2"/>
    <x v="5"/>
    <n v="2025"/>
    <x v="3"/>
    <n v="92379.520000000004"/>
    <n v="84.7"/>
    <n v="300"/>
    <n v="130"/>
    <s v="Sedan"/>
    <n v="4"/>
    <x v="1"/>
    <x v="0"/>
    <n v="461008"/>
    <n v="3.78"/>
    <n v="6"/>
    <n v="42587697756.160004"/>
  </r>
  <r>
    <x v="1"/>
    <x v="1"/>
    <n v="2025"/>
    <x v="4"/>
    <n v="106306.01"/>
    <n v="80.2"/>
    <n v="270"/>
    <n v="140"/>
    <s v="Van"/>
    <n v="5"/>
    <x v="1"/>
    <x v="1"/>
    <n v="8757"/>
    <n v="3.62"/>
    <n v="4"/>
    <n v="930921729.56999993"/>
  </r>
  <r>
    <x v="13"/>
    <x v="48"/>
    <n v="2025"/>
    <x v="4"/>
    <n v="111590.33"/>
    <n v="69.8"/>
    <n v="216"/>
    <n v="161"/>
    <s v="SUV"/>
    <n v="4"/>
    <x v="3"/>
    <x v="1"/>
    <n v="58457"/>
    <n v="3.3"/>
    <n v="8"/>
    <n v="6523235920.8100004"/>
  </r>
  <r>
    <x v="8"/>
    <x v="12"/>
    <n v="2025"/>
    <x v="4"/>
    <n v="79279.61"/>
    <n v="59.6"/>
    <n v="194"/>
    <n v="139"/>
    <s v="Truck"/>
    <n v="5"/>
    <x v="1"/>
    <x v="0"/>
    <n v="67161"/>
    <n v="3.21"/>
    <n v="3"/>
    <n v="5324497887.21"/>
  </r>
  <r>
    <x v="2"/>
    <x v="2"/>
    <n v="2025"/>
    <x v="2"/>
    <n v="41533.410000000003"/>
    <n v="81.099999999999994"/>
    <n v="287"/>
    <n v="145"/>
    <s v="Hatchback"/>
    <n v="4"/>
    <x v="1"/>
    <x v="2"/>
    <n v="205263"/>
    <n v="3.88"/>
    <n v="5"/>
    <n v="8525272336.8300009"/>
  </r>
  <r>
    <x v="2"/>
    <x v="2"/>
    <n v="2025"/>
    <x v="4"/>
    <n v="131664.51"/>
    <n v="56.1"/>
    <n v="197"/>
    <n v="167"/>
    <s v="SUV"/>
    <n v="5"/>
    <x v="1"/>
    <x v="1"/>
    <n v="124407"/>
    <n v="3.58"/>
    <n v="4"/>
    <n v="16379986695.570002"/>
  </r>
  <r>
    <x v="5"/>
    <x v="22"/>
    <n v="2025"/>
    <x v="2"/>
    <n v="31082.43"/>
    <n v="50.7"/>
    <n v="177"/>
    <n v="143"/>
    <s v="SUV"/>
    <n v="5"/>
    <x v="4"/>
    <x v="3"/>
    <n v="76695"/>
    <n v="3.1"/>
    <n v="3"/>
    <n v="2383866968.8499999"/>
  </r>
  <r>
    <x v="3"/>
    <x v="11"/>
    <n v="2025"/>
    <x v="4"/>
    <n v="111062.23"/>
    <n v="40.6"/>
    <n v="162"/>
    <n v="136"/>
    <s v="Truck"/>
    <n v="4"/>
    <x v="2"/>
    <x v="1"/>
    <n v="149002"/>
    <n v="3.28"/>
    <n v="5"/>
    <n v="16548494394.459999"/>
  </r>
  <r>
    <x v="8"/>
    <x v="34"/>
    <n v="2025"/>
    <x v="4"/>
    <n v="56654.61"/>
    <n v="62.9"/>
    <n v="233"/>
    <n v="156"/>
    <s v="Van"/>
    <n v="5"/>
    <x v="1"/>
    <x v="2"/>
    <n v="41791"/>
    <n v="3.47"/>
    <n v="3"/>
    <n v="2367652806.5100002"/>
  </r>
  <r>
    <x v="7"/>
    <x v="28"/>
    <n v="2025"/>
    <x v="3"/>
    <n v="85586.86"/>
    <n v="50.5"/>
    <n v="179"/>
    <n v="160"/>
    <s v="Truck"/>
    <n v="3"/>
    <x v="3"/>
    <x v="0"/>
    <n v="259718"/>
    <n v="3"/>
    <n v="5"/>
    <n v="22228448105.48"/>
  </r>
  <r>
    <x v="8"/>
    <x v="21"/>
    <n v="2025"/>
    <x v="3"/>
    <n v="32151.97"/>
    <n v="58.3"/>
    <n v="176"/>
    <n v="169"/>
    <s v="Hatchback"/>
    <n v="4"/>
    <x v="1"/>
    <x v="3"/>
    <n v="25887"/>
    <n v="3.14"/>
    <n v="4"/>
    <n v="832318047.38999999"/>
  </r>
  <r>
    <x v="2"/>
    <x v="35"/>
    <n v="2025"/>
    <x v="1"/>
    <n v="99111.24"/>
    <n v="103.7"/>
    <n v="345"/>
    <n v="182"/>
    <s v="Truck"/>
    <n v="5"/>
    <x v="1"/>
    <x v="0"/>
    <n v="160176"/>
    <n v="4.04"/>
    <n v="5"/>
    <n v="15875241978.240002"/>
  </r>
  <r>
    <x v="6"/>
    <x v="50"/>
    <n v="2025"/>
    <x v="2"/>
    <n v="46056.18"/>
    <n v="74.8"/>
    <n v="259"/>
    <n v="153"/>
    <s v="Sedan"/>
    <n v="5"/>
    <x v="4"/>
    <x v="2"/>
    <n v="143815"/>
    <n v="3.55"/>
    <n v="5"/>
    <n v="6623569526.6999998"/>
  </r>
  <r>
    <x v="5"/>
    <x v="13"/>
    <n v="2025"/>
    <x v="1"/>
    <n v="88002.42"/>
    <n v="95.9"/>
    <n v="334"/>
    <n v="200"/>
    <s v="SUV"/>
    <n v="5"/>
    <x v="4"/>
    <x v="0"/>
    <n v="60132"/>
    <n v="3.63"/>
    <n v="4"/>
    <n v="5291761519.4399996"/>
  </r>
  <r>
    <x v="12"/>
    <x v="46"/>
    <n v="2025"/>
    <x v="2"/>
    <n v="57562.96"/>
    <n v="48"/>
    <n v="172"/>
    <n v="154"/>
    <s v="SUV"/>
    <n v="5"/>
    <x v="1"/>
    <x v="2"/>
    <n v="18527"/>
    <n v="3.44"/>
    <n v="5"/>
    <n v="1066468959.92"/>
  </r>
  <r>
    <x v="2"/>
    <x v="17"/>
    <n v="2025"/>
    <x v="3"/>
    <n v="39764.730000000003"/>
    <n v="62.8"/>
    <n v="218"/>
    <n v="135"/>
    <s v="Truck"/>
    <n v="5"/>
    <x v="1"/>
    <x v="2"/>
    <n v="177083"/>
    <n v="3.7"/>
    <n v="6"/>
    <n v="7041657682.5900002"/>
  </r>
  <r>
    <x v="3"/>
    <x v="8"/>
    <n v="2025"/>
    <x v="0"/>
    <n v="23723.54"/>
    <n v="84.2"/>
    <n v="308"/>
    <n v="185"/>
    <s v="Truck"/>
    <n v="4"/>
    <x v="2"/>
    <x v="3"/>
    <n v="224275"/>
    <n v="3.65"/>
    <n v="4"/>
    <n v="5320596933.5"/>
  </r>
  <r>
    <x v="2"/>
    <x v="5"/>
    <n v="2025"/>
    <x v="0"/>
    <n v="71009.25"/>
    <n v="81"/>
    <n v="305"/>
    <n v="162"/>
    <s v="Van"/>
    <n v="4"/>
    <x v="1"/>
    <x v="0"/>
    <n v="465765"/>
    <n v="3.91"/>
    <n v="4"/>
    <n v="33073623326.25"/>
  </r>
  <r>
    <x v="7"/>
    <x v="44"/>
    <n v="2025"/>
    <x v="2"/>
    <n v="36800.160000000003"/>
    <n v="48.1"/>
    <n v="169"/>
    <n v="152"/>
    <s v="SUV"/>
    <n v="5"/>
    <x v="3"/>
    <x v="2"/>
    <n v="290748"/>
    <n v="3.43"/>
    <n v="3"/>
    <n v="10699572919.68"/>
  </r>
  <r>
    <x v="2"/>
    <x v="31"/>
    <n v="2025"/>
    <x v="4"/>
    <n v="81977.77"/>
    <n v="68.400000000000006"/>
    <n v="192"/>
    <n v="155"/>
    <s v="Truck"/>
    <n v="5"/>
    <x v="1"/>
    <x v="0"/>
    <n v="146854"/>
    <n v="3.53"/>
    <n v="5"/>
    <n v="12038763435.58"/>
  </r>
  <r>
    <x v="2"/>
    <x v="2"/>
    <n v="2025"/>
    <x v="1"/>
    <n v="94641.12"/>
    <n v="111.8"/>
    <n v="362"/>
    <n v="200"/>
    <s v="SUV"/>
    <n v="4"/>
    <x v="1"/>
    <x v="0"/>
    <n v="235320"/>
    <n v="4.03"/>
    <n v="6"/>
    <n v="22270948358.399998"/>
  </r>
  <r>
    <x v="14"/>
    <x v="66"/>
    <n v="2025"/>
    <x v="3"/>
    <n v="73079.97"/>
    <n v="50.5"/>
    <n v="174"/>
    <n v="143"/>
    <s v="Coupe"/>
    <n v="4"/>
    <x v="2"/>
    <x v="0"/>
    <n v="11643"/>
    <n v="3.03"/>
    <n v="4"/>
    <n v="850870090.71000004"/>
  </r>
  <r>
    <x v="2"/>
    <x v="2"/>
    <n v="2025"/>
    <x v="2"/>
    <n v="106992.78"/>
    <n v="50.9"/>
    <n v="162"/>
    <n v="152"/>
    <s v="Coupe"/>
    <n v="5"/>
    <x v="1"/>
    <x v="1"/>
    <n v="178229"/>
    <n v="3.58"/>
    <n v="5"/>
    <n v="19069216186.619999"/>
  </r>
  <r>
    <x v="12"/>
    <x v="36"/>
    <n v="2025"/>
    <x v="0"/>
    <n v="51965.01"/>
    <n v="75.8"/>
    <n v="297"/>
    <n v="177"/>
    <s v="Coupe"/>
    <n v="5"/>
    <x v="1"/>
    <x v="2"/>
    <n v="28326"/>
    <n v="3.65"/>
    <n v="5"/>
    <n v="1471960873.26"/>
  </r>
  <r>
    <x v="13"/>
    <x v="59"/>
    <n v="2025"/>
    <x v="0"/>
    <n v="136371.95000000001"/>
    <n v="98.8"/>
    <n v="323"/>
    <n v="180"/>
    <s v="Coupe"/>
    <n v="4"/>
    <x v="3"/>
    <x v="1"/>
    <n v="34019"/>
    <n v="4.25"/>
    <n v="6"/>
    <n v="4639237367.0500002"/>
  </r>
  <r>
    <x v="8"/>
    <x v="34"/>
    <n v="2025"/>
    <x v="2"/>
    <n v="45556.75"/>
    <n v="57.9"/>
    <n v="221"/>
    <n v="153"/>
    <s v="Coupe"/>
    <n v="5"/>
    <x v="1"/>
    <x v="2"/>
    <n v="46977"/>
    <n v="3.32"/>
    <n v="5"/>
    <n v="2140119444.75"/>
  </r>
  <r>
    <x v="6"/>
    <x v="53"/>
    <n v="2025"/>
    <x v="3"/>
    <n v="66375.02"/>
    <n v="59.8"/>
    <n v="232"/>
    <n v="143"/>
    <s v="Coupe"/>
    <n v="4"/>
    <x v="4"/>
    <x v="0"/>
    <n v="125248"/>
    <n v="3.22"/>
    <n v="3"/>
    <n v="8313338504.96"/>
  </r>
  <r>
    <x v="12"/>
    <x v="36"/>
    <n v="2025"/>
    <x v="1"/>
    <n v="68553.58"/>
    <n v="80.599999999999994"/>
    <n v="282"/>
    <n v="193"/>
    <s v="SUV"/>
    <n v="5"/>
    <x v="1"/>
    <x v="0"/>
    <n v="27343"/>
    <n v="3.55"/>
    <n v="4"/>
    <n v="1874460537.9400001"/>
  </r>
  <r>
    <x v="3"/>
    <x v="11"/>
    <n v="2025"/>
    <x v="0"/>
    <n v="57737.75"/>
    <n v="106.1"/>
    <n v="383"/>
    <n v="189"/>
    <s v="Coupe"/>
    <n v="4"/>
    <x v="2"/>
    <x v="2"/>
    <n v="108943"/>
    <n v="4.12"/>
    <n v="4"/>
    <n v="6290123698.25"/>
  </r>
  <r>
    <x v="8"/>
    <x v="21"/>
    <n v="2025"/>
    <x v="0"/>
    <n v="54602.2"/>
    <n v="96"/>
    <n v="344"/>
    <n v="181"/>
    <s v="Van"/>
    <n v="3"/>
    <x v="1"/>
    <x v="2"/>
    <n v="50891"/>
    <n v="3.53"/>
    <n v="4"/>
    <n v="2778760560.1999998"/>
  </r>
  <r>
    <x v="5"/>
    <x v="15"/>
    <n v="2025"/>
    <x v="0"/>
    <n v="76787.3"/>
    <n v="75.400000000000006"/>
    <n v="275"/>
    <n v="171"/>
    <s v="SUV"/>
    <n v="4"/>
    <x v="4"/>
    <x v="0"/>
    <n v="116634"/>
    <n v="3.71"/>
    <n v="3"/>
    <n v="8956009948.2000008"/>
  </r>
  <r>
    <x v="16"/>
    <x v="49"/>
    <n v="2025"/>
    <x v="4"/>
    <n v="55513.599999999999"/>
    <n v="48.7"/>
    <n v="150"/>
    <n v="162"/>
    <s v="Sedan"/>
    <n v="4"/>
    <x v="2"/>
    <x v="2"/>
    <n v="22327"/>
    <n v="3.32"/>
    <n v="4"/>
    <n v="1239452147.2"/>
  </r>
  <r>
    <x v="9"/>
    <x v="55"/>
    <n v="2025"/>
    <x v="2"/>
    <n v="84529.75"/>
    <n v="77.3"/>
    <n v="276"/>
    <n v="176"/>
    <s v="Hatchback"/>
    <n v="4"/>
    <x v="3"/>
    <x v="0"/>
    <n v="25679"/>
    <n v="3.71"/>
    <n v="7"/>
    <n v="2170639450.25"/>
  </r>
  <r>
    <x v="2"/>
    <x v="2"/>
    <n v="2025"/>
    <x v="2"/>
    <n v="97308.1"/>
    <n v="56.4"/>
    <n v="188"/>
    <n v="153"/>
    <s v="SUV"/>
    <n v="4"/>
    <x v="1"/>
    <x v="0"/>
    <n v="239872"/>
    <n v="3.7"/>
    <n v="5"/>
    <n v="23341488563.200001"/>
  </r>
  <r>
    <x v="2"/>
    <x v="35"/>
    <n v="2025"/>
    <x v="4"/>
    <n v="35653.980000000003"/>
    <n v="52"/>
    <n v="162"/>
    <n v="146"/>
    <s v="Truck"/>
    <n v="4"/>
    <x v="1"/>
    <x v="2"/>
    <n v="228295"/>
    <n v="3.58"/>
    <n v="4"/>
    <n v="8139625364.1000004"/>
  </r>
  <r>
    <x v="6"/>
    <x v="63"/>
    <n v="2025"/>
    <x v="0"/>
    <n v="80040.399999999994"/>
    <n v="81.099999999999994"/>
    <n v="284"/>
    <n v="181"/>
    <s v="Truck"/>
    <n v="5"/>
    <x v="4"/>
    <x v="0"/>
    <n v="146157"/>
    <n v="3.67"/>
    <n v="4"/>
    <n v="11698464742.799999"/>
  </r>
  <r>
    <x v="12"/>
    <x v="46"/>
    <n v="2025"/>
    <x v="2"/>
    <n v="64750.83"/>
    <n v="60.4"/>
    <n v="230"/>
    <n v="137"/>
    <s v="SUV"/>
    <n v="4"/>
    <x v="1"/>
    <x v="2"/>
    <n v="23069"/>
    <n v="3.62"/>
    <n v="5"/>
    <n v="1493736897.27"/>
  </r>
  <r>
    <x v="15"/>
    <x v="67"/>
    <n v="2025"/>
    <x v="4"/>
    <n v="111303.96"/>
    <n v="67.099999999999994"/>
    <n v="242"/>
    <n v="145"/>
    <s v="Van"/>
    <n v="5"/>
    <x v="3"/>
    <x v="1"/>
    <n v="5234"/>
    <n v="3.75"/>
    <n v="6"/>
    <n v="582564926.63999999"/>
  </r>
  <r>
    <x v="13"/>
    <x v="33"/>
    <n v="2025"/>
    <x v="4"/>
    <n v="198768.13"/>
    <n v="55.6"/>
    <n v="194"/>
    <n v="170"/>
    <s v="SUV"/>
    <n v="5"/>
    <x v="3"/>
    <x v="1"/>
    <n v="77200"/>
    <n v="3.68"/>
    <n v="6"/>
    <n v="15344899636"/>
  </r>
  <r>
    <x v="7"/>
    <x v="28"/>
    <n v="2025"/>
    <x v="4"/>
    <n v="116578.08"/>
    <n v="55.4"/>
    <n v="182"/>
    <n v="147"/>
    <s v="Van"/>
    <n v="3"/>
    <x v="3"/>
    <x v="1"/>
    <n v="202014"/>
    <n v="3.21"/>
    <n v="3"/>
    <n v="23550404253.119999"/>
  </r>
  <r>
    <x v="4"/>
    <x v="40"/>
    <n v="2025"/>
    <x v="3"/>
    <n v="77807.960000000006"/>
    <n v="46.7"/>
    <n v="186"/>
    <n v="131"/>
    <s v="Van"/>
    <n v="5"/>
    <x v="3"/>
    <x v="0"/>
    <n v="67104"/>
    <n v="3.14"/>
    <n v="5"/>
    <n v="5221225347.8400002"/>
  </r>
  <r>
    <x v="7"/>
    <x v="24"/>
    <n v="2025"/>
    <x v="2"/>
    <n v="78903.539999999994"/>
    <n v="67.099999999999994"/>
    <n v="237"/>
    <n v="169"/>
    <s v="Van"/>
    <n v="5"/>
    <x v="3"/>
    <x v="0"/>
    <n v="283626"/>
    <n v="3.43"/>
    <n v="4"/>
    <n v="22379095436.039997"/>
  </r>
  <r>
    <x v="4"/>
    <x v="61"/>
    <n v="2025"/>
    <x v="3"/>
    <n v="119850.54"/>
    <n v="74.400000000000006"/>
    <n v="257"/>
    <n v="160"/>
    <s v="Sedan"/>
    <n v="5"/>
    <x v="3"/>
    <x v="1"/>
    <n v="48973"/>
    <n v="3.68"/>
    <n v="6"/>
    <n v="5869440495.4200001"/>
  </r>
  <r>
    <x v="3"/>
    <x v="6"/>
    <n v="2025"/>
    <x v="4"/>
    <n v="45553.77"/>
    <n v="71.900000000000006"/>
    <n v="240"/>
    <n v="134"/>
    <s v="SUV"/>
    <n v="5"/>
    <x v="2"/>
    <x v="2"/>
    <n v="119429"/>
    <n v="3.24"/>
    <n v="5"/>
    <n v="5440441197.3299999"/>
  </r>
  <r>
    <x v="3"/>
    <x v="6"/>
    <n v="2025"/>
    <x v="4"/>
    <n v="26326.68"/>
    <n v="42.7"/>
    <n v="150"/>
    <n v="152"/>
    <s v="Van"/>
    <n v="4"/>
    <x v="2"/>
    <x v="3"/>
    <n v="129109"/>
    <n v="3.09"/>
    <n v="4"/>
    <n v="3399011328.1199999"/>
  </r>
  <r>
    <x v="2"/>
    <x v="17"/>
    <n v="2025"/>
    <x v="4"/>
    <n v="130541.56"/>
    <n v="71.2"/>
    <n v="238"/>
    <n v="152"/>
    <s v="Hatchback"/>
    <n v="4"/>
    <x v="1"/>
    <x v="1"/>
    <n v="190536"/>
    <n v="3.76"/>
    <n v="5"/>
    <n v="24872866676.16"/>
  </r>
  <r>
    <x v="1"/>
    <x v="1"/>
    <n v="2025"/>
    <x v="2"/>
    <n v="60986.5"/>
    <n v="42.7"/>
    <n v="150"/>
    <n v="137"/>
    <s v="Van"/>
    <n v="5"/>
    <x v="1"/>
    <x v="2"/>
    <n v="2488"/>
    <n v="3.18"/>
    <n v="4"/>
    <n v="151734412"/>
  </r>
  <r>
    <x v="3"/>
    <x v="37"/>
    <n v="2025"/>
    <x v="4"/>
    <n v="96175.42"/>
    <n v="50.5"/>
    <n v="159"/>
    <n v="164"/>
    <s v="Hatchback"/>
    <n v="3"/>
    <x v="2"/>
    <x v="0"/>
    <n v="232340"/>
    <n v="3.27"/>
    <n v="5"/>
    <n v="22345397082.799999"/>
  </r>
  <r>
    <x v="9"/>
    <x v="19"/>
    <n v="2025"/>
    <x v="1"/>
    <n v="162797.03"/>
    <n v="103.1"/>
    <n v="369"/>
    <n v="193"/>
    <s v="Van"/>
    <n v="5"/>
    <x v="3"/>
    <x v="1"/>
    <n v="27119"/>
    <n v="3.48"/>
    <n v="6"/>
    <n v="4414892656.5699997"/>
  </r>
  <r>
    <x v="8"/>
    <x v="34"/>
    <n v="2025"/>
    <x v="4"/>
    <n v="59495.32"/>
    <n v="76.8"/>
    <n v="282"/>
    <n v="161"/>
    <s v="Truck"/>
    <n v="5"/>
    <x v="1"/>
    <x v="2"/>
    <n v="62617"/>
    <n v="3.81"/>
    <n v="5"/>
    <n v="3725418452.4400001"/>
  </r>
  <r>
    <x v="1"/>
    <x v="51"/>
    <n v="2025"/>
    <x v="0"/>
    <n v="66660.45"/>
    <n v="93.7"/>
    <n v="290"/>
    <n v="186"/>
    <s v="Coupe"/>
    <n v="5"/>
    <x v="1"/>
    <x v="0"/>
    <n v="12789"/>
    <n v="3.33"/>
    <n v="4"/>
    <n v="852520495.04999995"/>
  </r>
  <r>
    <x v="6"/>
    <x v="53"/>
    <n v="2025"/>
    <x v="0"/>
    <n v="70681.91"/>
    <n v="86.7"/>
    <n v="309"/>
    <n v="176"/>
    <s v="SUV"/>
    <n v="4"/>
    <x v="4"/>
    <x v="0"/>
    <n v="50014"/>
    <n v="3.59"/>
    <n v="4"/>
    <n v="3535085046.7400002"/>
  </r>
  <r>
    <x v="13"/>
    <x v="64"/>
    <n v="2025"/>
    <x v="1"/>
    <n v="94342.22"/>
    <n v="95.8"/>
    <n v="324"/>
    <n v="192"/>
    <s v="SUV"/>
    <n v="4"/>
    <x v="3"/>
    <x v="0"/>
    <n v="56423"/>
    <n v="3.88"/>
    <n v="7"/>
    <n v="5323071079.0600004"/>
  </r>
  <r>
    <x v="2"/>
    <x v="35"/>
    <n v="2025"/>
    <x v="0"/>
    <n v="100199.56"/>
    <n v="90.8"/>
    <n v="321"/>
    <n v="171"/>
    <s v="Hatchback"/>
    <n v="4"/>
    <x v="1"/>
    <x v="1"/>
    <n v="197625"/>
    <n v="3.78"/>
    <n v="5"/>
    <n v="19801938045"/>
  </r>
  <r>
    <x v="2"/>
    <x v="5"/>
    <n v="2025"/>
    <x v="1"/>
    <n v="135068.35"/>
    <n v="116.4"/>
    <n v="393"/>
    <n v="193"/>
    <s v="Sedan"/>
    <n v="5"/>
    <x v="1"/>
    <x v="1"/>
    <n v="419874"/>
    <n v="4.32"/>
    <n v="6"/>
    <n v="56711688387.900002"/>
  </r>
  <r>
    <x v="2"/>
    <x v="5"/>
    <n v="2025"/>
    <x v="3"/>
    <n v="28188.639999999999"/>
    <n v="40.299999999999997"/>
    <n v="150"/>
    <n v="141"/>
    <s v="SUV"/>
    <n v="3"/>
    <x v="1"/>
    <x v="3"/>
    <n v="412935"/>
    <n v="3.53"/>
    <n v="4"/>
    <n v="11640076058.4"/>
  </r>
  <r>
    <x v="3"/>
    <x v="42"/>
    <n v="2025"/>
    <x v="3"/>
    <n v="32633.03"/>
    <n v="80"/>
    <n v="279"/>
    <n v="144"/>
    <s v="Truck"/>
    <n v="5"/>
    <x v="2"/>
    <x v="3"/>
    <n v="106393"/>
    <n v="3.6"/>
    <n v="5"/>
    <n v="3471925960.79"/>
  </r>
  <r>
    <x v="2"/>
    <x v="2"/>
    <n v="2025"/>
    <x v="1"/>
    <n v="61791.69"/>
    <n v="82"/>
    <n v="283"/>
    <n v="200"/>
    <s v="Sedan"/>
    <n v="5"/>
    <x v="1"/>
    <x v="2"/>
    <n v="214239"/>
    <n v="3.64"/>
    <n v="6"/>
    <n v="13238189873.91"/>
  </r>
  <r>
    <x v="6"/>
    <x v="9"/>
    <n v="2025"/>
    <x v="1"/>
    <n v="97448.38"/>
    <n v="102"/>
    <n v="335"/>
    <n v="187"/>
    <s v="Coupe"/>
    <n v="3"/>
    <x v="4"/>
    <x v="0"/>
    <n v="81695"/>
    <n v="3.65"/>
    <n v="3"/>
    <n v="7961045404.1000004"/>
  </r>
  <r>
    <x v="14"/>
    <x v="72"/>
    <n v="2025"/>
    <x v="2"/>
    <n v="75082.66"/>
    <n v="69"/>
    <n v="236"/>
    <n v="173"/>
    <s v="Sedan"/>
    <n v="5"/>
    <x v="2"/>
    <x v="0"/>
    <n v="6090"/>
    <n v="3.63"/>
    <n v="4"/>
    <n v="457253399.40000004"/>
  </r>
  <r>
    <x v="2"/>
    <x v="5"/>
    <n v="2025"/>
    <x v="4"/>
    <n v="56042.12"/>
    <n v="66.900000000000006"/>
    <n v="222"/>
    <n v="139"/>
    <s v="Coupe"/>
    <n v="4"/>
    <x v="1"/>
    <x v="2"/>
    <n v="439817"/>
    <n v="3.53"/>
    <n v="4"/>
    <n v="24648277092.040001"/>
  </r>
  <r>
    <x v="2"/>
    <x v="5"/>
    <n v="2025"/>
    <x v="2"/>
    <n v="102064.68"/>
    <n v="49.3"/>
    <n v="183"/>
    <n v="163"/>
    <s v="SUV"/>
    <n v="5"/>
    <x v="1"/>
    <x v="1"/>
    <n v="469259"/>
    <n v="3.73"/>
    <n v="4"/>
    <n v="47894769672.119995"/>
  </r>
  <r>
    <x v="11"/>
    <x v="30"/>
    <n v="2025"/>
    <x v="0"/>
    <n v="105185.41"/>
    <n v="109.2"/>
    <n v="352"/>
    <n v="187"/>
    <s v="Hatchback"/>
    <n v="4"/>
    <x v="1"/>
    <x v="1"/>
    <n v="20140"/>
    <n v="3.46"/>
    <n v="5"/>
    <n v="2118434157.4000001"/>
  </r>
  <r>
    <x v="2"/>
    <x v="35"/>
    <n v="2025"/>
    <x v="4"/>
    <n v="155604.37"/>
    <n v="46.7"/>
    <n v="150"/>
    <n v="177"/>
    <s v="Van"/>
    <n v="4"/>
    <x v="1"/>
    <x v="1"/>
    <n v="240825"/>
    <n v="3.17"/>
    <n v="6"/>
    <n v="37473422405.25"/>
  </r>
  <r>
    <x v="9"/>
    <x v="55"/>
    <n v="2025"/>
    <x v="4"/>
    <n v="134002.07"/>
    <n v="78.3"/>
    <n v="245"/>
    <n v="132"/>
    <s v="Coupe"/>
    <n v="5"/>
    <x v="3"/>
    <x v="1"/>
    <n v="54751"/>
    <n v="3.42"/>
    <n v="8"/>
    <n v="7336747334.5700006"/>
  </r>
  <r>
    <x v="13"/>
    <x v="33"/>
    <n v="2025"/>
    <x v="2"/>
    <n v="125283.58"/>
    <n v="75.599999999999994"/>
    <n v="264"/>
    <n v="138"/>
    <s v="Truck"/>
    <n v="4"/>
    <x v="3"/>
    <x v="1"/>
    <n v="50741"/>
    <n v="4.1900000000000004"/>
    <n v="7"/>
    <n v="6357014132.7799997"/>
  </r>
  <r>
    <x v="2"/>
    <x v="17"/>
    <n v="2025"/>
    <x v="4"/>
    <n v="127858.88"/>
    <n v="71.8"/>
    <n v="285"/>
    <n v="142"/>
    <s v="SUV"/>
    <n v="5"/>
    <x v="1"/>
    <x v="1"/>
    <n v="125874"/>
    <n v="3.89"/>
    <n v="4"/>
    <n v="16094108661.120001"/>
  </r>
  <r>
    <x v="2"/>
    <x v="31"/>
    <n v="2025"/>
    <x v="3"/>
    <n v="114028.98"/>
    <n v="65.3"/>
    <n v="249"/>
    <n v="137"/>
    <s v="Truck"/>
    <n v="5"/>
    <x v="1"/>
    <x v="1"/>
    <n v="169238"/>
    <n v="3.54"/>
    <n v="4"/>
    <n v="19298036517.239998"/>
  </r>
  <r>
    <x v="1"/>
    <x v="51"/>
    <n v="2025"/>
    <x v="3"/>
    <n v="47756.59"/>
    <n v="60.7"/>
    <n v="225"/>
    <n v="158"/>
    <s v="Sedan"/>
    <n v="4"/>
    <x v="1"/>
    <x v="2"/>
    <n v="6983"/>
    <n v="3.23"/>
    <n v="3"/>
    <n v="333484267.96999997"/>
  </r>
  <r>
    <x v="6"/>
    <x v="53"/>
    <n v="2025"/>
    <x v="3"/>
    <n v="33127.96"/>
    <n v="41.6"/>
    <n v="164"/>
    <n v="129"/>
    <s v="SUV"/>
    <n v="5"/>
    <x v="4"/>
    <x v="3"/>
    <n v="138439"/>
    <n v="3.06"/>
    <n v="5"/>
    <n v="4586201654.4399996"/>
  </r>
  <r>
    <x v="5"/>
    <x v="7"/>
    <n v="2025"/>
    <x v="4"/>
    <n v="52664.7"/>
    <n v="45"/>
    <n v="151"/>
    <n v="133"/>
    <s v="SUV"/>
    <n v="5"/>
    <x v="4"/>
    <x v="2"/>
    <n v="62015"/>
    <n v="3.3"/>
    <n v="3"/>
    <n v="3266001370.5"/>
  </r>
  <r>
    <x v="11"/>
    <x v="25"/>
    <n v="2025"/>
    <x v="4"/>
    <n v="100224.89"/>
    <n v="43.2"/>
    <n v="157"/>
    <n v="137"/>
    <s v="Sedan"/>
    <n v="4"/>
    <x v="1"/>
    <x v="1"/>
    <n v="10726"/>
    <n v="3"/>
    <n v="6"/>
    <n v="1075012170.1400001"/>
  </r>
  <r>
    <x v="9"/>
    <x v="55"/>
    <n v="2025"/>
    <x v="2"/>
    <n v="66795.11"/>
    <n v="65"/>
    <n v="246"/>
    <n v="171"/>
    <s v="Coupe"/>
    <n v="5"/>
    <x v="3"/>
    <x v="0"/>
    <n v="50876"/>
    <n v="3.34"/>
    <n v="6"/>
    <n v="3398268016.3600001"/>
  </r>
  <r>
    <x v="9"/>
    <x v="39"/>
    <n v="2025"/>
    <x v="0"/>
    <n v="102396.37"/>
    <n v="96.6"/>
    <n v="340"/>
    <n v="184"/>
    <s v="Hatchback"/>
    <n v="5"/>
    <x v="3"/>
    <x v="1"/>
    <n v="35285"/>
    <n v="3.65"/>
    <n v="5"/>
    <n v="3613055915.4499998"/>
  </r>
  <r>
    <x v="3"/>
    <x v="11"/>
    <n v="2025"/>
    <x v="0"/>
    <n v="53276.57"/>
    <n v="102.1"/>
    <n v="367"/>
    <n v="177"/>
    <s v="Coupe"/>
    <n v="4"/>
    <x v="2"/>
    <x v="2"/>
    <n v="242908"/>
    <n v="4.26"/>
    <n v="3"/>
    <n v="12941305065.559999"/>
  </r>
  <r>
    <x v="9"/>
    <x v="16"/>
    <n v="2025"/>
    <x v="2"/>
    <n v="102104.07"/>
    <n v="55.1"/>
    <n v="174"/>
    <n v="165"/>
    <s v="SUV"/>
    <n v="3"/>
    <x v="3"/>
    <x v="1"/>
    <n v="30235"/>
    <n v="3.27"/>
    <n v="6"/>
    <n v="3087116556.4500003"/>
  </r>
  <r>
    <x v="7"/>
    <x v="27"/>
    <n v="2025"/>
    <x v="3"/>
    <n v="62840.41"/>
    <n v="71.400000000000006"/>
    <n v="268"/>
    <n v="159"/>
    <s v="Hatchback"/>
    <n v="5"/>
    <x v="3"/>
    <x v="2"/>
    <n v="242781"/>
    <n v="3.79"/>
    <n v="4"/>
    <n v="15256457580.210001"/>
  </r>
  <r>
    <x v="2"/>
    <x v="2"/>
    <n v="2025"/>
    <x v="4"/>
    <n v="84149.31"/>
    <n v="75.3"/>
    <n v="252"/>
    <n v="143"/>
    <s v="Sedan"/>
    <n v="4"/>
    <x v="1"/>
    <x v="0"/>
    <n v="224851"/>
    <n v="3.64"/>
    <n v="6"/>
    <n v="18921056502.810001"/>
  </r>
  <r>
    <x v="9"/>
    <x v="38"/>
    <n v="2025"/>
    <x v="3"/>
    <n v="71216.91"/>
    <n v="62.4"/>
    <n v="239"/>
    <n v="171"/>
    <s v="Van"/>
    <n v="4"/>
    <x v="3"/>
    <x v="0"/>
    <n v="70121"/>
    <n v="3.47"/>
    <n v="7"/>
    <n v="4993800946.1100006"/>
  </r>
  <r>
    <x v="7"/>
    <x v="28"/>
    <n v="2025"/>
    <x v="3"/>
    <n v="87726.28"/>
    <n v="40.6"/>
    <n v="161"/>
    <n v="133"/>
    <s v="Van"/>
    <n v="5"/>
    <x v="3"/>
    <x v="0"/>
    <n v="253183"/>
    <n v="3.49"/>
    <n v="3"/>
    <n v="22210802749.239998"/>
  </r>
  <r>
    <x v="4"/>
    <x v="4"/>
    <n v="2025"/>
    <x v="1"/>
    <n v="99175.33"/>
    <n v="93.3"/>
    <n v="334"/>
    <n v="185"/>
    <s v="Coupe"/>
    <n v="5"/>
    <x v="3"/>
    <x v="0"/>
    <n v="77677"/>
    <n v="3.68"/>
    <n v="6"/>
    <n v="7703642108.4099998"/>
  </r>
  <r>
    <x v="7"/>
    <x v="10"/>
    <n v="2025"/>
    <x v="3"/>
    <n v="87997.46"/>
    <n v="42.5"/>
    <n v="150"/>
    <n v="129"/>
    <s v="SUV"/>
    <n v="4"/>
    <x v="3"/>
    <x v="0"/>
    <n v="228031"/>
    <n v="3.16"/>
    <n v="4"/>
    <n v="20066148801.260002"/>
  </r>
  <r>
    <x v="3"/>
    <x v="37"/>
    <n v="2025"/>
    <x v="2"/>
    <n v="25853.85"/>
    <n v="83.7"/>
    <n v="278"/>
    <n v="157"/>
    <s v="Truck"/>
    <n v="5"/>
    <x v="2"/>
    <x v="3"/>
    <n v="106382"/>
    <n v="3.56"/>
    <n v="4"/>
    <n v="2750384270.6999998"/>
  </r>
  <r>
    <x v="9"/>
    <x v="39"/>
    <n v="2025"/>
    <x v="0"/>
    <n v="66806.73"/>
    <n v="104.8"/>
    <n v="353"/>
    <n v="170"/>
    <s v="Coupe"/>
    <n v="4"/>
    <x v="3"/>
    <x v="0"/>
    <n v="37357"/>
    <n v="3.74"/>
    <n v="7"/>
    <n v="2495699012.6099997"/>
  </r>
  <r>
    <x v="8"/>
    <x v="12"/>
    <n v="2025"/>
    <x v="0"/>
    <n v="69759.03"/>
    <n v="87.5"/>
    <n v="324"/>
    <n v="162"/>
    <s v="Truck"/>
    <n v="4"/>
    <x v="1"/>
    <x v="0"/>
    <n v="57497"/>
    <n v="3.67"/>
    <n v="4"/>
    <n v="4010934947.9099998"/>
  </r>
  <r>
    <x v="2"/>
    <x v="35"/>
    <n v="2025"/>
    <x v="0"/>
    <n v="119926.96"/>
    <n v="80.900000000000006"/>
    <n v="277"/>
    <n v="177"/>
    <s v="Van"/>
    <n v="4"/>
    <x v="1"/>
    <x v="1"/>
    <n v="137895"/>
    <n v="4.12"/>
    <n v="5"/>
    <n v="16537328149.200001"/>
  </r>
  <r>
    <x v="7"/>
    <x v="27"/>
    <n v="2025"/>
    <x v="2"/>
    <n v="73427.05"/>
    <n v="43.7"/>
    <n v="150"/>
    <n v="164"/>
    <s v="Hatchback"/>
    <n v="4"/>
    <x v="3"/>
    <x v="0"/>
    <n v="258880"/>
    <n v="3.26"/>
    <n v="4"/>
    <n v="19008794704"/>
  </r>
  <r>
    <x v="7"/>
    <x v="10"/>
    <n v="2025"/>
    <x v="0"/>
    <n v="61721.97"/>
    <n v="88.9"/>
    <n v="293"/>
    <n v="174"/>
    <s v="SUV"/>
    <n v="4"/>
    <x v="3"/>
    <x v="2"/>
    <n v="292808"/>
    <n v="3.65"/>
    <n v="3"/>
    <n v="18072686591.760002"/>
  </r>
  <r>
    <x v="7"/>
    <x v="24"/>
    <n v="2025"/>
    <x v="2"/>
    <n v="70848.39"/>
    <n v="47.9"/>
    <n v="178"/>
    <n v="160"/>
    <s v="Hatchback"/>
    <n v="4"/>
    <x v="3"/>
    <x v="0"/>
    <n v="282558"/>
    <n v="3.33"/>
    <n v="4"/>
    <n v="20018779381.619999"/>
  </r>
  <r>
    <x v="2"/>
    <x v="5"/>
    <n v="2025"/>
    <x v="0"/>
    <n v="139788.5"/>
    <n v="103.7"/>
    <n v="335"/>
    <n v="164"/>
    <s v="Coupe"/>
    <n v="4"/>
    <x v="1"/>
    <x v="1"/>
    <n v="402120"/>
    <n v="3.78"/>
    <n v="5"/>
    <n v="56211751620"/>
  </r>
  <r>
    <x v="9"/>
    <x v="39"/>
    <n v="2025"/>
    <x v="4"/>
    <n v="108403.17"/>
    <n v="84.9"/>
    <n v="286"/>
    <n v="165"/>
    <s v="Truck"/>
    <n v="5"/>
    <x v="3"/>
    <x v="1"/>
    <n v="60610"/>
    <n v="3.5"/>
    <n v="8"/>
    <n v="6570316133.6999998"/>
  </r>
  <r>
    <x v="3"/>
    <x v="6"/>
    <n v="2025"/>
    <x v="0"/>
    <n v="28903.55"/>
    <n v="96.2"/>
    <n v="330"/>
    <n v="180"/>
    <s v="Hatchback"/>
    <n v="4"/>
    <x v="2"/>
    <x v="3"/>
    <n v="225650"/>
    <n v="3.6"/>
    <n v="3"/>
    <n v="6522086057.5"/>
  </r>
  <r>
    <x v="7"/>
    <x v="28"/>
    <n v="2025"/>
    <x v="4"/>
    <n v="88650.96"/>
    <n v="83.9"/>
    <n v="297"/>
    <n v="146"/>
    <s v="Sedan"/>
    <n v="4"/>
    <x v="3"/>
    <x v="0"/>
    <n v="243258"/>
    <n v="3.56"/>
    <n v="5"/>
    <n v="21565055227.68"/>
  </r>
  <r>
    <x v="8"/>
    <x v="34"/>
    <n v="2025"/>
    <x v="2"/>
    <n v="31999.38"/>
    <n v="73.5"/>
    <n v="219"/>
    <n v="163"/>
    <s v="Truck"/>
    <n v="4"/>
    <x v="1"/>
    <x v="3"/>
    <n v="25220"/>
    <n v="3.43"/>
    <n v="4"/>
    <n v="807024363.60000002"/>
  </r>
  <r>
    <x v="8"/>
    <x v="21"/>
    <n v="2025"/>
    <x v="0"/>
    <n v="97440.5"/>
    <n v="95"/>
    <n v="331"/>
    <n v="173"/>
    <s v="Coupe"/>
    <n v="4"/>
    <x v="1"/>
    <x v="0"/>
    <n v="26936"/>
    <n v="3.72"/>
    <n v="4"/>
    <n v="2624657308"/>
  </r>
  <r>
    <x v="2"/>
    <x v="35"/>
    <n v="2025"/>
    <x v="4"/>
    <n v="133807.79999999999"/>
    <n v="41.7"/>
    <n v="150"/>
    <n v="161"/>
    <s v="Truck"/>
    <n v="4"/>
    <x v="1"/>
    <x v="1"/>
    <n v="225294"/>
    <n v="3.41"/>
    <n v="5"/>
    <n v="30146094493.199997"/>
  </r>
  <r>
    <x v="2"/>
    <x v="2"/>
    <n v="2025"/>
    <x v="0"/>
    <n v="43022.879999999997"/>
    <n v="101.7"/>
    <n v="396"/>
    <n v="178"/>
    <s v="Coupe"/>
    <n v="5"/>
    <x v="1"/>
    <x v="2"/>
    <n v="177801"/>
    <n v="4.2"/>
    <n v="6"/>
    <n v="7649511086.8799992"/>
  </r>
  <r>
    <x v="9"/>
    <x v="16"/>
    <n v="2025"/>
    <x v="0"/>
    <n v="119539.21"/>
    <n v="109.1"/>
    <n v="391"/>
    <n v="183"/>
    <s v="Sedan"/>
    <n v="3"/>
    <x v="3"/>
    <x v="1"/>
    <n v="49676"/>
    <n v="3.74"/>
    <n v="6"/>
    <n v="5938229795.96"/>
  </r>
  <r>
    <x v="4"/>
    <x v="40"/>
    <n v="2025"/>
    <x v="2"/>
    <n v="71446.39"/>
    <n v="60.1"/>
    <n v="202"/>
    <n v="150"/>
    <s v="Sedan"/>
    <n v="5"/>
    <x v="3"/>
    <x v="0"/>
    <n v="60589"/>
    <n v="3.47"/>
    <n v="5"/>
    <n v="4328865323.71"/>
  </r>
  <r>
    <x v="3"/>
    <x v="6"/>
    <n v="2025"/>
    <x v="2"/>
    <n v="61646.7"/>
    <n v="48.1"/>
    <n v="150"/>
    <n v="145"/>
    <s v="Truck"/>
    <n v="4"/>
    <x v="2"/>
    <x v="2"/>
    <n v="115977"/>
    <n v="3.16"/>
    <n v="4"/>
    <n v="7149599325.8999996"/>
  </r>
  <r>
    <x v="2"/>
    <x v="17"/>
    <n v="2025"/>
    <x v="0"/>
    <n v="112948.48"/>
    <n v="78.099999999999994"/>
    <n v="261"/>
    <n v="169"/>
    <s v="Truck"/>
    <n v="5"/>
    <x v="1"/>
    <x v="1"/>
    <n v="130244"/>
    <n v="3.47"/>
    <n v="4"/>
    <n v="14710861829.119999"/>
  </r>
  <r>
    <x v="6"/>
    <x v="50"/>
    <n v="2025"/>
    <x v="1"/>
    <n v="91101"/>
    <n v="93.1"/>
    <n v="300"/>
    <n v="193"/>
    <s v="Van"/>
    <n v="5"/>
    <x v="4"/>
    <x v="0"/>
    <n v="95350"/>
    <n v="3.54"/>
    <n v="4"/>
    <n v="8686480350"/>
  </r>
  <r>
    <x v="3"/>
    <x v="6"/>
    <n v="2025"/>
    <x v="0"/>
    <n v="104231.93"/>
    <n v="79.599999999999994"/>
    <n v="254"/>
    <n v="186"/>
    <s v="Van"/>
    <n v="4"/>
    <x v="2"/>
    <x v="1"/>
    <n v="190907"/>
    <n v="3.49"/>
    <n v="4"/>
    <n v="19898605060.509998"/>
  </r>
  <r>
    <x v="8"/>
    <x v="60"/>
    <n v="2025"/>
    <x v="3"/>
    <n v="68547.740000000005"/>
    <n v="40.5"/>
    <n v="153"/>
    <n v="168"/>
    <s v="Coupe"/>
    <n v="5"/>
    <x v="1"/>
    <x v="0"/>
    <n v="25642"/>
    <n v="3.34"/>
    <n v="5"/>
    <n v="1757701149.0800002"/>
  </r>
  <r>
    <x v="5"/>
    <x v="23"/>
    <n v="2025"/>
    <x v="0"/>
    <n v="46513"/>
    <n v="99"/>
    <n v="349"/>
    <n v="182"/>
    <s v="Truck"/>
    <n v="4"/>
    <x v="4"/>
    <x v="2"/>
    <n v="124966"/>
    <n v="3.94"/>
    <n v="4"/>
    <n v="5812543558"/>
  </r>
  <r>
    <x v="12"/>
    <x v="45"/>
    <n v="2025"/>
    <x v="2"/>
    <n v="34507.25"/>
    <n v="66.400000000000006"/>
    <n v="230"/>
    <n v="167"/>
    <s v="Truck"/>
    <n v="5"/>
    <x v="1"/>
    <x v="3"/>
    <n v="18832"/>
    <n v="3.2"/>
    <n v="4"/>
    <n v="649840532"/>
  </r>
  <r>
    <x v="2"/>
    <x v="35"/>
    <n v="2025"/>
    <x v="2"/>
    <n v="30686.17"/>
    <n v="65.2"/>
    <n v="245"/>
    <n v="138"/>
    <s v="Sedan"/>
    <n v="5"/>
    <x v="1"/>
    <x v="3"/>
    <n v="248383"/>
    <n v="3.55"/>
    <n v="4"/>
    <n v="7621922963.1099997"/>
  </r>
  <r>
    <x v="9"/>
    <x v="39"/>
    <n v="2025"/>
    <x v="3"/>
    <n v="75699.03"/>
    <n v="67.400000000000006"/>
    <n v="240"/>
    <n v="172"/>
    <s v="Sedan"/>
    <n v="5"/>
    <x v="3"/>
    <x v="0"/>
    <n v="23009"/>
    <n v="3.46"/>
    <n v="6"/>
    <n v="1741758981.27"/>
  </r>
  <r>
    <x v="2"/>
    <x v="2"/>
    <n v="2025"/>
    <x v="4"/>
    <n v="102510.62"/>
    <n v="40.799999999999997"/>
    <n v="150"/>
    <n v="140"/>
    <s v="Coupe"/>
    <n v="4"/>
    <x v="1"/>
    <x v="1"/>
    <n v="206373"/>
    <n v="3.59"/>
    <n v="6"/>
    <n v="21155424181.259998"/>
  </r>
  <r>
    <x v="12"/>
    <x v="36"/>
    <n v="2025"/>
    <x v="0"/>
    <n v="74596.820000000007"/>
    <n v="94.2"/>
    <n v="323"/>
    <n v="178"/>
    <s v="Truck"/>
    <n v="4"/>
    <x v="1"/>
    <x v="0"/>
    <n v="14842"/>
    <n v="3.62"/>
    <n v="5"/>
    <n v="1107166002.4400001"/>
  </r>
  <r>
    <x v="2"/>
    <x v="2"/>
    <n v="2025"/>
    <x v="2"/>
    <n v="93767.76"/>
    <n v="58.4"/>
    <n v="202"/>
    <n v="133"/>
    <s v="Sedan"/>
    <n v="4"/>
    <x v="1"/>
    <x v="0"/>
    <n v="129076"/>
    <n v="3.36"/>
    <n v="4"/>
    <n v="12103167389.76"/>
  </r>
  <r>
    <x v="9"/>
    <x v="38"/>
    <n v="2025"/>
    <x v="4"/>
    <n v="133858.15"/>
    <n v="74.7"/>
    <n v="287"/>
    <n v="169"/>
    <s v="SUV"/>
    <n v="5"/>
    <x v="3"/>
    <x v="1"/>
    <n v="27376"/>
    <n v="3.39"/>
    <n v="8"/>
    <n v="3664500714.3999996"/>
  </r>
  <r>
    <x v="3"/>
    <x v="37"/>
    <n v="2025"/>
    <x v="4"/>
    <n v="71227.02"/>
    <n v="54.5"/>
    <n v="216"/>
    <n v="174"/>
    <s v="Sedan"/>
    <n v="4"/>
    <x v="2"/>
    <x v="0"/>
    <n v="114165"/>
    <n v="3.2"/>
    <n v="3"/>
    <n v="8131632738.3000002"/>
  </r>
  <r>
    <x v="9"/>
    <x v="55"/>
    <n v="2025"/>
    <x v="3"/>
    <n v="84568.67"/>
    <n v="83.7"/>
    <n v="285"/>
    <n v="143"/>
    <s v="Sedan"/>
    <n v="4"/>
    <x v="3"/>
    <x v="0"/>
    <n v="62828"/>
    <n v="3.51"/>
    <n v="5"/>
    <n v="5313280398.7600002"/>
  </r>
  <r>
    <x v="5"/>
    <x v="7"/>
    <n v="2025"/>
    <x v="1"/>
    <n v="52082.5"/>
    <n v="92.9"/>
    <n v="337"/>
    <n v="200"/>
    <s v="Hatchback"/>
    <n v="5"/>
    <x v="4"/>
    <x v="2"/>
    <n v="99623"/>
    <n v="3.84"/>
    <n v="4"/>
    <n v="5188614897.5"/>
  </r>
  <r>
    <x v="9"/>
    <x v="38"/>
    <n v="2025"/>
    <x v="0"/>
    <n v="135695.35"/>
    <n v="105.1"/>
    <n v="363"/>
    <n v="192"/>
    <s v="Hatchback"/>
    <n v="4"/>
    <x v="3"/>
    <x v="1"/>
    <n v="36974"/>
    <n v="3.78"/>
    <n v="6"/>
    <n v="5017199870.9000006"/>
  </r>
  <r>
    <x v="5"/>
    <x v="7"/>
    <n v="2025"/>
    <x v="4"/>
    <n v="65977.95"/>
    <n v="56"/>
    <n v="198"/>
    <n v="130"/>
    <s v="Coupe"/>
    <n v="4"/>
    <x v="4"/>
    <x v="0"/>
    <n v="91348"/>
    <n v="3.44"/>
    <n v="5"/>
    <n v="6026953776.5999994"/>
  </r>
  <r>
    <x v="12"/>
    <x v="36"/>
    <n v="2025"/>
    <x v="3"/>
    <n v="36433.269999999997"/>
    <n v="44.4"/>
    <n v="150"/>
    <n v="161"/>
    <s v="Hatchback"/>
    <n v="5"/>
    <x v="1"/>
    <x v="2"/>
    <n v="27128"/>
    <n v="3.23"/>
    <n v="3"/>
    <n v="988361748.55999994"/>
  </r>
  <r>
    <x v="12"/>
    <x v="46"/>
    <n v="2025"/>
    <x v="0"/>
    <n v="49790.46"/>
    <n v="91.9"/>
    <n v="322"/>
    <n v="180"/>
    <s v="SUV"/>
    <n v="5"/>
    <x v="1"/>
    <x v="2"/>
    <n v="29595"/>
    <n v="3.76"/>
    <n v="4"/>
    <n v="1473548663.7"/>
  </r>
  <r>
    <x v="2"/>
    <x v="2"/>
    <n v="2025"/>
    <x v="4"/>
    <n v="135056.97"/>
    <n v="63"/>
    <n v="231"/>
    <n v="135"/>
    <s v="SUV"/>
    <n v="5"/>
    <x v="1"/>
    <x v="1"/>
    <n v="107596"/>
    <n v="3.88"/>
    <n v="5"/>
    <n v="14531589744.120001"/>
  </r>
  <r>
    <x v="2"/>
    <x v="17"/>
    <n v="2025"/>
    <x v="2"/>
    <n v="50205.39"/>
    <n v="40.299999999999997"/>
    <n v="150"/>
    <n v="169"/>
    <s v="Van"/>
    <n v="3"/>
    <x v="1"/>
    <x v="2"/>
    <n v="169041"/>
    <n v="3.2"/>
    <n v="4"/>
    <n v="8486769330.9899998"/>
  </r>
  <r>
    <x v="3"/>
    <x v="3"/>
    <n v="2025"/>
    <x v="2"/>
    <n v="24481.15"/>
    <n v="41.9"/>
    <n v="150"/>
    <n v="137"/>
    <s v="Sedan"/>
    <n v="3"/>
    <x v="2"/>
    <x v="3"/>
    <n v="176238"/>
    <n v="3.06"/>
    <n v="3"/>
    <n v="4314508913.6999998"/>
  </r>
  <r>
    <x v="2"/>
    <x v="31"/>
    <n v="2025"/>
    <x v="2"/>
    <n v="88007.74"/>
    <n v="64.2"/>
    <n v="223"/>
    <n v="171"/>
    <s v="Truck"/>
    <n v="4"/>
    <x v="1"/>
    <x v="0"/>
    <n v="102752"/>
    <n v="3.5"/>
    <n v="6"/>
    <n v="9042971300.4800014"/>
  </r>
  <r>
    <x v="8"/>
    <x v="34"/>
    <n v="2025"/>
    <x v="1"/>
    <n v="75193.899999999994"/>
    <n v="76.099999999999994"/>
    <n v="227"/>
    <n v="193"/>
    <s v="Sedan"/>
    <n v="4"/>
    <x v="1"/>
    <x v="0"/>
    <n v="31804"/>
    <n v="3.45"/>
    <n v="3"/>
    <n v="2391466795.5999999"/>
  </r>
  <r>
    <x v="5"/>
    <x v="7"/>
    <n v="2025"/>
    <x v="1"/>
    <n v="111745.56"/>
    <n v="82.5"/>
    <n v="289"/>
    <n v="183"/>
    <s v="Truck"/>
    <n v="4"/>
    <x v="4"/>
    <x v="1"/>
    <n v="96875"/>
    <n v="3.43"/>
    <n v="3"/>
    <n v="10825351125"/>
  </r>
  <r>
    <x v="9"/>
    <x v="16"/>
    <n v="2025"/>
    <x v="3"/>
    <n v="69328.91"/>
    <n v="57.6"/>
    <n v="225"/>
    <n v="142"/>
    <s v="SUV"/>
    <n v="5"/>
    <x v="3"/>
    <x v="0"/>
    <n v="73975"/>
    <n v="3.26"/>
    <n v="8"/>
    <n v="5128606117.25"/>
  </r>
  <r>
    <x v="3"/>
    <x v="11"/>
    <n v="2025"/>
    <x v="0"/>
    <n v="79832.09"/>
    <n v="92"/>
    <n v="328"/>
    <n v="171"/>
    <s v="SUV"/>
    <n v="5"/>
    <x v="2"/>
    <x v="0"/>
    <n v="242291"/>
    <n v="3.55"/>
    <n v="4"/>
    <n v="19342596918.189999"/>
  </r>
  <r>
    <x v="5"/>
    <x v="23"/>
    <n v="2025"/>
    <x v="4"/>
    <n v="61993.33"/>
    <n v="49.9"/>
    <n v="183"/>
    <n v="168"/>
    <s v="Sedan"/>
    <n v="4"/>
    <x v="4"/>
    <x v="2"/>
    <n v="65237"/>
    <n v="3.14"/>
    <n v="4"/>
    <n v="4044258869.21"/>
  </r>
  <r>
    <x v="12"/>
    <x v="52"/>
    <n v="2025"/>
    <x v="0"/>
    <n v="34424.61"/>
    <n v="103.6"/>
    <n v="370"/>
    <n v="163"/>
    <s v="Sedan"/>
    <n v="4"/>
    <x v="1"/>
    <x v="3"/>
    <n v="20827"/>
    <n v="3.59"/>
    <n v="4"/>
    <n v="716961352.47000003"/>
  </r>
  <r>
    <x v="6"/>
    <x v="50"/>
    <n v="2025"/>
    <x v="3"/>
    <n v="53515.28"/>
    <n v="50.9"/>
    <n v="176"/>
    <n v="147"/>
    <s v="Hatchback"/>
    <n v="5"/>
    <x v="4"/>
    <x v="2"/>
    <n v="93480"/>
    <n v="3.41"/>
    <n v="4"/>
    <n v="5002608374.3999996"/>
  </r>
  <r>
    <x v="0"/>
    <x v="47"/>
    <n v="2025"/>
    <x v="3"/>
    <n v="46568.71"/>
    <n v="69.2"/>
    <n v="216"/>
    <n v="165"/>
    <s v="SUV"/>
    <n v="5"/>
    <x v="0"/>
    <x v="2"/>
    <n v="1982"/>
    <n v="3.52"/>
    <n v="4"/>
    <n v="92299183.219999999"/>
  </r>
  <r>
    <x v="2"/>
    <x v="35"/>
    <n v="2025"/>
    <x v="2"/>
    <n v="95625.9"/>
    <n v="64.099999999999994"/>
    <n v="229"/>
    <n v="138"/>
    <s v="Coupe"/>
    <n v="5"/>
    <x v="1"/>
    <x v="0"/>
    <n v="233990"/>
    <n v="3.63"/>
    <n v="5"/>
    <n v="22375504341"/>
  </r>
  <r>
    <x v="7"/>
    <x v="28"/>
    <n v="2025"/>
    <x v="3"/>
    <n v="48208.86"/>
    <n v="79"/>
    <n v="288"/>
    <n v="152"/>
    <s v="Sedan"/>
    <n v="5"/>
    <x v="3"/>
    <x v="2"/>
    <n v="272524"/>
    <n v="3.48"/>
    <n v="3"/>
    <n v="13138071362.639999"/>
  </r>
  <r>
    <x v="7"/>
    <x v="24"/>
    <n v="2025"/>
    <x v="3"/>
    <n v="76084.88"/>
    <n v="51.2"/>
    <n v="165"/>
    <n v="149"/>
    <s v="Hatchback"/>
    <n v="4"/>
    <x v="3"/>
    <x v="0"/>
    <n v="264457"/>
    <n v="3.12"/>
    <n v="3"/>
    <n v="20121179110.16"/>
  </r>
  <r>
    <x v="5"/>
    <x v="22"/>
    <n v="2025"/>
    <x v="0"/>
    <n v="39329.81"/>
    <n v="94"/>
    <n v="300"/>
    <n v="189"/>
    <s v="SUV"/>
    <n v="5"/>
    <x v="4"/>
    <x v="2"/>
    <n v="139592"/>
    <n v="3.62"/>
    <n v="4"/>
    <n v="5490126837.5199995"/>
  </r>
  <r>
    <x v="6"/>
    <x v="50"/>
    <n v="2025"/>
    <x v="1"/>
    <n v="83020.490000000005"/>
    <n v="119.5"/>
    <n v="412"/>
    <n v="188"/>
    <s v="Sedan"/>
    <n v="4"/>
    <x v="4"/>
    <x v="0"/>
    <n v="65013"/>
    <n v="3.72"/>
    <n v="4"/>
    <n v="5397411116.3699999"/>
  </r>
  <r>
    <x v="12"/>
    <x v="45"/>
    <n v="2025"/>
    <x v="0"/>
    <n v="37683.39"/>
    <n v="98.3"/>
    <n v="363"/>
    <n v="166"/>
    <s v="Truck"/>
    <n v="4"/>
    <x v="1"/>
    <x v="2"/>
    <n v="20559"/>
    <n v="3.37"/>
    <n v="4"/>
    <n v="774732815.00999999"/>
  </r>
  <r>
    <x v="2"/>
    <x v="5"/>
    <n v="2025"/>
    <x v="4"/>
    <n v="40474.28"/>
    <n v="53.8"/>
    <n v="163"/>
    <n v="148"/>
    <s v="SUV"/>
    <n v="4"/>
    <x v="1"/>
    <x v="2"/>
    <n v="484636"/>
    <n v="3.69"/>
    <n v="5"/>
    <n v="19615293162.079998"/>
  </r>
  <r>
    <x v="12"/>
    <x v="36"/>
    <n v="2025"/>
    <x v="4"/>
    <n v="47998.86"/>
    <n v="60.9"/>
    <n v="202"/>
    <n v="159"/>
    <s v="Van"/>
    <n v="5"/>
    <x v="1"/>
    <x v="2"/>
    <n v="2175"/>
    <n v="3.23"/>
    <n v="4"/>
    <n v="104397520.5"/>
  </r>
  <r>
    <x v="3"/>
    <x v="14"/>
    <n v="2025"/>
    <x v="4"/>
    <n v="101756.01"/>
    <n v="70.7"/>
    <n v="259"/>
    <n v="139"/>
    <s v="Coupe"/>
    <n v="5"/>
    <x v="2"/>
    <x v="1"/>
    <n v="207780"/>
    <n v="3.62"/>
    <n v="3"/>
    <n v="21142863757.799999"/>
  </r>
  <r>
    <x v="11"/>
    <x v="30"/>
    <n v="2025"/>
    <x v="3"/>
    <n v="79722.649999999994"/>
    <n v="80.900000000000006"/>
    <n v="261"/>
    <n v="173"/>
    <s v="SUV"/>
    <n v="5"/>
    <x v="1"/>
    <x v="0"/>
    <n v="28225"/>
    <n v="3.26"/>
    <n v="5"/>
    <n v="2250171796.25"/>
  </r>
  <r>
    <x v="6"/>
    <x v="9"/>
    <n v="2025"/>
    <x v="4"/>
    <n v="65433.15"/>
    <n v="41.9"/>
    <n v="150"/>
    <n v="179"/>
    <s v="Sedan"/>
    <n v="5"/>
    <x v="4"/>
    <x v="0"/>
    <n v="78985"/>
    <n v="3.32"/>
    <n v="5"/>
    <n v="5168237352.75"/>
  </r>
  <r>
    <x v="7"/>
    <x v="44"/>
    <n v="2025"/>
    <x v="3"/>
    <n v="60858.6"/>
    <n v="63.9"/>
    <n v="242"/>
    <n v="165"/>
    <s v="Sedan"/>
    <n v="4"/>
    <x v="3"/>
    <x v="2"/>
    <n v="280770"/>
    <n v="3.65"/>
    <n v="3"/>
    <n v="17087269122"/>
  </r>
  <r>
    <x v="13"/>
    <x v="57"/>
    <n v="2025"/>
    <x v="4"/>
    <n v="128362.44"/>
    <n v="46.9"/>
    <n v="168"/>
    <n v="141"/>
    <s v="Coupe"/>
    <n v="4"/>
    <x v="3"/>
    <x v="1"/>
    <n v="79528"/>
    <n v="3.66"/>
    <n v="8"/>
    <n v="10208408128.32"/>
  </r>
  <r>
    <x v="2"/>
    <x v="17"/>
    <n v="2025"/>
    <x v="3"/>
    <n v="103423.57"/>
    <n v="67.2"/>
    <n v="226"/>
    <n v="149"/>
    <s v="Hatchback"/>
    <n v="5"/>
    <x v="1"/>
    <x v="1"/>
    <n v="136780"/>
    <n v="3.7"/>
    <n v="4"/>
    <n v="14146275904.6"/>
  </r>
  <r>
    <x v="7"/>
    <x v="27"/>
    <n v="2025"/>
    <x v="0"/>
    <n v="46681.91"/>
    <n v="83.1"/>
    <n v="285"/>
    <n v="181"/>
    <s v="Coupe"/>
    <n v="5"/>
    <x v="3"/>
    <x v="2"/>
    <n v="243592"/>
    <n v="3.37"/>
    <n v="5"/>
    <n v="11371339820.720001"/>
  </r>
  <r>
    <x v="2"/>
    <x v="5"/>
    <n v="2025"/>
    <x v="2"/>
    <n v="38868.67"/>
    <n v="48"/>
    <n v="150"/>
    <n v="171"/>
    <s v="Coupe"/>
    <n v="4"/>
    <x v="1"/>
    <x v="2"/>
    <n v="420151"/>
    <n v="3.64"/>
    <n v="4"/>
    <n v="16330710569.17"/>
  </r>
  <r>
    <x v="3"/>
    <x v="11"/>
    <n v="2025"/>
    <x v="3"/>
    <n v="53845.68"/>
    <n v="43.7"/>
    <n v="161"/>
    <n v="125"/>
    <s v="Hatchback"/>
    <n v="4"/>
    <x v="2"/>
    <x v="2"/>
    <n v="196975"/>
    <n v="3.39"/>
    <n v="4"/>
    <n v="10606252818"/>
  </r>
  <r>
    <x v="13"/>
    <x v="57"/>
    <n v="2025"/>
    <x v="4"/>
    <n v="153235.91"/>
    <n v="48.7"/>
    <n v="182"/>
    <n v="133"/>
    <s v="Sedan"/>
    <n v="5"/>
    <x v="3"/>
    <x v="1"/>
    <n v="44720"/>
    <n v="3.56"/>
    <n v="7"/>
    <n v="6852709895.1999998"/>
  </r>
  <r>
    <x v="2"/>
    <x v="35"/>
    <n v="2025"/>
    <x v="4"/>
    <n v="60275.05"/>
    <n v="61.4"/>
    <n v="220"/>
    <n v="143"/>
    <s v="SUV"/>
    <n v="4"/>
    <x v="1"/>
    <x v="2"/>
    <n v="226355"/>
    <n v="3.72"/>
    <n v="6"/>
    <n v="13643558942.75"/>
  </r>
  <r>
    <x v="13"/>
    <x v="59"/>
    <n v="2025"/>
    <x v="4"/>
    <n v="202973.51"/>
    <n v="74.099999999999994"/>
    <n v="259"/>
    <n v="152"/>
    <s v="Sedan"/>
    <n v="5"/>
    <x v="3"/>
    <x v="1"/>
    <n v="22987"/>
    <n v="3.81"/>
    <n v="8"/>
    <n v="4665752074.3699999"/>
  </r>
  <r>
    <x v="8"/>
    <x v="34"/>
    <n v="2025"/>
    <x v="0"/>
    <n v="69671.759999999995"/>
    <n v="106.4"/>
    <n v="373"/>
    <n v="161"/>
    <s v="Coupe"/>
    <n v="5"/>
    <x v="1"/>
    <x v="0"/>
    <n v="49288"/>
    <n v="3.95"/>
    <n v="4"/>
    <n v="3433981706.8799996"/>
  </r>
  <r>
    <x v="6"/>
    <x v="9"/>
    <n v="2025"/>
    <x v="3"/>
    <n v="63434.69"/>
    <n v="78"/>
    <n v="279"/>
    <n v="124"/>
    <s v="Truck"/>
    <n v="5"/>
    <x v="4"/>
    <x v="2"/>
    <n v="133046"/>
    <n v="3.73"/>
    <n v="4"/>
    <n v="8439731765.7400007"/>
  </r>
  <r>
    <x v="7"/>
    <x v="44"/>
    <n v="2025"/>
    <x v="0"/>
    <n v="101757.37"/>
    <n v="83.1"/>
    <n v="278"/>
    <n v="176"/>
    <s v="Sedan"/>
    <n v="4"/>
    <x v="3"/>
    <x v="1"/>
    <n v="269645"/>
    <n v="3.59"/>
    <n v="5"/>
    <n v="27438366033.649998"/>
  </r>
  <r>
    <x v="0"/>
    <x v="47"/>
    <n v="2025"/>
    <x v="3"/>
    <n v="48846.720000000001"/>
    <n v="75.400000000000006"/>
    <n v="274"/>
    <n v="159"/>
    <s v="Coupe"/>
    <n v="5"/>
    <x v="0"/>
    <x v="2"/>
    <n v="21759"/>
    <n v="3.51"/>
    <n v="5"/>
    <n v="1062855780.48"/>
  </r>
  <r>
    <x v="2"/>
    <x v="17"/>
    <n v="2025"/>
    <x v="1"/>
    <n v="133323.67000000001"/>
    <n v="89.5"/>
    <n v="316"/>
    <n v="200"/>
    <s v="Hatchback"/>
    <n v="4"/>
    <x v="1"/>
    <x v="1"/>
    <n v="119703"/>
    <n v="4.0199999999999996"/>
    <n v="6"/>
    <n v="15959243270.010002"/>
  </r>
  <r>
    <x v="9"/>
    <x v="39"/>
    <n v="2025"/>
    <x v="3"/>
    <n v="61490.61"/>
    <n v="40.299999999999997"/>
    <n v="150"/>
    <n v="144"/>
    <s v="Coupe"/>
    <n v="4"/>
    <x v="3"/>
    <x v="2"/>
    <n v="75130"/>
    <n v="3.39"/>
    <n v="5"/>
    <n v="4619789529.3000002"/>
  </r>
  <r>
    <x v="9"/>
    <x v="39"/>
    <n v="2025"/>
    <x v="4"/>
    <n v="113220.74"/>
    <n v="50.2"/>
    <n v="167"/>
    <n v="146"/>
    <s v="Truck"/>
    <n v="3"/>
    <x v="3"/>
    <x v="1"/>
    <n v="36980"/>
    <n v="3.17"/>
    <n v="6"/>
    <n v="4186902965.2000003"/>
  </r>
  <r>
    <x v="2"/>
    <x v="35"/>
    <n v="2025"/>
    <x v="3"/>
    <n v="86049.94"/>
    <n v="67.900000000000006"/>
    <n v="210"/>
    <n v="146"/>
    <s v="Hatchback"/>
    <n v="5"/>
    <x v="1"/>
    <x v="0"/>
    <n v="244820"/>
    <n v="3.64"/>
    <n v="6"/>
    <n v="21066746310.799999"/>
  </r>
  <r>
    <x v="17"/>
    <x v="65"/>
    <n v="2025"/>
    <x v="2"/>
    <n v="87551.42"/>
    <n v="42.1"/>
    <n v="150"/>
    <n v="156"/>
    <s v="Truck"/>
    <n v="4"/>
    <x v="5"/>
    <x v="0"/>
    <n v="28712"/>
    <n v="3"/>
    <n v="3"/>
    <n v="2513776371.04"/>
  </r>
  <r>
    <x v="2"/>
    <x v="35"/>
    <n v="2025"/>
    <x v="3"/>
    <n v="108924.8"/>
    <n v="75"/>
    <n v="251"/>
    <n v="171"/>
    <s v="Hatchback"/>
    <n v="5"/>
    <x v="1"/>
    <x v="1"/>
    <n v="104109"/>
    <n v="3.74"/>
    <n v="6"/>
    <n v="11340052003.200001"/>
  </r>
  <r>
    <x v="2"/>
    <x v="17"/>
    <n v="2025"/>
    <x v="2"/>
    <n v="91015.05"/>
    <n v="61.8"/>
    <n v="227"/>
    <n v="141"/>
    <s v="SUV"/>
    <n v="5"/>
    <x v="1"/>
    <x v="0"/>
    <n v="229357"/>
    <n v="3.56"/>
    <n v="5"/>
    <n v="20874938822.850002"/>
  </r>
  <r>
    <x v="12"/>
    <x v="36"/>
    <n v="2025"/>
    <x v="1"/>
    <n v="44784.34"/>
    <n v="93.2"/>
    <n v="321"/>
    <n v="182"/>
    <s v="Hatchback"/>
    <n v="5"/>
    <x v="1"/>
    <x v="2"/>
    <n v="7434"/>
    <n v="3.72"/>
    <n v="4"/>
    <n v="332926783.56"/>
  </r>
  <r>
    <x v="2"/>
    <x v="17"/>
    <n v="2025"/>
    <x v="0"/>
    <n v="84994.49"/>
    <n v="96.6"/>
    <n v="315"/>
    <n v="161"/>
    <s v="Sedan"/>
    <n v="4"/>
    <x v="1"/>
    <x v="0"/>
    <n v="246722"/>
    <n v="3.99"/>
    <n v="5"/>
    <n v="20970010561.780003"/>
  </r>
  <r>
    <x v="9"/>
    <x v="55"/>
    <n v="2025"/>
    <x v="0"/>
    <n v="88308.2"/>
    <n v="95.5"/>
    <n v="308"/>
    <n v="174"/>
    <s v="Hatchback"/>
    <n v="4"/>
    <x v="3"/>
    <x v="0"/>
    <n v="31503"/>
    <n v="3.49"/>
    <n v="6"/>
    <n v="2781973224.5999999"/>
  </r>
  <r>
    <x v="7"/>
    <x v="44"/>
    <n v="2025"/>
    <x v="2"/>
    <n v="76426.720000000001"/>
    <n v="83.1"/>
    <n v="339"/>
    <n v="155"/>
    <s v="Van"/>
    <n v="4"/>
    <x v="3"/>
    <x v="0"/>
    <n v="248734"/>
    <n v="3.73"/>
    <n v="4"/>
    <n v="19009923772.48"/>
  </r>
  <r>
    <x v="13"/>
    <x v="57"/>
    <n v="2025"/>
    <x v="0"/>
    <n v="111628.51"/>
    <n v="84.7"/>
    <n v="274"/>
    <n v="166"/>
    <s v="SUV"/>
    <n v="4"/>
    <x v="3"/>
    <x v="1"/>
    <n v="76984"/>
    <n v="3.74"/>
    <n v="6"/>
    <n v="8593609213.8400002"/>
  </r>
  <r>
    <x v="8"/>
    <x v="12"/>
    <n v="2025"/>
    <x v="2"/>
    <n v="34802.06"/>
    <n v="47.6"/>
    <n v="150"/>
    <n v="146"/>
    <s v="Truck"/>
    <n v="4"/>
    <x v="1"/>
    <x v="3"/>
    <n v="51835"/>
    <n v="3.13"/>
    <n v="4"/>
    <n v="1803964780.0999999"/>
  </r>
  <r>
    <x v="6"/>
    <x v="50"/>
    <n v="2025"/>
    <x v="0"/>
    <n v="43459.69"/>
    <n v="83.7"/>
    <n v="302"/>
    <n v="192"/>
    <s v="Truck"/>
    <n v="5"/>
    <x v="4"/>
    <x v="2"/>
    <n v="114002"/>
    <n v="3.56"/>
    <n v="3"/>
    <n v="4954491579.3800001"/>
  </r>
  <r>
    <x v="19"/>
    <x v="74"/>
    <n v="2025"/>
    <x v="1"/>
    <n v="166388.92000000001"/>
    <n v="75.900000000000006"/>
    <n v="281"/>
    <n v="195"/>
    <s v="Van"/>
    <n v="5"/>
    <x v="1"/>
    <x v="1"/>
    <n v="27265"/>
    <n v="3.3"/>
    <n v="5"/>
    <n v="4536593903.8000002"/>
  </r>
  <r>
    <x v="2"/>
    <x v="2"/>
    <n v="2025"/>
    <x v="2"/>
    <n v="30387.16"/>
    <n v="46.7"/>
    <n v="183"/>
    <n v="130"/>
    <s v="Hatchback"/>
    <n v="5"/>
    <x v="1"/>
    <x v="3"/>
    <n v="225676"/>
    <n v="3.51"/>
    <n v="6"/>
    <n v="6857652720.1599998"/>
  </r>
  <r>
    <x v="6"/>
    <x v="20"/>
    <n v="2025"/>
    <x v="4"/>
    <n v="78178.94"/>
    <n v="79.400000000000006"/>
    <n v="290"/>
    <n v="169"/>
    <s v="SUV"/>
    <n v="5"/>
    <x v="4"/>
    <x v="0"/>
    <n v="93827"/>
    <n v="3.71"/>
    <n v="4"/>
    <n v="7335295403.3800001"/>
  </r>
  <r>
    <x v="7"/>
    <x v="44"/>
    <n v="2025"/>
    <x v="2"/>
    <n v="32608.87"/>
    <n v="54"/>
    <n v="178"/>
    <n v="169"/>
    <s v="Truck"/>
    <n v="3"/>
    <x v="3"/>
    <x v="3"/>
    <n v="223686"/>
    <n v="3.31"/>
    <n v="3"/>
    <n v="7294147694.8199997"/>
  </r>
  <r>
    <x v="4"/>
    <x v="4"/>
    <n v="2025"/>
    <x v="3"/>
    <n v="97077.65"/>
    <n v="52.8"/>
    <n v="197"/>
    <n v="132"/>
    <s v="Hatchback"/>
    <n v="5"/>
    <x v="3"/>
    <x v="0"/>
    <n v="69050"/>
    <n v="3.19"/>
    <n v="6"/>
    <n v="6703211732.5"/>
  </r>
  <r>
    <x v="0"/>
    <x v="47"/>
    <n v="2025"/>
    <x v="0"/>
    <n v="75339.45"/>
    <n v="86.8"/>
    <n v="325"/>
    <n v="184"/>
    <s v="Hatchback"/>
    <n v="5"/>
    <x v="0"/>
    <x v="0"/>
    <n v="12682"/>
    <n v="3.5"/>
    <n v="3"/>
    <n v="955454904.89999998"/>
  </r>
  <r>
    <x v="8"/>
    <x v="60"/>
    <n v="2025"/>
    <x v="1"/>
    <n v="72824.56"/>
    <n v="94.6"/>
    <n v="347"/>
    <n v="180"/>
    <s v="Van"/>
    <n v="3"/>
    <x v="1"/>
    <x v="0"/>
    <n v="45964"/>
    <n v="3.7"/>
    <n v="4"/>
    <n v="3347308075.8399997"/>
  </r>
  <r>
    <x v="3"/>
    <x v="6"/>
    <n v="2025"/>
    <x v="0"/>
    <n v="26097.55"/>
    <n v="99"/>
    <n v="367"/>
    <n v="176"/>
    <s v="Truck"/>
    <n v="5"/>
    <x v="2"/>
    <x v="3"/>
    <n v="233286"/>
    <n v="3.51"/>
    <n v="5"/>
    <n v="6088193049.3000002"/>
  </r>
  <r>
    <x v="4"/>
    <x v="61"/>
    <n v="2025"/>
    <x v="3"/>
    <n v="63113.08"/>
    <n v="44"/>
    <n v="150"/>
    <n v="146"/>
    <s v="Van"/>
    <n v="4"/>
    <x v="3"/>
    <x v="2"/>
    <n v="79880"/>
    <n v="3.21"/>
    <n v="7"/>
    <n v="5041472830.4000006"/>
  </r>
  <r>
    <x v="4"/>
    <x v="61"/>
    <n v="2025"/>
    <x v="4"/>
    <n v="154475.14000000001"/>
    <n v="69.7"/>
    <n v="246"/>
    <n v="161"/>
    <s v="Sedan"/>
    <n v="5"/>
    <x v="3"/>
    <x v="1"/>
    <n v="20728"/>
    <n v="3.43"/>
    <n v="5"/>
    <n v="3201960701.9200001"/>
  </r>
  <r>
    <x v="2"/>
    <x v="5"/>
    <n v="2025"/>
    <x v="1"/>
    <n v="51114.48"/>
    <n v="78.3"/>
    <n v="274"/>
    <n v="190"/>
    <s v="SUV"/>
    <n v="5"/>
    <x v="1"/>
    <x v="2"/>
    <n v="484952"/>
    <n v="4.03"/>
    <n v="6"/>
    <n v="24788069304.960003"/>
  </r>
  <r>
    <x v="2"/>
    <x v="17"/>
    <n v="2025"/>
    <x v="2"/>
    <n v="70038.710000000006"/>
    <n v="65.7"/>
    <n v="235"/>
    <n v="149"/>
    <s v="Sedan"/>
    <n v="5"/>
    <x v="1"/>
    <x v="0"/>
    <n v="164008"/>
    <n v="3.74"/>
    <n v="6"/>
    <n v="11486908749.68"/>
  </r>
  <r>
    <x v="3"/>
    <x v="14"/>
    <n v="2025"/>
    <x v="3"/>
    <n v="52251.33"/>
    <n v="63.4"/>
    <n v="238"/>
    <n v="161"/>
    <s v="Van"/>
    <n v="5"/>
    <x v="2"/>
    <x v="2"/>
    <n v="174435"/>
    <n v="3.19"/>
    <n v="3"/>
    <n v="9114460748.5500011"/>
  </r>
  <r>
    <x v="8"/>
    <x v="34"/>
    <n v="2025"/>
    <x v="2"/>
    <n v="67752.89"/>
    <n v="58.7"/>
    <n v="237"/>
    <n v="162"/>
    <s v="Truck"/>
    <n v="5"/>
    <x v="1"/>
    <x v="0"/>
    <n v="21665"/>
    <n v="3.61"/>
    <n v="5"/>
    <n v="1467866361.8499999"/>
  </r>
  <r>
    <x v="9"/>
    <x v="16"/>
    <n v="2025"/>
    <x v="2"/>
    <n v="48714.2"/>
    <n v="45.4"/>
    <n v="161"/>
    <n v="136"/>
    <s v="Van"/>
    <n v="4"/>
    <x v="3"/>
    <x v="2"/>
    <n v="75073"/>
    <n v="3.18"/>
    <n v="6"/>
    <n v="3657121136.5999999"/>
  </r>
  <r>
    <x v="2"/>
    <x v="5"/>
    <n v="2025"/>
    <x v="0"/>
    <n v="68461.67"/>
    <n v="80.8"/>
    <n v="305"/>
    <n v="183"/>
    <s v="Coupe"/>
    <n v="4"/>
    <x v="1"/>
    <x v="0"/>
    <n v="443244"/>
    <n v="3.91"/>
    <n v="4"/>
    <n v="30345224457.48"/>
  </r>
  <r>
    <x v="9"/>
    <x v="38"/>
    <n v="2025"/>
    <x v="3"/>
    <n v="66272.639999999999"/>
    <n v="70.2"/>
    <n v="263"/>
    <n v="144"/>
    <s v="Sedan"/>
    <n v="4"/>
    <x v="3"/>
    <x v="0"/>
    <n v="66889"/>
    <n v="3.62"/>
    <n v="6"/>
    <n v="4432910616.96"/>
  </r>
  <r>
    <x v="8"/>
    <x v="12"/>
    <n v="2025"/>
    <x v="3"/>
    <n v="68957.58"/>
    <n v="70.099999999999994"/>
    <n v="262"/>
    <n v="142"/>
    <s v="Truck"/>
    <n v="5"/>
    <x v="1"/>
    <x v="0"/>
    <n v="69276"/>
    <n v="3.36"/>
    <n v="5"/>
    <n v="4777105312.0799999"/>
  </r>
  <r>
    <x v="2"/>
    <x v="5"/>
    <n v="2025"/>
    <x v="2"/>
    <n v="114587.9"/>
    <n v="67.3"/>
    <n v="242"/>
    <n v="120"/>
    <s v="Coupe"/>
    <n v="3"/>
    <x v="1"/>
    <x v="1"/>
    <n v="458139"/>
    <n v="3.77"/>
    <n v="5"/>
    <n v="52497185918.099998"/>
  </r>
  <r>
    <x v="1"/>
    <x v="51"/>
    <n v="2025"/>
    <x v="4"/>
    <n v="54042"/>
    <n v="69.8"/>
    <n v="254"/>
    <n v="157"/>
    <s v="Truck"/>
    <n v="4"/>
    <x v="1"/>
    <x v="2"/>
    <n v="17793"/>
    <n v="3.42"/>
    <n v="5"/>
    <n v="961569306"/>
  </r>
  <r>
    <x v="3"/>
    <x v="6"/>
    <n v="2025"/>
    <x v="4"/>
    <n v="34873.269999999997"/>
    <n v="63.6"/>
    <n v="236"/>
    <n v="149"/>
    <s v="Coupe"/>
    <n v="4"/>
    <x v="2"/>
    <x v="3"/>
    <n v="145087"/>
    <n v="3.26"/>
    <n v="4"/>
    <n v="5059658124.4899998"/>
  </r>
  <r>
    <x v="8"/>
    <x v="34"/>
    <n v="2025"/>
    <x v="3"/>
    <n v="47275.39"/>
    <n v="64.900000000000006"/>
    <n v="242"/>
    <n v="166"/>
    <s v="Coupe"/>
    <n v="3"/>
    <x v="1"/>
    <x v="2"/>
    <n v="20597"/>
    <n v="3.51"/>
    <n v="5"/>
    <n v="973731207.83000004"/>
  </r>
  <r>
    <x v="7"/>
    <x v="44"/>
    <n v="2025"/>
    <x v="0"/>
    <n v="95115.92"/>
    <n v="83"/>
    <n v="275"/>
    <n v="170"/>
    <s v="Sedan"/>
    <n v="3"/>
    <x v="3"/>
    <x v="0"/>
    <n v="223250"/>
    <n v="3.54"/>
    <n v="4"/>
    <n v="21234629140"/>
  </r>
  <r>
    <x v="3"/>
    <x v="14"/>
    <n v="2025"/>
    <x v="4"/>
    <n v="33846.449999999997"/>
    <n v="52.4"/>
    <n v="171"/>
    <n v="138"/>
    <s v="Truck"/>
    <n v="5"/>
    <x v="2"/>
    <x v="3"/>
    <n v="220677"/>
    <n v="3.2"/>
    <n v="5"/>
    <n v="7469133046.6499996"/>
  </r>
  <r>
    <x v="2"/>
    <x v="31"/>
    <n v="2025"/>
    <x v="4"/>
    <n v="98891.22"/>
    <n v="78.900000000000006"/>
    <n v="301"/>
    <n v="143"/>
    <s v="Truck"/>
    <n v="4"/>
    <x v="1"/>
    <x v="0"/>
    <n v="113008"/>
    <n v="3.85"/>
    <n v="4"/>
    <n v="11175498989.76"/>
  </r>
  <r>
    <x v="2"/>
    <x v="17"/>
    <n v="2025"/>
    <x v="4"/>
    <n v="129475.2"/>
    <n v="46.6"/>
    <n v="150"/>
    <n v="144"/>
    <s v="SUV"/>
    <n v="4"/>
    <x v="1"/>
    <x v="1"/>
    <n v="225901"/>
    <n v="3.6"/>
    <n v="5"/>
    <n v="29248577155.200001"/>
  </r>
  <r>
    <x v="5"/>
    <x v="13"/>
    <n v="2025"/>
    <x v="4"/>
    <n v="80721.440000000002"/>
    <n v="72.900000000000006"/>
    <n v="256"/>
    <n v="144"/>
    <s v="Hatchback"/>
    <n v="3"/>
    <x v="4"/>
    <x v="0"/>
    <n v="130227"/>
    <n v="3.54"/>
    <n v="4"/>
    <n v="10512110966.880001"/>
  </r>
  <r>
    <x v="2"/>
    <x v="5"/>
    <n v="2025"/>
    <x v="0"/>
    <n v="113868.37"/>
    <n v="86.6"/>
    <n v="301"/>
    <n v="185"/>
    <s v="Sedan"/>
    <n v="4"/>
    <x v="1"/>
    <x v="1"/>
    <n v="455459"/>
    <n v="3.98"/>
    <n v="5"/>
    <n v="51862373931.829994"/>
  </r>
  <r>
    <x v="11"/>
    <x v="30"/>
    <n v="2025"/>
    <x v="2"/>
    <n v="78088.2"/>
    <n v="42.4"/>
    <n v="150"/>
    <n v="161"/>
    <s v="Hatchback"/>
    <n v="3"/>
    <x v="1"/>
    <x v="0"/>
    <n v="26875"/>
    <n v="3.25"/>
    <n v="5"/>
    <n v="2098620375"/>
  </r>
  <r>
    <x v="3"/>
    <x v="14"/>
    <n v="2025"/>
    <x v="1"/>
    <n v="101418.24000000001"/>
    <n v="74.3"/>
    <n v="239"/>
    <n v="200"/>
    <s v="Hatchback"/>
    <n v="3"/>
    <x v="2"/>
    <x v="1"/>
    <n v="115025"/>
    <n v="3.58"/>
    <n v="4"/>
    <n v="11665633056"/>
  </r>
  <r>
    <x v="7"/>
    <x v="27"/>
    <n v="2025"/>
    <x v="2"/>
    <n v="66620.77"/>
    <n v="53.1"/>
    <n v="196"/>
    <n v="132"/>
    <s v="Coupe"/>
    <n v="5"/>
    <x v="3"/>
    <x v="0"/>
    <n v="206717"/>
    <n v="3.56"/>
    <n v="4"/>
    <n v="13771645712.09"/>
  </r>
  <r>
    <x v="5"/>
    <x v="7"/>
    <n v="2025"/>
    <x v="1"/>
    <n v="110498.55"/>
    <n v="107.7"/>
    <n v="407"/>
    <n v="200"/>
    <s v="SUV"/>
    <n v="4"/>
    <x v="4"/>
    <x v="1"/>
    <n v="55383"/>
    <n v="3.92"/>
    <n v="4"/>
    <n v="6119741194.6500006"/>
  </r>
  <r>
    <x v="14"/>
    <x v="41"/>
    <n v="2025"/>
    <x v="4"/>
    <n v="104953.65"/>
    <n v="69"/>
    <n v="237"/>
    <n v="132"/>
    <s v="Sedan"/>
    <n v="5"/>
    <x v="2"/>
    <x v="1"/>
    <n v="26944"/>
    <n v="3.47"/>
    <n v="3"/>
    <n v="2827871145.5999999"/>
  </r>
  <r>
    <x v="2"/>
    <x v="2"/>
    <n v="2025"/>
    <x v="0"/>
    <n v="120338.19"/>
    <n v="101.1"/>
    <n v="324"/>
    <n v="178"/>
    <s v="Truck"/>
    <n v="4"/>
    <x v="1"/>
    <x v="1"/>
    <n v="236717"/>
    <n v="4.0599999999999996"/>
    <n v="5"/>
    <n v="28486095322.23"/>
  </r>
  <r>
    <x v="2"/>
    <x v="5"/>
    <n v="2025"/>
    <x v="0"/>
    <n v="147345.82"/>
    <n v="89.5"/>
    <n v="311"/>
    <n v="191"/>
    <s v="Van"/>
    <n v="5"/>
    <x v="1"/>
    <x v="1"/>
    <n v="458246"/>
    <n v="3.66"/>
    <n v="5"/>
    <n v="67520632631.720001"/>
  </r>
  <r>
    <x v="4"/>
    <x v="32"/>
    <n v="2025"/>
    <x v="2"/>
    <n v="69716.210000000006"/>
    <n v="72.8"/>
    <n v="250"/>
    <n v="145"/>
    <s v="SUV"/>
    <n v="5"/>
    <x v="3"/>
    <x v="0"/>
    <n v="21802"/>
    <n v="3.43"/>
    <n v="5"/>
    <n v="1519952810.4200001"/>
  </r>
  <r>
    <x v="9"/>
    <x v="19"/>
    <n v="2025"/>
    <x v="4"/>
    <n v="88626.17"/>
    <n v="42.7"/>
    <n v="150"/>
    <n v="129"/>
    <s v="Coupe"/>
    <n v="4"/>
    <x v="3"/>
    <x v="0"/>
    <n v="40644"/>
    <n v="3.5"/>
    <n v="7"/>
    <n v="3602122053.48"/>
  </r>
  <r>
    <x v="12"/>
    <x v="46"/>
    <n v="2025"/>
    <x v="0"/>
    <n v="58372.94"/>
    <n v="95.2"/>
    <n v="341"/>
    <n v="159"/>
    <s v="SUV"/>
    <n v="5"/>
    <x v="1"/>
    <x v="2"/>
    <n v="5246"/>
    <n v="3.78"/>
    <n v="5"/>
    <n v="306224443.24000001"/>
  </r>
  <r>
    <x v="6"/>
    <x v="9"/>
    <n v="2025"/>
    <x v="4"/>
    <n v="64470.9"/>
    <n v="46.6"/>
    <n v="166"/>
    <n v="172"/>
    <s v="Sedan"/>
    <n v="4"/>
    <x v="4"/>
    <x v="2"/>
    <n v="90740"/>
    <n v="3.34"/>
    <n v="4"/>
    <n v="5850089466"/>
  </r>
  <r>
    <x v="12"/>
    <x v="29"/>
    <n v="2025"/>
    <x v="4"/>
    <n v="70759.08"/>
    <n v="83.3"/>
    <n v="278"/>
    <n v="157"/>
    <s v="Coupe"/>
    <n v="4"/>
    <x v="1"/>
    <x v="0"/>
    <n v="11923"/>
    <n v="3.61"/>
    <n v="4"/>
    <n v="843660510.84000003"/>
  </r>
  <r>
    <x v="8"/>
    <x v="34"/>
    <n v="2025"/>
    <x v="3"/>
    <n v="57566.92"/>
    <n v="54.3"/>
    <n v="184"/>
    <n v="140"/>
    <s v="SUV"/>
    <n v="4"/>
    <x v="1"/>
    <x v="2"/>
    <n v="64630"/>
    <n v="3.23"/>
    <n v="5"/>
    <n v="3720550039.5999999"/>
  </r>
  <r>
    <x v="6"/>
    <x v="9"/>
    <n v="2025"/>
    <x v="3"/>
    <n v="37110.33"/>
    <n v="75.5"/>
    <n v="266"/>
    <n v="130"/>
    <s v="Hatchback"/>
    <n v="5"/>
    <x v="4"/>
    <x v="2"/>
    <n v="143597"/>
    <n v="3.54"/>
    <n v="4"/>
    <n v="5328932057.0100002"/>
  </r>
  <r>
    <x v="13"/>
    <x v="33"/>
    <n v="2025"/>
    <x v="1"/>
    <n v="103655.43"/>
    <n v="79.599999999999994"/>
    <n v="307"/>
    <n v="197"/>
    <s v="Van"/>
    <n v="4"/>
    <x v="3"/>
    <x v="1"/>
    <n v="54248"/>
    <n v="3.94"/>
    <n v="8"/>
    <n v="5623099766.6399994"/>
  </r>
  <r>
    <x v="5"/>
    <x v="13"/>
    <n v="2025"/>
    <x v="2"/>
    <n v="28245.98"/>
    <n v="68.8"/>
    <n v="222"/>
    <n v="171"/>
    <s v="Sedan"/>
    <n v="4"/>
    <x v="4"/>
    <x v="3"/>
    <n v="75515"/>
    <n v="3.26"/>
    <n v="4"/>
    <n v="2132995179.7"/>
  </r>
  <r>
    <x v="5"/>
    <x v="7"/>
    <n v="2025"/>
    <x v="2"/>
    <n v="55056.42"/>
    <n v="81"/>
    <n v="274"/>
    <n v="160"/>
    <s v="Coupe"/>
    <n v="4"/>
    <x v="4"/>
    <x v="2"/>
    <n v="118841"/>
    <n v="3.38"/>
    <n v="3"/>
    <n v="6542960009.2200003"/>
  </r>
  <r>
    <x v="9"/>
    <x v="38"/>
    <n v="2025"/>
    <x v="2"/>
    <n v="76098.899999999994"/>
    <n v="67.8"/>
    <n v="221"/>
    <n v="150"/>
    <s v="SUV"/>
    <n v="5"/>
    <x v="3"/>
    <x v="0"/>
    <n v="36766"/>
    <n v="3.35"/>
    <n v="8"/>
    <n v="2797852157.3999996"/>
  </r>
  <r>
    <x v="2"/>
    <x v="31"/>
    <n v="2025"/>
    <x v="2"/>
    <n v="55743.68"/>
    <n v="46.8"/>
    <n v="183"/>
    <n v="168"/>
    <s v="Truck"/>
    <n v="4"/>
    <x v="1"/>
    <x v="2"/>
    <n v="237895"/>
    <n v="3.33"/>
    <n v="5"/>
    <n v="13261142753.6"/>
  </r>
  <r>
    <x v="6"/>
    <x v="53"/>
    <n v="2025"/>
    <x v="1"/>
    <n v="72352.97"/>
    <n v="86.6"/>
    <n v="289"/>
    <n v="200"/>
    <s v="Van"/>
    <n v="3"/>
    <x v="4"/>
    <x v="0"/>
    <n v="107166"/>
    <n v="3.51"/>
    <n v="4"/>
    <n v="7753778383.0200005"/>
  </r>
  <r>
    <x v="3"/>
    <x v="8"/>
    <n v="2025"/>
    <x v="2"/>
    <n v="64952.61"/>
    <n v="79.2"/>
    <n v="299"/>
    <n v="144"/>
    <s v="Coupe"/>
    <n v="5"/>
    <x v="2"/>
    <x v="2"/>
    <n v="246706"/>
    <n v="3.79"/>
    <n v="4"/>
    <n v="16024198602.66"/>
  </r>
  <r>
    <x v="2"/>
    <x v="17"/>
    <n v="2025"/>
    <x v="4"/>
    <n v="109716.37"/>
    <n v="72.900000000000006"/>
    <n v="254"/>
    <n v="140"/>
    <s v="Truck"/>
    <n v="5"/>
    <x v="1"/>
    <x v="1"/>
    <n v="176733"/>
    <n v="3.77"/>
    <n v="4"/>
    <n v="19390503219.209999"/>
  </r>
  <r>
    <x v="3"/>
    <x v="37"/>
    <n v="2025"/>
    <x v="0"/>
    <n v="51480.21"/>
    <n v="84.7"/>
    <n v="320"/>
    <n v="158"/>
    <s v="Hatchback"/>
    <n v="5"/>
    <x v="2"/>
    <x v="2"/>
    <n v="132415"/>
    <n v="3.44"/>
    <n v="5"/>
    <n v="6816752007.1499996"/>
  </r>
  <r>
    <x v="7"/>
    <x v="27"/>
    <n v="2025"/>
    <x v="3"/>
    <n v="53934.12"/>
    <n v="54.5"/>
    <n v="187"/>
    <n v="143"/>
    <s v="Sedan"/>
    <n v="5"/>
    <x v="3"/>
    <x v="2"/>
    <n v="220093"/>
    <n v="3.36"/>
    <n v="3"/>
    <n v="11870522273.16"/>
  </r>
  <r>
    <x v="2"/>
    <x v="31"/>
    <n v="2025"/>
    <x v="4"/>
    <n v="113505.79"/>
    <n v="80.7"/>
    <n v="286"/>
    <n v="155"/>
    <s v="Truck"/>
    <n v="4"/>
    <x v="1"/>
    <x v="1"/>
    <n v="162101"/>
    <n v="3.9"/>
    <n v="5"/>
    <n v="18399402064.789997"/>
  </r>
  <r>
    <x v="2"/>
    <x v="31"/>
    <n v="2025"/>
    <x v="0"/>
    <n v="118632.47"/>
    <n v="86.9"/>
    <n v="300"/>
    <n v="168"/>
    <s v="Truck"/>
    <n v="5"/>
    <x v="1"/>
    <x v="1"/>
    <n v="209669"/>
    <n v="3.98"/>
    <n v="5"/>
    <n v="24873551352.43"/>
  </r>
  <r>
    <x v="2"/>
    <x v="2"/>
    <n v="2025"/>
    <x v="2"/>
    <n v="66113.759999999995"/>
    <n v="42.6"/>
    <n v="168"/>
    <n v="137"/>
    <s v="Sedan"/>
    <n v="4"/>
    <x v="1"/>
    <x v="0"/>
    <n v="185813"/>
    <n v="3.27"/>
    <n v="5"/>
    <n v="12284796086.879999"/>
  </r>
  <r>
    <x v="2"/>
    <x v="2"/>
    <n v="2025"/>
    <x v="1"/>
    <n v="169177.37"/>
    <n v="89.9"/>
    <n v="303"/>
    <n v="200"/>
    <s v="SUV"/>
    <n v="4"/>
    <x v="1"/>
    <x v="1"/>
    <n v="130032"/>
    <n v="3.68"/>
    <n v="6"/>
    <n v="21998471775.84"/>
  </r>
  <r>
    <x v="3"/>
    <x v="6"/>
    <n v="2025"/>
    <x v="2"/>
    <n v="39603.870000000003"/>
    <n v="75.099999999999994"/>
    <n v="266"/>
    <n v="158"/>
    <s v="Van"/>
    <n v="5"/>
    <x v="2"/>
    <x v="2"/>
    <n v="195375"/>
    <n v="3.46"/>
    <n v="4"/>
    <n v="7737606101.250001"/>
  </r>
  <r>
    <x v="2"/>
    <x v="17"/>
    <n v="2025"/>
    <x v="3"/>
    <n v="27829.58"/>
    <n v="72.900000000000006"/>
    <n v="249"/>
    <n v="177"/>
    <s v="Van"/>
    <n v="4"/>
    <x v="1"/>
    <x v="3"/>
    <n v="110913"/>
    <n v="3.78"/>
    <n v="6"/>
    <n v="3086662206.54"/>
  </r>
  <r>
    <x v="9"/>
    <x v="39"/>
    <n v="2025"/>
    <x v="3"/>
    <n v="104401.84"/>
    <n v="73.3"/>
    <n v="250"/>
    <n v="178"/>
    <s v="Coupe"/>
    <n v="5"/>
    <x v="3"/>
    <x v="1"/>
    <n v="64517"/>
    <n v="3.56"/>
    <n v="5"/>
    <n v="6735693511.2799997"/>
  </r>
  <r>
    <x v="8"/>
    <x v="12"/>
    <n v="2025"/>
    <x v="1"/>
    <n v="55789.82"/>
    <n v="103.1"/>
    <n v="355"/>
    <n v="200"/>
    <s v="Truck"/>
    <n v="3"/>
    <x v="1"/>
    <x v="2"/>
    <n v="58686"/>
    <n v="4"/>
    <n v="4"/>
    <n v="3274081376.52"/>
  </r>
  <r>
    <x v="5"/>
    <x v="13"/>
    <n v="2025"/>
    <x v="2"/>
    <n v="48934.98"/>
    <n v="67"/>
    <n v="228"/>
    <n v="154"/>
    <s v="Coupe"/>
    <n v="5"/>
    <x v="4"/>
    <x v="2"/>
    <n v="106640"/>
    <n v="3.38"/>
    <n v="4"/>
    <n v="5218426267.2000008"/>
  </r>
  <r>
    <x v="5"/>
    <x v="15"/>
    <n v="2025"/>
    <x v="4"/>
    <n v="89200.56"/>
    <n v="62.2"/>
    <n v="211"/>
    <n v="149"/>
    <s v="SUV"/>
    <n v="4"/>
    <x v="4"/>
    <x v="0"/>
    <n v="55676"/>
    <n v="3"/>
    <n v="5"/>
    <n v="4966330378.5599995"/>
  </r>
  <r>
    <x v="9"/>
    <x v="38"/>
    <n v="2025"/>
    <x v="0"/>
    <n v="133417.07"/>
    <n v="99.6"/>
    <n v="348"/>
    <n v="178"/>
    <s v="Van"/>
    <n v="4"/>
    <x v="3"/>
    <x v="1"/>
    <n v="53580"/>
    <n v="3.85"/>
    <n v="8"/>
    <n v="7148486610.6000004"/>
  </r>
  <r>
    <x v="8"/>
    <x v="34"/>
    <n v="2025"/>
    <x v="1"/>
    <n v="63490.76"/>
    <n v="108"/>
    <n v="370"/>
    <n v="196"/>
    <s v="Sedan"/>
    <n v="4"/>
    <x v="1"/>
    <x v="2"/>
    <n v="37708"/>
    <n v="3.81"/>
    <n v="4"/>
    <n v="2394109578.0799999"/>
  </r>
  <r>
    <x v="3"/>
    <x v="37"/>
    <n v="2025"/>
    <x v="4"/>
    <n v="109495.59"/>
    <n v="62.3"/>
    <n v="209"/>
    <n v="147"/>
    <s v="Hatchback"/>
    <n v="4"/>
    <x v="2"/>
    <x v="1"/>
    <n v="180168"/>
    <n v="3.53"/>
    <n v="4"/>
    <n v="19727601459.119999"/>
  </r>
  <r>
    <x v="12"/>
    <x v="29"/>
    <n v="2025"/>
    <x v="2"/>
    <n v="62818"/>
    <n v="73.599999999999994"/>
    <n v="282"/>
    <n v="140"/>
    <s v="Hatchback"/>
    <n v="5"/>
    <x v="1"/>
    <x v="2"/>
    <n v="4921"/>
    <n v="3.66"/>
    <n v="4"/>
    <n v="309127378"/>
  </r>
  <r>
    <x v="7"/>
    <x v="27"/>
    <n v="2025"/>
    <x v="1"/>
    <n v="46781.599999999999"/>
    <n v="118.1"/>
    <n v="405"/>
    <n v="200"/>
    <s v="Truck"/>
    <n v="5"/>
    <x v="3"/>
    <x v="2"/>
    <n v="268903"/>
    <n v="3.86"/>
    <n v="5"/>
    <n v="12579712584.799999"/>
  </r>
  <r>
    <x v="5"/>
    <x v="23"/>
    <n v="2025"/>
    <x v="1"/>
    <n v="117355.84"/>
    <n v="92.1"/>
    <n v="333"/>
    <n v="191"/>
    <s v="Coupe"/>
    <n v="4"/>
    <x v="4"/>
    <x v="1"/>
    <n v="136386"/>
    <n v="3.73"/>
    <n v="4"/>
    <n v="16005693594.24"/>
  </r>
  <r>
    <x v="16"/>
    <x v="49"/>
    <n v="2025"/>
    <x v="2"/>
    <n v="55836.28"/>
    <n v="53.9"/>
    <n v="182"/>
    <n v="137"/>
    <s v="SUV"/>
    <n v="4"/>
    <x v="2"/>
    <x v="2"/>
    <n v="22178"/>
    <n v="3.55"/>
    <n v="5"/>
    <n v="1238337017.8399999"/>
  </r>
  <r>
    <x v="11"/>
    <x v="25"/>
    <n v="2025"/>
    <x v="0"/>
    <n v="102186.85"/>
    <n v="81"/>
    <n v="292"/>
    <n v="180"/>
    <s v="Hatchback"/>
    <n v="5"/>
    <x v="1"/>
    <x v="1"/>
    <n v="2112"/>
    <n v="3.37"/>
    <n v="4"/>
    <n v="215818627.20000002"/>
  </r>
  <r>
    <x v="9"/>
    <x v="55"/>
    <n v="2025"/>
    <x v="0"/>
    <n v="101731.56"/>
    <n v="98.6"/>
    <n v="360"/>
    <n v="183"/>
    <s v="Truck"/>
    <n v="4"/>
    <x v="3"/>
    <x v="1"/>
    <n v="41594"/>
    <n v="3.71"/>
    <n v="7"/>
    <n v="4231422506.6399999"/>
  </r>
  <r>
    <x v="8"/>
    <x v="12"/>
    <n v="2025"/>
    <x v="4"/>
    <n v="53246.45"/>
    <n v="42.9"/>
    <n v="171"/>
    <n v="137"/>
    <s v="Truck"/>
    <n v="4"/>
    <x v="1"/>
    <x v="2"/>
    <n v="30016"/>
    <n v="3.29"/>
    <n v="3"/>
    <n v="1598245443.1999998"/>
  </r>
  <r>
    <x v="2"/>
    <x v="2"/>
    <n v="2025"/>
    <x v="4"/>
    <n v="176582.51"/>
    <n v="50.4"/>
    <n v="188"/>
    <n v="153"/>
    <s v="SUV"/>
    <n v="4"/>
    <x v="1"/>
    <x v="1"/>
    <n v="199834"/>
    <n v="3.74"/>
    <n v="4"/>
    <n v="35287189303.340004"/>
  </r>
  <r>
    <x v="7"/>
    <x v="10"/>
    <n v="2025"/>
    <x v="1"/>
    <n v="86735.2"/>
    <n v="77.5"/>
    <n v="296"/>
    <n v="188"/>
    <s v="Van"/>
    <n v="5"/>
    <x v="3"/>
    <x v="0"/>
    <n v="261533"/>
    <n v="3.15"/>
    <n v="3"/>
    <n v="22684117061.599998"/>
  </r>
  <r>
    <x v="2"/>
    <x v="31"/>
    <n v="2025"/>
    <x v="2"/>
    <n v="98106.32"/>
    <n v="49.7"/>
    <n v="172"/>
    <n v="143"/>
    <s v="Truck"/>
    <n v="4"/>
    <x v="1"/>
    <x v="0"/>
    <n v="221459"/>
    <n v="3.6"/>
    <n v="5"/>
    <n v="21726527520.880001"/>
  </r>
  <r>
    <x v="13"/>
    <x v="48"/>
    <n v="2025"/>
    <x v="4"/>
    <n v="92407.64"/>
    <n v="58"/>
    <n v="199"/>
    <n v="167"/>
    <s v="Sedan"/>
    <n v="4"/>
    <x v="3"/>
    <x v="0"/>
    <n v="22464"/>
    <n v="3.52"/>
    <n v="5"/>
    <n v="2075845224.96"/>
  </r>
  <r>
    <x v="6"/>
    <x v="50"/>
    <n v="2025"/>
    <x v="0"/>
    <n v="92989.48"/>
    <n v="91"/>
    <n v="315"/>
    <n v="166"/>
    <s v="SUV"/>
    <n v="5"/>
    <x v="4"/>
    <x v="0"/>
    <n v="132728"/>
    <n v="3.62"/>
    <n v="4"/>
    <n v="12342307701.439999"/>
  </r>
  <r>
    <x v="13"/>
    <x v="57"/>
    <n v="2025"/>
    <x v="0"/>
    <n v="102050.83"/>
    <n v="92.4"/>
    <n v="312"/>
    <n v="178"/>
    <s v="Coupe"/>
    <n v="5"/>
    <x v="3"/>
    <x v="1"/>
    <n v="26785"/>
    <n v="3.93"/>
    <n v="7"/>
    <n v="2733431481.5500002"/>
  </r>
  <r>
    <x v="8"/>
    <x v="60"/>
    <n v="2025"/>
    <x v="0"/>
    <n v="62237.09"/>
    <n v="86.7"/>
    <n v="299"/>
    <n v="166"/>
    <s v="Sedan"/>
    <n v="5"/>
    <x v="1"/>
    <x v="2"/>
    <n v="34572"/>
    <n v="3.49"/>
    <n v="4"/>
    <n v="2151660675.48"/>
  </r>
  <r>
    <x v="2"/>
    <x v="31"/>
    <n v="2025"/>
    <x v="0"/>
    <n v="45726.22"/>
    <n v="92.1"/>
    <n v="327"/>
    <n v="161"/>
    <s v="Truck"/>
    <n v="5"/>
    <x v="1"/>
    <x v="2"/>
    <n v="240212"/>
    <n v="3.99"/>
    <n v="5"/>
    <n v="10983986758.639999"/>
  </r>
  <r>
    <x v="2"/>
    <x v="5"/>
    <n v="2025"/>
    <x v="0"/>
    <n v="107944.96000000001"/>
    <n v="81"/>
    <n v="289"/>
    <n v="162"/>
    <s v="Hatchback"/>
    <n v="4"/>
    <x v="1"/>
    <x v="1"/>
    <n v="410789"/>
    <n v="3.91"/>
    <n v="5"/>
    <n v="44342602173.440002"/>
  </r>
  <r>
    <x v="8"/>
    <x v="21"/>
    <n v="2025"/>
    <x v="2"/>
    <n v="61660.35"/>
    <n v="67.900000000000006"/>
    <n v="221"/>
    <n v="167"/>
    <s v="Coupe"/>
    <n v="4"/>
    <x v="1"/>
    <x v="2"/>
    <n v="27087"/>
    <n v="3.6"/>
    <n v="5"/>
    <n v="1670193900.45"/>
  </r>
  <r>
    <x v="2"/>
    <x v="17"/>
    <n v="2025"/>
    <x v="3"/>
    <n v="72436.36"/>
    <n v="83"/>
    <n v="289"/>
    <n v="147"/>
    <s v="Van"/>
    <n v="3"/>
    <x v="1"/>
    <x v="0"/>
    <n v="139369"/>
    <n v="3.74"/>
    <n v="5"/>
    <n v="10095383056.84"/>
  </r>
  <r>
    <x v="5"/>
    <x v="22"/>
    <n v="2025"/>
    <x v="0"/>
    <n v="49012.19"/>
    <n v="102.8"/>
    <n v="368"/>
    <n v="185"/>
    <s v="SUV"/>
    <n v="5"/>
    <x v="4"/>
    <x v="2"/>
    <n v="114969"/>
    <n v="3.93"/>
    <n v="4"/>
    <n v="5634882472.1100006"/>
  </r>
  <r>
    <x v="2"/>
    <x v="17"/>
    <n v="2025"/>
    <x v="0"/>
    <n v="49281.26"/>
    <n v="90.6"/>
    <n v="325"/>
    <n v="167"/>
    <s v="Truck"/>
    <n v="3"/>
    <x v="1"/>
    <x v="2"/>
    <n v="224804"/>
    <n v="4.0999999999999996"/>
    <n v="6"/>
    <n v="11078624373.040001"/>
  </r>
  <r>
    <x v="3"/>
    <x v="14"/>
    <n v="2025"/>
    <x v="4"/>
    <n v="47547.88"/>
    <n v="67.400000000000006"/>
    <n v="246"/>
    <n v="156"/>
    <s v="Coupe"/>
    <n v="4"/>
    <x v="2"/>
    <x v="2"/>
    <n v="214113"/>
    <n v="3.41"/>
    <n v="4"/>
    <n v="10180619230.439999"/>
  </r>
  <r>
    <x v="2"/>
    <x v="2"/>
    <n v="2026"/>
    <x v="0"/>
    <n v="134165.81"/>
    <n v="103.2"/>
    <n v="347"/>
    <n v="187"/>
    <s v="Sedan"/>
    <n v="4"/>
    <x v="1"/>
    <x v="1"/>
    <n v="211478"/>
    <n v="3.78"/>
    <n v="4"/>
    <n v="28373117167.18"/>
  </r>
  <r>
    <x v="7"/>
    <x v="10"/>
    <n v="2026"/>
    <x v="3"/>
    <n v="59824.88"/>
    <n v="70.900000000000006"/>
    <n v="263"/>
    <n v="167"/>
    <s v="Sedan"/>
    <n v="3"/>
    <x v="3"/>
    <x v="2"/>
    <n v="293709"/>
    <n v="3.28"/>
    <n v="5"/>
    <n v="17571105679.919998"/>
  </r>
  <r>
    <x v="1"/>
    <x v="1"/>
    <n v="2026"/>
    <x v="2"/>
    <n v="50395.94"/>
    <n v="63.9"/>
    <n v="243"/>
    <n v="147"/>
    <s v="Sedan"/>
    <n v="5"/>
    <x v="1"/>
    <x v="2"/>
    <n v="11950"/>
    <n v="3.48"/>
    <n v="4"/>
    <n v="602231483"/>
  </r>
  <r>
    <x v="8"/>
    <x v="12"/>
    <n v="2026"/>
    <x v="2"/>
    <n v="52266.720000000001"/>
    <n v="73.400000000000006"/>
    <n v="268"/>
    <n v="137"/>
    <s v="Truck"/>
    <n v="5"/>
    <x v="1"/>
    <x v="2"/>
    <n v="62843"/>
    <n v="3.72"/>
    <n v="3"/>
    <n v="3284597484.96"/>
  </r>
  <r>
    <x v="3"/>
    <x v="3"/>
    <n v="2026"/>
    <x v="1"/>
    <n v="101561.3"/>
    <n v="101.6"/>
    <n v="329"/>
    <n v="200"/>
    <s v="Truck"/>
    <n v="3"/>
    <x v="2"/>
    <x v="1"/>
    <n v="216998"/>
    <n v="3.69"/>
    <n v="3"/>
    <n v="22038598977.400002"/>
  </r>
  <r>
    <x v="12"/>
    <x v="36"/>
    <n v="2026"/>
    <x v="2"/>
    <n v="63696.78"/>
    <n v="78"/>
    <n v="262"/>
    <n v="136"/>
    <s v="Truck"/>
    <n v="5"/>
    <x v="1"/>
    <x v="2"/>
    <n v="8032"/>
    <n v="3.56"/>
    <n v="3"/>
    <n v="511612536.95999998"/>
  </r>
  <r>
    <x v="12"/>
    <x v="36"/>
    <n v="2026"/>
    <x v="3"/>
    <n v="71136.28"/>
    <n v="49.6"/>
    <n v="171"/>
    <n v="142"/>
    <s v="Hatchback"/>
    <n v="5"/>
    <x v="1"/>
    <x v="0"/>
    <n v="27175"/>
    <n v="3.31"/>
    <n v="4"/>
    <n v="1933128409"/>
  </r>
  <r>
    <x v="2"/>
    <x v="17"/>
    <n v="2026"/>
    <x v="2"/>
    <n v="36489.360000000001"/>
    <n v="45.5"/>
    <n v="150"/>
    <n v="131"/>
    <s v="Van"/>
    <n v="3"/>
    <x v="1"/>
    <x v="2"/>
    <n v="214895"/>
    <n v="3.58"/>
    <n v="5"/>
    <n v="7841381017.1999998"/>
  </r>
  <r>
    <x v="2"/>
    <x v="5"/>
    <n v="2026"/>
    <x v="3"/>
    <n v="96644.91"/>
    <n v="76.400000000000006"/>
    <n v="244"/>
    <n v="164"/>
    <s v="Sedan"/>
    <n v="5"/>
    <x v="1"/>
    <x v="0"/>
    <n v="408778"/>
    <n v="4.03"/>
    <n v="4"/>
    <n v="39506313019.980003"/>
  </r>
  <r>
    <x v="13"/>
    <x v="48"/>
    <n v="2026"/>
    <x v="3"/>
    <n v="68994.81"/>
    <n v="48.5"/>
    <n v="168"/>
    <n v="157"/>
    <s v="Van"/>
    <n v="5"/>
    <x v="3"/>
    <x v="0"/>
    <n v="79213"/>
    <n v="3.77"/>
    <n v="7"/>
    <n v="5465285884.5299997"/>
  </r>
  <r>
    <x v="8"/>
    <x v="12"/>
    <n v="2026"/>
    <x v="3"/>
    <n v="51712.72"/>
    <n v="44.2"/>
    <n v="150"/>
    <n v="160"/>
    <s v="Truck"/>
    <n v="4"/>
    <x v="1"/>
    <x v="2"/>
    <n v="26384"/>
    <n v="3.09"/>
    <n v="5"/>
    <n v="1364388404.48"/>
  </r>
  <r>
    <x v="4"/>
    <x v="32"/>
    <n v="2026"/>
    <x v="1"/>
    <n v="126813.57"/>
    <n v="114.9"/>
    <n v="393"/>
    <n v="190"/>
    <s v="Sedan"/>
    <n v="5"/>
    <x v="3"/>
    <x v="1"/>
    <n v="35466"/>
    <n v="3.84"/>
    <n v="7"/>
    <n v="4497570073.6199999"/>
  </r>
  <r>
    <x v="3"/>
    <x v="6"/>
    <n v="2026"/>
    <x v="4"/>
    <n v="102365.27"/>
    <n v="40.6"/>
    <n v="150"/>
    <n v="182"/>
    <s v="Sedan"/>
    <n v="4"/>
    <x v="2"/>
    <x v="1"/>
    <n v="112568"/>
    <n v="3.22"/>
    <n v="4"/>
    <n v="11523053713.360001"/>
  </r>
  <r>
    <x v="8"/>
    <x v="21"/>
    <n v="2026"/>
    <x v="1"/>
    <n v="52666.03"/>
    <n v="83.7"/>
    <n v="310"/>
    <n v="197"/>
    <s v="SUV"/>
    <n v="5"/>
    <x v="1"/>
    <x v="2"/>
    <n v="76169"/>
    <n v="3.67"/>
    <n v="4"/>
    <n v="4011518839.0699997"/>
  </r>
  <r>
    <x v="12"/>
    <x v="36"/>
    <n v="2026"/>
    <x v="0"/>
    <n v="70455.09"/>
    <n v="97.8"/>
    <n v="367"/>
    <n v="173"/>
    <s v="Truck"/>
    <n v="4"/>
    <x v="1"/>
    <x v="0"/>
    <n v="1598"/>
    <n v="3.6"/>
    <n v="5"/>
    <n v="112587233.81999999"/>
  </r>
  <r>
    <x v="2"/>
    <x v="31"/>
    <n v="2026"/>
    <x v="2"/>
    <n v="50614.31"/>
    <n v="85"/>
    <n v="304"/>
    <n v="152"/>
    <s v="Truck"/>
    <n v="5"/>
    <x v="1"/>
    <x v="2"/>
    <n v="175527"/>
    <n v="4.0199999999999996"/>
    <n v="4"/>
    <n v="8884177991.3699989"/>
  </r>
  <r>
    <x v="4"/>
    <x v="61"/>
    <n v="2026"/>
    <x v="0"/>
    <n v="94110.46"/>
    <n v="90.4"/>
    <n v="323"/>
    <n v="188"/>
    <s v="Sedan"/>
    <n v="4"/>
    <x v="3"/>
    <x v="0"/>
    <n v="38660"/>
    <n v="3.57"/>
    <n v="8"/>
    <n v="3638310383.6000004"/>
  </r>
  <r>
    <x v="12"/>
    <x v="29"/>
    <n v="2026"/>
    <x v="1"/>
    <n v="65284.93"/>
    <n v="116.3"/>
    <n v="439"/>
    <n v="186"/>
    <s v="Coupe"/>
    <n v="4"/>
    <x v="1"/>
    <x v="0"/>
    <n v="25704"/>
    <n v="4.1900000000000004"/>
    <n v="4"/>
    <n v="1678083840.72"/>
  </r>
  <r>
    <x v="9"/>
    <x v="55"/>
    <n v="2026"/>
    <x v="1"/>
    <n v="133852.24"/>
    <n v="84.9"/>
    <n v="318"/>
    <n v="200"/>
    <s v="Truck"/>
    <n v="4"/>
    <x v="3"/>
    <x v="1"/>
    <n v="50521"/>
    <n v="3.46"/>
    <n v="7"/>
    <n v="6762349017.04"/>
  </r>
  <r>
    <x v="2"/>
    <x v="5"/>
    <n v="2026"/>
    <x v="3"/>
    <n v="78088.259999999995"/>
    <n v="70.2"/>
    <n v="245"/>
    <n v="130"/>
    <s v="Sedan"/>
    <n v="5"/>
    <x v="1"/>
    <x v="0"/>
    <n v="489120"/>
    <n v="3.77"/>
    <n v="5"/>
    <n v="38194529731.199997"/>
  </r>
  <r>
    <x v="2"/>
    <x v="17"/>
    <n v="2026"/>
    <x v="2"/>
    <n v="80808.44"/>
    <n v="42.4"/>
    <n v="154"/>
    <n v="147"/>
    <s v="Coupe"/>
    <n v="5"/>
    <x v="1"/>
    <x v="0"/>
    <n v="234368"/>
    <n v="3.52"/>
    <n v="5"/>
    <n v="18938912465.920002"/>
  </r>
  <r>
    <x v="7"/>
    <x v="28"/>
    <n v="2026"/>
    <x v="3"/>
    <n v="43538.73"/>
    <n v="62.3"/>
    <n v="231"/>
    <n v="165"/>
    <s v="Van"/>
    <n v="4"/>
    <x v="3"/>
    <x v="2"/>
    <n v="228329"/>
    <n v="3.2"/>
    <n v="3"/>
    <n v="9941154682.1700001"/>
  </r>
  <r>
    <x v="19"/>
    <x v="71"/>
    <n v="2026"/>
    <x v="3"/>
    <n v="199365.9"/>
    <n v="57.8"/>
    <n v="235"/>
    <n v="138"/>
    <s v="Coupe"/>
    <n v="4"/>
    <x v="1"/>
    <x v="1"/>
    <n v="26890"/>
    <n v="3.19"/>
    <n v="5"/>
    <n v="5360949051"/>
  </r>
  <r>
    <x v="5"/>
    <x v="7"/>
    <n v="2026"/>
    <x v="4"/>
    <n v="98299.99"/>
    <n v="73.400000000000006"/>
    <n v="245"/>
    <n v="165"/>
    <s v="Coupe"/>
    <n v="5"/>
    <x v="4"/>
    <x v="0"/>
    <n v="126328"/>
    <n v="3.5"/>
    <n v="4"/>
    <n v="12418041136.720001"/>
  </r>
  <r>
    <x v="13"/>
    <x v="33"/>
    <n v="2026"/>
    <x v="2"/>
    <n v="59152.02"/>
    <n v="43.6"/>
    <n v="162"/>
    <n v="170"/>
    <s v="SUV"/>
    <n v="4"/>
    <x v="3"/>
    <x v="2"/>
    <n v="57795"/>
    <n v="3.37"/>
    <n v="5"/>
    <n v="3418690995.8999996"/>
  </r>
  <r>
    <x v="12"/>
    <x v="46"/>
    <n v="2026"/>
    <x v="1"/>
    <n v="42539.360000000001"/>
    <n v="109.6"/>
    <n v="371"/>
    <n v="200"/>
    <s v="SUV"/>
    <n v="5"/>
    <x v="1"/>
    <x v="2"/>
    <n v="18263"/>
    <n v="3.65"/>
    <n v="4"/>
    <n v="776896331.68000007"/>
  </r>
  <r>
    <x v="6"/>
    <x v="9"/>
    <n v="2026"/>
    <x v="4"/>
    <n v="86930.64"/>
    <n v="49.4"/>
    <n v="177"/>
    <n v="171"/>
    <s v="Sedan"/>
    <n v="4"/>
    <x v="4"/>
    <x v="0"/>
    <n v="147601"/>
    <n v="3.5"/>
    <n v="4"/>
    <n v="12831049394.639999"/>
  </r>
  <r>
    <x v="7"/>
    <x v="28"/>
    <n v="2026"/>
    <x v="3"/>
    <n v="39803.56"/>
    <n v="46.8"/>
    <n v="168"/>
    <n v="156"/>
    <s v="Truck"/>
    <n v="3"/>
    <x v="3"/>
    <x v="2"/>
    <n v="248701"/>
    <n v="3.08"/>
    <n v="5"/>
    <n v="9899185175.5599995"/>
  </r>
  <r>
    <x v="7"/>
    <x v="24"/>
    <n v="2026"/>
    <x v="3"/>
    <n v="86543.35"/>
    <n v="56.3"/>
    <n v="193"/>
    <n v="152"/>
    <s v="Hatchback"/>
    <n v="4"/>
    <x v="3"/>
    <x v="0"/>
    <n v="282690"/>
    <n v="3.24"/>
    <n v="3"/>
    <n v="24464939611.5"/>
  </r>
  <r>
    <x v="9"/>
    <x v="55"/>
    <n v="2026"/>
    <x v="3"/>
    <n v="72989.13"/>
    <n v="82"/>
    <n v="298"/>
    <n v="146"/>
    <s v="Hatchback"/>
    <n v="5"/>
    <x v="3"/>
    <x v="0"/>
    <n v="49770"/>
    <n v="3.42"/>
    <n v="8"/>
    <n v="3632669000.1000004"/>
  </r>
  <r>
    <x v="2"/>
    <x v="35"/>
    <n v="2026"/>
    <x v="0"/>
    <n v="142726.14000000001"/>
    <n v="94.6"/>
    <n v="318"/>
    <n v="176"/>
    <s v="Coupe"/>
    <n v="4"/>
    <x v="1"/>
    <x v="1"/>
    <n v="176985"/>
    <n v="4.2300000000000004"/>
    <n v="5"/>
    <n v="25260385887.900002"/>
  </r>
  <r>
    <x v="5"/>
    <x v="22"/>
    <n v="2026"/>
    <x v="2"/>
    <n v="62907.99"/>
    <n v="56"/>
    <n v="184"/>
    <n v="142"/>
    <s v="SUV"/>
    <n v="5"/>
    <x v="4"/>
    <x v="2"/>
    <n v="93165"/>
    <n v="3.26"/>
    <n v="3"/>
    <n v="5860822888.3499994"/>
  </r>
  <r>
    <x v="2"/>
    <x v="17"/>
    <n v="2026"/>
    <x v="0"/>
    <n v="153057.04"/>
    <n v="85.2"/>
    <n v="285"/>
    <n v="186"/>
    <s v="Coupe"/>
    <n v="5"/>
    <x v="1"/>
    <x v="1"/>
    <n v="178740"/>
    <n v="4.0599999999999996"/>
    <n v="5"/>
    <n v="27357415329.600002"/>
  </r>
  <r>
    <x v="3"/>
    <x v="8"/>
    <n v="2026"/>
    <x v="3"/>
    <n v="82657.259999999995"/>
    <n v="83.9"/>
    <n v="294"/>
    <n v="153"/>
    <s v="Van"/>
    <n v="5"/>
    <x v="2"/>
    <x v="0"/>
    <n v="156944"/>
    <n v="3.54"/>
    <n v="4"/>
    <n v="12972561013.439999"/>
  </r>
  <r>
    <x v="9"/>
    <x v="55"/>
    <n v="2026"/>
    <x v="3"/>
    <n v="90499.68"/>
    <n v="42.2"/>
    <n v="167"/>
    <n v="132"/>
    <s v="Coupe"/>
    <n v="3"/>
    <x v="3"/>
    <x v="0"/>
    <n v="72987"/>
    <n v="3.29"/>
    <n v="7"/>
    <n v="6605300144.1599998"/>
  </r>
  <r>
    <x v="13"/>
    <x v="59"/>
    <n v="2026"/>
    <x v="1"/>
    <n v="108052.79"/>
    <n v="111.2"/>
    <n v="390"/>
    <n v="196"/>
    <s v="Hatchback"/>
    <n v="5"/>
    <x v="3"/>
    <x v="1"/>
    <n v="49733"/>
    <n v="4.0199999999999996"/>
    <n v="5"/>
    <n v="5373789405.0699997"/>
  </r>
  <r>
    <x v="3"/>
    <x v="37"/>
    <n v="2026"/>
    <x v="4"/>
    <n v="60331.49"/>
    <n v="43.6"/>
    <n v="175"/>
    <n v="136"/>
    <s v="Coupe"/>
    <n v="4"/>
    <x v="2"/>
    <x v="2"/>
    <n v="145412"/>
    <n v="3.34"/>
    <n v="4"/>
    <n v="8772922623.8799992"/>
  </r>
  <r>
    <x v="9"/>
    <x v="38"/>
    <n v="2026"/>
    <x v="3"/>
    <n v="111475.63"/>
    <n v="44.2"/>
    <n v="150"/>
    <n v="159"/>
    <s v="Van"/>
    <n v="4"/>
    <x v="3"/>
    <x v="1"/>
    <n v="22266"/>
    <n v="3.33"/>
    <n v="5"/>
    <n v="2482116377.5799999"/>
  </r>
  <r>
    <x v="3"/>
    <x v="6"/>
    <n v="2026"/>
    <x v="0"/>
    <n v="67426.929999999993"/>
    <n v="98.7"/>
    <n v="353"/>
    <n v="162"/>
    <s v="Sedan"/>
    <n v="4"/>
    <x v="2"/>
    <x v="0"/>
    <n v="102350"/>
    <n v="3.66"/>
    <n v="4"/>
    <n v="6901146285.499999"/>
  </r>
  <r>
    <x v="8"/>
    <x v="21"/>
    <n v="2026"/>
    <x v="1"/>
    <n v="48841.01"/>
    <n v="87.7"/>
    <n v="333"/>
    <n v="180"/>
    <s v="Hatchback"/>
    <n v="4"/>
    <x v="1"/>
    <x v="2"/>
    <n v="32288"/>
    <n v="3.72"/>
    <n v="4"/>
    <n v="1576978530.8800001"/>
  </r>
  <r>
    <x v="5"/>
    <x v="7"/>
    <n v="2026"/>
    <x v="3"/>
    <n v="72349.570000000007"/>
    <n v="59.3"/>
    <n v="198"/>
    <n v="149"/>
    <s v="SUV"/>
    <n v="4"/>
    <x v="4"/>
    <x v="0"/>
    <n v="69075"/>
    <n v="3.22"/>
    <n v="5"/>
    <n v="4997546547.750001"/>
  </r>
  <r>
    <x v="8"/>
    <x v="34"/>
    <n v="2026"/>
    <x v="3"/>
    <n v="69136.539999999994"/>
    <n v="53.2"/>
    <n v="193"/>
    <n v="161"/>
    <s v="SUV"/>
    <n v="3"/>
    <x v="1"/>
    <x v="0"/>
    <n v="61663"/>
    <n v="3.2"/>
    <n v="4"/>
    <n v="4263166466.0199995"/>
  </r>
  <r>
    <x v="15"/>
    <x v="67"/>
    <n v="2026"/>
    <x v="0"/>
    <n v="220736.96"/>
    <n v="82.6"/>
    <n v="288"/>
    <n v="161"/>
    <s v="SUV"/>
    <n v="5"/>
    <x v="3"/>
    <x v="1"/>
    <n v="5345"/>
    <n v="3.64"/>
    <n v="6"/>
    <n v="1179839051.2"/>
  </r>
  <r>
    <x v="7"/>
    <x v="10"/>
    <n v="2026"/>
    <x v="3"/>
    <n v="36003.86"/>
    <n v="51.5"/>
    <n v="216"/>
    <n v="170"/>
    <s v="Hatchback"/>
    <n v="5"/>
    <x v="3"/>
    <x v="2"/>
    <n v="241049"/>
    <n v="3.54"/>
    <n v="3"/>
    <n v="8678694449.1399994"/>
  </r>
  <r>
    <x v="2"/>
    <x v="5"/>
    <n v="2026"/>
    <x v="3"/>
    <n v="40006.71"/>
    <n v="63.9"/>
    <n v="241"/>
    <n v="131"/>
    <s v="Truck"/>
    <n v="4"/>
    <x v="1"/>
    <x v="2"/>
    <n v="488644"/>
    <n v="3.74"/>
    <n v="4"/>
    <n v="19549038801.239998"/>
  </r>
  <r>
    <x v="2"/>
    <x v="5"/>
    <n v="2026"/>
    <x v="2"/>
    <n v="41355.449999999997"/>
    <n v="69.599999999999994"/>
    <n v="247"/>
    <n v="165"/>
    <s v="Van"/>
    <n v="4"/>
    <x v="1"/>
    <x v="2"/>
    <n v="407336"/>
    <n v="3.8"/>
    <n v="4"/>
    <n v="16845563581.199999"/>
  </r>
  <r>
    <x v="2"/>
    <x v="2"/>
    <n v="2026"/>
    <x v="2"/>
    <n v="88832.48"/>
    <n v="49.6"/>
    <n v="157"/>
    <n v="138"/>
    <s v="Coupe"/>
    <n v="5"/>
    <x v="1"/>
    <x v="0"/>
    <n v="238605"/>
    <n v="3.46"/>
    <n v="4"/>
    <n v="21195873890.399998"/>
  </r>
  <r>
    <x v="4"/>
    <x v="61"/>
    <n v="2026"/>
    <x v="0"/>
    <n v="71435.350000000006"/>
    <n v="106"/>
    <n v="377"/>
    <n v="176"/>
    <s v="Hatchback"/>
    <n v="3"/>
    <x v="3"/>
    <x v="0"/>
    <n v="45647"/>
    <n v="3.96"/>
    <n v="6"/>
    <n v="3260809421.4500003"/>
  </r>
  <r>
    <x v="7"/>
    <x v="27"/>
    <n v="2026"/>
    <x v="0"/>
    <n v="92636.43"/>
    <n v="109.7"/>
    <n v="373"/>
    <n v="188"/>
    <s v="Truck"/>
    <n v="5"/>
    <x v="3"/>
    <x v="0"/>
    <n v="243081"/>
    <n v="3.92"/>
    <n v="3"/>
    <n v="22518156040.829998"/>
  </r>
  <r>
    <x v="2"/>
    <x v="35"/>
    <n v="2026"/>
    <x v="1"/>
    <n v="167028.1"/>
    <n v="106.1"/>
    <n v="356"/>
    <n v="186"/>
    <s v="SUV"/>
    <n v="4"/>
    <x v="1"/>
    <x v="1"/>
    <n v="191484"/>
    <n v="4.17"/>
    <n v="5"/>
    <n v="31983208700.400002"/>
  </r>
  <r>
    <x v="13"/>
    <x v="59"/>
    <n v="2026"/>
    <x v="2"/>
    <n v="137679.26999999999"/>
    <n v="71.2"/>
    <n v="244"/>
    <n v="136"/>
    <s v="Coupe"/>
    <n v="5"/>
    <x v="3"/>
    <x v="1"/>
    <n v="34790"/>
    <n v="3.64"/>
    <n v="7"/>
    <n v="4789861803.2999992"/>
  </r>
  <r>
    <x v="7"/>
    <x v="28"/>
    <n v="2026"/>
    <x v="2"/>
    <n v="46634.879999999997"/>
    <n v="48.4"/>
    <n v="169"/>
    <n v="137"/>
    <s v="Van"/>
    <n v="4"/>
    <x v="3"/>
    <x v="2"/>
    <n v="203221"/>
    <n v="3.33"/>
    <n v="4"/>
    <n v="9477186948.4799995"/>
  </r>
  <r>
    <x v="13"/>
    <x v="57"/>
    <n v="2026"/>
    <x v="4"/>
    <n v="115211.58"/>
    <n v="57.3"/>
    <n v="174"/>
    <n v="161"/>
    <s v="Sedan"/>
    <n v="4"/>
    <x v="3"/>
    <x v="1"/>
    <n v="42340"/>
    <n v="3.43"/>
    <n v="6"/>
    <n v="4878058297.1999998"/>
  </r>
  <r>
    <x v="7"/>
    <x v="24"/>
    <n v="2026"/>
    <x v="3"/>
    <n v="44501.34"/>
    <n v="41.7"/>
    <n v="150"/>
    <n v="135"/>
    <s v="Coupe"/>
    <n v="5"/>
    <x v="3"/>
    <x v="2"/>
    <n v="220387"/>
    <n v="3.14"/>
    <n v="5"/>
    <n v="9807516818.5799999"/>
  </r>
  <r>
    <x v="8"/>
    <x v="60"/>
    <n v="2026"/>
    <x v="0"/>
    <n v="53193.55"/>
    <n v="98"/>
    <n v="364"/>
    <n v="173"/>
    <s v="Van"/>
    <n v="4"/>
    <x v="1"/>
    <x v="2"/>
    <n v="23578"/>
    <n v="3.93"/>
    <n v="4"/>
    <n v="1254197521.9000001"/>
  </r>
  <r>
    <x v="18"/>
    <x v="75"/>
    <n v="2026"/>
    <x v="1"/>
    <n v="51309.25"/>
    <n v="118.5"/>
    <n v="410"/>
    <n v="200"/>
    <s v="Sedan"/>
    <n v="5"/>
    <x v="0"/>
    <x v="2"/>
    <n v="6885"/>
    <n v="3.78"/>
    <n v="5"/>
    <n v="353264186.25"/>
  </r>
  <r>
    <x v="9"/>
    <x v="19"/>
    <n v="2026"/>
    <x v="2"/>
    <n v="48107.44"/>
    <n v="41.6"/>
    <n v="150"/>
    <n v="169"/>
    <s v="SUV"/>
    <n v="4"/>
    <x v="3"/>
    <x v="2"/>
    <n v="49300"/>
    <n v="3.02"/>
    <n v="7"/>
    <n v="2371696792"/>
  </r>
  <r>
    <x v="9"/>
    <x v="19"/>
    <n v="2026"/>
    <x v="1"/>
    <n v="116974.41"/>
    <n v="71.900000000000006"/>
    <n v="251"/>
    <n v="190"/>
    <s v="Truck"/>
    <n v="5"/>
    <x v="3"/>
    <x v="1"/>
    <n v="50944"/>
    <n v="3.38"/>
    <n v="6"/>
    <n v="5959144343.04"/>
  </r>
  <r>
    <x v="6"/>
    <x v="20"/>
    <n v="2026"/>
    <x v="0"/>
    <n v="78614.710000000006"/>
    <n v="78"/>
    <n v="278"/>
    <n v="159"/>
    <s v="Truck"/>
    <n v="5"/>
    <x v="4"/>
    <x v="0"/>
    <n v="126223"/>
    <n v="3.68"/>
    <n v="4"/>
    <n v="9922984540.3299999"/>
  </r>
  <r>
    <x v="13"/>
    <x v="48"/>
    <n v="2026"/>
    <x v="3"/>
    <n v="135101.31"/>
    <n v="74.2"/>
    <n v="242"/>
    <n v="181"/>
    <s v="SUV"/>
    <n v="4"/>
    <x v="3"/>
    <x v="1"/>
    <n v="54508"/>
    <n v="3.82"/>
    <n v="5"/>
    <n v="7364102205.4799995"/>
  </r>
  <r>
    <x v="3"/>
    <x v="3"/>
    <n v="2026"/>
    <x v="1"/>
    <n v="90766.48"/>
    <n v="91"/>
    <n v="318"/>
    <n v="200"/>
    <s v="Sedan"/>
    <n v="4"/>
    <x v="2"/>
    <x v="0"/>
    <n v="205278"/>
    <n v="3.53"/>
    <n v="3"/>
    <n v="18632361481.439999"/>
  </r>
  <r>
    <x v="2"/>
    <x v="5"/>
    <n v="2026"/>
    <x v="2"/>
    <n v="111102.01"/>
    <n v="57.5"/>
    <n v="194"/>
    <n v="140"/>
    <s v="Sedan"/>
    <n v="5"/>
    <x v="1"/>
    <x v="1"/>
    <n v="457566"/>
    <n v="3.79"/>
    <n v="5"/>
    <n v="50836502307.659996"/>
  </r>
  <r>
    <x v="2"/>
    <x v="31"/>
    <n v="2026"/>
    <x v="2"/>
    <n v="121350.3"/>
    <n v="82.3"/>
    <n v="289"/>
    <n v="130"/>
    <s v="Truck"/>
    <n v="5"/>
    <x v="1"/>
    <x v="1"/>
    <n v="144677"/>
    <n v="3.86"/>
    <n v="6"/>
    <n v="17556597353.100002"/>
  </r>
  <r>
    <x v="5"/>
    <x v="22"/>
    <n v="2026"/>
    <x v="0"/>
    <n v="37918.559999999998"/>
    <n v="79.900000000000006"/>
    <n v="304"/>
    <n v="182"/>
    <s v="SUV"/>
    <n v="5"/>
    <x v="4"/>
    <x v="2"/>
    <n v="92798"/>
    <n v="3.66"/>
    <n v="3"/>
    <n v="3518766530.8799996"/>
  </r>
  <r>
    <x v="3"/>
    <x v="8"/>
    <n v="2026"/>
    <x v="2"/>
    <n v="33590.410000000003"/>
    <n v="74.099999999999994"/>
    <n v="252"/>
    <n v="140"/>
    <s v="Truck"/>
    <n v="4"/>
    <x v="2"/>
    <x v="3"/>
    <n v="225478"/>
    <n v="3.58"/>
    <n v="5"/>
    <n v="7573898465.9800005"/>
  </r>
  <r>
    <x v="3"/>
    <x v="11"/>
    <n v="2026"/>
    <x v="3"/>
    <n v="75687.78"/>
    <n v="57.9"/>
    <n v="223"/>
    <n v="136"/>
    <s v="Sedan"/>
    <n v="3"/>
    <x v="2"/>
    <x v="0"/>
    <n v="230330"/>
    <n v="3.4"/>
    <n v="4"/>
    <n v="17433166367.400002"/>
  </r>
  <r>
    <x v="6"/>
    <x v="63"/>
    <n v="2026"/>
    <x v="0"/>
    <n v="93179.93"/>
    <n v="102.1"/>
    <n v="351"/>
    <n v="181"/>
    <s v="Sedan"/>
    <n v="4"/>
    <x v="4"/>
    <x v="0"/>
    <n v="64997"/>
    <n v="3.42"/>
    <n v="4"/>
    <n v="6056415910.2099991"/>
  </r>
  <r>
    <x v="2"/>
    <x v="2"/>
    <n v="2026"/>
    <x v="0"/>
    <n v="125990.82"/>
    <n v="75.3"/>
    <n v="272"/>
    <n v="171"/>
    <s v="Hatchback"/>
    <n v="5"/>
    <x v="1"/>
    <x v="1"/>
    <n v="200607"/>
    <n v="3.97"/>
    <n v="4"/>
    <n v="25274640427.740002"/>
  </r>
  <r>
    <x v="3"/>
    <x v="3"/>
    <n v="2026"/>
    <x v="3"/>
    <n v="42445.79"/>
    <n v="53"/>
    <n v="173"/>
    <n v="167"/>
    <s v="Coupe"/>
    <n v="4"/>
    <x v="2"/>
    <x v="2"/>
    <n v="217748"/>
    <n v="3.05"/>
    <n v="5"/>
    <n v="9242485880.9200001"/>
  </r>
  <r>
    <x v="8"/>
    <x v="34"/>
    <n v="2026"/>
    <x v="2"/>
    <n v="55828.42"/>
    <n v="47.5"/>
    <n v="163"/>
    <n v="167"/>
    <s v="Hatchback"/>
    <n v="5"/>
    <x v="1"/>
    <x v="2"/>
    <n v="64449"/>
    <n v="3.39"/>
    <n v="5"/>
    <n v="3598085840.5799999"/>
  </r>
  <r>
    <x v="7"/>
    <x v="27"/>
    <n v="2026"/>
    <x v="3"/>
    <n v="36867.620000000003"/>
    <n v="42"/>
    <n v="175"/>
    <n v="148"/>
    <s v="Van"/>
    <n v="5"/>
    <x v="3"/>
    <x v="2"/>
    <n v="299992"/>
    <n v="3.38"/>
    <n v="4"/>
    <n v="11059991059.040001"/>
  </r>
  <r>
    <x v="12"/>
    <x v="52"/>
    <n v="2026"/>
    <x v="3"/>
    <n v="47749.35"/>
    <n v="64.3"/>
    <n v="253"/>
    <n v="170"/>
    <s v="Truck"/>
    <n v="5"/>
    <x v="1"/>
    <x v="2"/>
    <n v="11602"/>
    <n v="3.26"/>
    <n v="4"/>
    <n v="553987958.69999993"/>
  </r>
  <r>
    <x v="9"/>
    <x v="38"/>
    <n v="2026"/>
    <x v="3"/>
    <n v="111337.67"/>
    <n v="83.1"/>
    <n v="295"/>
    <n v="167"/>
    <s v="Van"/>
    <n v="4"/>
    <x v="3"/>
    <x v="1"/>
    <n v="20689"/>
    <n v="3.65"/>
    <n v="7"/>
    <n v="2303465054.6300001"/>
  </r>
  <r>
    <x v="2"/>
    <x v="5"/>
    <n v="2026"/>
    <x v="2"/>
    <n v="113350.86"/>
    <n v="73.5"/>
    <n v="268"/>
    <n v="155"/>
    <s v="Sedan"/>
    <n v="5"/>
    <x v="1"/>
    <x v="1"/>
    <n v="463970"/>
    <n v="3.62"/>
    <n v="6"/>
    <n v="52591398514.199997"/>
  </r>
  <r>
    <x v="7"/>
    <x v="27"/>
    <n v="2026"/>
    <x v="0"/>
    <n v="57231.82"/>
    <n v="83.1"/>
    <n v="283"/>
    <n v="170"/>
    <s v="Van"/>
    <n v="4"/>
    <x v="3"/>
    <x v="2"/>
    <n v="290062"/>
    <n v="3.77"/>
    <n v="4"/>
    <n v="16600776172.84"/>
  </r>
  <r>
    <x v="5"/>
    <x v="13"/>
    <n v="2026"/>
    <x v="0"/>
    <n v="38689.25"/>
    <n v="93"/>
    <n v="330"/>
    <n v="173"/>
    <s v="SUV"/>
    <n v="3"/>
    <x v="4"/>
    <x v="2"/>
    <n v="112175"/>
    <n v="3.57"/>
    <n v="4"/>
    <n v="4339966618.75"/>
  </r>
  <r>
    <x v="2"/>
    <x v="17"/>
    <n v="2026"/>
    <x v="3"/>
    <n v="127646.69"/>
    <n v="65.599999999999994"/>
    <n v="239"/>
    <n v="154"/>
    <s v="SUV"/>
    <n v="4"/>
    <x v="1"/>
    <x v="1"/>
    <n v="120535"/>
    <n v="3.74"/>
    <n v="4"/>
    <n v="15385893779.15"/>
  </r>
  <r>
    <x v="17"/>
    <x v="65"/>
    <n v="2026"/>
    <x v="0"/>
    <n v="68234.87"/>
    <n v="75.5"/>
    <n v="251"/>
    <n v="165"/>
    <s v="SUV"/>
    <n v="4"/>
    <x v="5"/>
    <x v="0"/>
    <n v="22605"/>
    <n v="3.33"/>
    <n v="3"/>
    <n v="1542449236.3499999"/>
  </r>
  <r>
    <x v="11"/>
    <x v="56"/>
    <n v="2026"/>
    <x v="3"/>
    <n v="87078.44"/>
    <n v="72.099999999999994"/>
    <n v="262"/>
    <n v="150"/>
    <s v="Coupe"/>
    <n v="5"/>
    <x v="1"/>
    <x v="0"/>
    <n v="21561"/>
    <n v="3.72"/>
    <n v="5"/>
    <n v="1877498244.8400002"/>
  </r>
  <r>
    <x v="1"/>
    <x v="1"/>
    <n v="2026"/>
    <x v="2"/>
    <n v="89077.35"/>
    <n v="81.7"/>
    <n v="286"/>
    <n v="155"/>
    <s v="Coupe"/>
    <n v="4"/>
    <x v="1"/>
    <x v="0"/>
    <n v="28442"/>
    <n v="3.61"/>
    <n v="5"/>
    <n v="2533537988.7000003"/>
  </r>
  <r>
    <x v="2"/>
    <x v="31"/>
    <n v="2026"/>
    <x v="2"/>
    <n v="101101.42"/>
    <n v="71.8"/>
    <n v="255"/>
    <n v="163"/>
    <s v="Truck"/>
    <n v="3"/>
    <x v="1"/>
    <x v="1"/>
    <n v="118722"/>
    <n v="3.89"/>
    <n v="5"/>
    <n v="12002962785.24"/>
  </r>
  <r>
    <x v="5"/>
    <x v="23"/>
    <n v="2026"/>
    <x v="2"/>
    <n v="65902.95"/>
    <n v="59.6"/>
    <n v="203"/>
    <n v="132"/>
    <s v="Sedan"/>
    <n v="4"/>
    <x v="4"/>
    <x v="0"/>
    <n v="95119"/>
    <n v="3.3"/>
    <n v="4"/>
    <n v="6268622701.0500002"/>
  </r>
  <r>
    <x v="9"/>
    <x v="39"/>
    <n v="2026"/>
    <x v="3"/>
    <n v="62674.5"/>
    <n v="70.599999999999994"/>
    <n v="211"/>
    <n v="160"/>
    <s v="Coupe"/>
    <n v="3"/>
    <x v="3"/>
    <x v="2"/>
    <n v="61611"/>
    <n v="3.24"/>
    <n v="6"/>
    <n v="3861438619.5"/>
  </r>
  <r>
    <x v="7"/>
    <x v="28"/>
    <n v="2026"/>
    <x v="4"/>
    <n v="50055.73"/>
    <n v="71.2"/>
    <n v="256"/>
    <n v="140"/>
    <s v="Hatchback"/>
    <n v="5"/>
    <x v="3"/>
    <x v="2"/>
    <n v="296123"/>
    <n v="3.65"/>
    <n v="3"/>
    <n v="14822652934.790001"/>
  </r>
  <r>
    <x v="4"/>
    <x v="32"/>
    <n v="2026"/>
    <x v="4"/>
    <n v="101046.9"/>
    <n v="80.3"/>
    <n v="301"/>
    <n v="174"/>
    <s v="SUV"/>
    <n v="4"/>
    <x v="3"/>
    <x v="1"/>
    <n v="68624"/>
    <n v="3.78"/>
    <n v="7"/>
    <n v="6934242465.5999994"/>
  </r>
  <r>
    <x v="3"/>
    <x v="3"/>
    <n v="2026"/>
    <x v="0"/>
    <n v="92693.85"/>
    <n v="89.9"/>
    <n v="310"/>
    <n v="159"/>
    <s v="Truck"/>
    <n v="5"/>
    <x v="2"/>
    <x v="0"/>
    <n v="133159"/>
    <n v="3.42"/>
    <n v="4"/>
    <n v="12343020372.150002"/>
  </r>
  <r>
    <x v="3"/>
    <x v="6"/>
    <n v="2026"/>
    <x v="1"/>
    <n v="110109.78"/>
    <n v="119.3"/>
    <n v="403"/>
    <n v="200"/>
    <s v="Van"/>
    <n v="4"/>
    <x v="2"/>
    <x v="1"/>
    <n v="116675"/>
    <n v="4.1900000000000004"/>
    <n v="4"/>
    <n v="12847058581.5"/>
  </r>
  <r>
    <x v="12"/>
    <x v="46"/>
    <n v="2026"/>
    <x v="4"/>
    <n v="81491.33"/>
    <n v="73.3"/>
    <n v="257"/>
    <n v="145"/>
    <s v="SUV"/>
    <n v="3"/>
    <x v="1"/>
    <x v="0"/>
    <n v="15310"/>
    <n v="3.75"/>
    <n v="4"/>
    <n v="1247632262.3"/>
  </r>
  <r>
    <x v="3"/>
    <x v="6"/>
    <n v="2026"/>
    <x v="0"/>
    <n v="104593.9"/>
    <n v="89.1"/>
    <n v="296"/>
    <n v="172"/>
    <s v="Van"/>
    <n v="5"/>
    <x v="2"/>
    <x v="1"/>
    <n v="219672"/>
    <n v="3.59"/>
    <n v="3"/>
    <n v="22976351200.799999"/>
  </r>
  <r>
    <x v="8"/>
    <x v="12"/>
    <n v="2026"/>
    <x v="4"/>
    <n v="95704.24"/>
    <n v="84.6"/>
    <n v="300"/>
    <n v="176"/>
    <s v="Truck"/>
    <n v="5"/>
    <x v="1"/>
    <x v="0"/>
    <n v="70819"/>
    <n v="3.48"/>
    <n v="4"/>
    <n v="6777678572.5600004"/>
  </r>
  <r>
    <x v="5"/>
    <x v="23"/>
    <n v="2026"/>
    <x v="4"/>
    <n v="81787.56"/>
    <n v="61.8"/>
    <n v="200"/>
    <n v="173"/>
    <s v="Coupe"/>
    <n v="3"/>
    <x v="4"/>
    <x v="0"/>
    <n v="103637"/>
    <n v="3.28"/>
    <n v="4"/>
    <n v="8476217355.7199993"/>
  </r>
  <r>
    <x v="3"/>
    <x v="3"/>
    <n v="2026"/>
    <x v="3"/>
    <n v="76922.710000000006"/>
    <n v="71.2"/>
    <n v="254"/>
    <n v="139"/>
    <s v="Truck"/>
    <n v="5"/>
    <x v="2"/>
    <x v="0"/>
    <n v="121433"/>
    <n v="3.41"/>
    <n v="4"/>
    <n v="9340955443.4300003"/>
  </r>
  <r>
    <x v="2"/>
    <x v="5"/>
    <n v="2026"/>
    <x v="3"/>
    <n v="131838.32999999999"/>
    <n v="68.900000000000006"/>
    <n v="241"/>
    <n v="152"/>
    <s v="Sedan"/>
    <n v="5"/>
    <x v="1"/>
    <x v="1"/>
    <n v="410211"/>
    <n v="3.81"/>
    <n v="5"/>
    <n v="54081533187.629997"/>
  </r>
  <r>
    <x v="6"/>
    <x v="9"/>
    <n v="2026"/>
    <x v="3"/>
    <n v="60217.03"/>
    <n v="73.900000000000006"/>
    <n v="251"/>
    <n v="159"/>
    <s v="SUV"/>
    <n v="4"/>
    <x v="4"/>
    <x v="2"/>
    <n v="83698"/>
    <n v="3.17"/>
    <n v="5"/>
    <n v="5040044976.9399996"/>
  </r>
  <r>
    <x v="5"/>
    <x v="15"/>
    <n v="2026"/>
    <x v="2"/>
    <n v="72429.61"/>
    <n v="64.2"/>
    <n v="178"/>
    <n v="153"/>
    <s v="SUV"/>
    <n v="5"/>
    <x v="4"/>
    <x v="0"/>
    <n v="52716"/>
    <n v="3"/>
    <n v="4"/>
    <n v="3818199320.7600002"/>
  </r>
  <r>
    <x v="11"/>
    <x v="25"/>
    <n v="2026"/>
    <x v="0"/>
    <n v="98562.96"/>
    <n v="97.1"/>
    <n v="316"/>
    <n v="160"/>
    <s v="SUV"/>
    <n v="3"/>
    <x v="1"/>
    <x v="0"/>
    <n v="20133"/>
    <n v="3.71"/>
    <n v="6"/>
    <n v="1984368073.6800001"/>
  </r>
  <r>
    <x v="13"/>
    <x v="59"/>
    <n v="2026"/>
    <x v="4"/>
    <n v="151394.73000000001"/>
    <n v="70.8"/>
    <n v="264"/>
    <n v="153"/>
    <s v="Van"/>
    <n v="5"/>
    <x v="3"/>
    <x v="1"/>
    <n v="37405"/>
    <n v="3.71"/>
    <n v="6"/>
    <n v="5662919875.6500006"/>
  </r>
  <r>
    <x v="7"/>
    <x v="28"/>
    <n v="2026"/>
    <x v="0"/>
    <n v="42399.68"/>
    <n v="101.9"/>
    <n v="356"/>
    <n v="186"/>
    <s v="Hatchback"/>
    <n v="4"/>
    <x v="3"/>
    <x v="2"/>
    <n v="252676"/>
    <n v="3.68"/>
    <n v="5"/>
    <n v="10713381543.68"/>
  </r>
  <r>
    <x v="3"/>
    <x v="6"/>
    <n v="2026"/>
    <x v="1"/>
    <n v="31933.47"/>
    <n v="119.9"/>
    <n v="430"/>
    <n v="200"/>
    <s v="Coupe"/>
    <n v="3"/>
    <x v="2"/>
    <x v="3"/>
    <n v="219100"/>
    <n v="4.1900000000000004"/>
    <n v="5"/>
    <n v="6996623277"/>
  </r>
  <r>
    <x v="7"/>
    <x v="27"/>
    <n v="2026"/>
    <x v="3"/>
    <n v="33483.919999999998"/>
    <n v="82.6"/>
    <n v="293"/>
    <n v="160"/>
    <s v="Truck"/>
    <n v="5"/>
    <x v="3"/>
    <x v="3"/>
    <n v="207337"/>
    <n v="3.62"/>
    <n v="5"/>
    <n v="6942455521.04"/>
  </r>
  <r>
    <x v="11"/>
    <x v="56"/>
    <n v="2026"/>
    <x v="4"/>
    <n v="110739.07"/>
    <n v="48.4"/>
    <n v="163"/>
    <n v="146"/>
    <s v="Sedan"/>
    <n v="5"/>
    <x v="1"/>
    <x v="1"/>
    <n v="26386"/>
    <n v="3.24"/>
    <n v="6"/>
    <n v="2921961101.02"/>
  </r>
  <r>
    <x v="4"/>
    <x v="61"/>
    <n v="2026"/>
    <x v="1"/>
    <n v="163470.92000000001"/>
    <n v="73.400000000000006"/>
    <n v="267"/>
    <n v="196"/>
    <s v="Sedan"/>
    <n v="5"/>
    <x v="3"/>
    <x v="1"/>
    <n v="31112"/>
    <n v="3.43"/>
    <n v="6"/>
    <n v="5085907263.04"/>
  </r>
  <r>
    <x v="5"/>
    <x v="7"/>
    <n v="2026"/>
    <x v="1"/>
    <n v="110515.91"/>
    <n v="78.099999999999994"/>
    <n v="283"/>
    <n v="200"/>
    <s v="Coupe"/>
    <n v="5"/>
    <x v="4"/>
    <x v="1"/>
    <n v="62032"/>
    <n v="3.56"/>
    <n v="3"/>
    <n v="6855522929.1199999"/>
  </r>
  <r>
    <x v="7"/>
    <x v="27"/>
    <n v="2026"/>
    <x v="2"/>
    <n v="56734.76"/>
    <n v="49.7"/>
    <n v="207"/>
    <n v="168"/>
    <s v="Hatchback"/>
    <n v="4"/>
    <x v="3"/>
    <x v="2"/>
    <n v="257294"/>
    <n v="3.13"/>
    <n v="4"/>
    <n v="14597513339.440001"/>
  </r>
  <r>
    <x v="9"/>
    <x v="19"/>
    <n v="2026"/>
    <x v="4"/>
    <n v="125746.52"/>
    <n v="63.5"/>
    <n v="224"/>
    <n v="168"/>
    <s v="Hatchback"/>
    <n v="3"/>
    <x v="3"/>
    <x v="1"/>
    <n v="62950"/>
    <n v="3.45"/>
    <n v="6"/>
    <n v="7915743434"/>
  </r>
  <r>
    <x v="3"/>
    <x v="42"/>
    <n v="2026"/>
    <x v="2"/>
    <n v="71806.41"/>
    <n v="73"/>
    <n v="253"/>
    <n v="163"/>
    <s v="Sedan"/>
    <n v="4"/>
    <x v="2"/>
    <x v="0"/>
    <n v="163682"/>
    <n v="3.35"/>
    <n v="3"/>
    <n v="11753416801.620001"/>
  </r>
  <r>
    <x v="4"/>
    <x v="61"/>
    <n v="2026"/>
    <x v="0"/>
    <n v="145965.35999999999"/>
    <n v="78.2"/>
    <n v="269"/>
    <n v="173"/>
    <s v="Coupe"/>
    <n v="4"/>
    <x v="3"/>
    <x v="1"/>
    <n v="21092"/>
    <n v="3.74"/>
    <n v="6"/>
    <n v="3078701373.1199999"/>
  </r>
  <r>
    <x v="2"/>
    <x v="17"/>
    <n v="2026"/>
    <x v="1"/>
    <n v="147080.28"/>
    <n v="107.7"/>
    <n v="395"/>
    <n v="195"/>
    <s v="Sedan"/>
    <n v="5"/>
    <x v="1"/>
    <x v="1"/>
    <n v="199927"/>
    <n v="4.26"/>
    <n v="5"/>
    <n v="29405319139.560001"/>
  </r>
  <r>
    <x v="5"/>
    <x v="22"/>
    <n v="2026"/>
    <x v="1"/>
    <n v="78041.17"/>
    <n v="113.5"/>
    <n v="407"/>
    <n v="185"/>
    <s v="SUV"/>
    <n v="5"/>
    <x v="4"/>
    <x v="0"/>
    <n v="103428"/>
    <n v="3.83"/>
    <n v="4"/>
    <n v="8071642130.7600002"/>
  </r>
  <r>
    <x v="3"/>
    <x v="11"/>
    <n v="2026"/>
    <x v="1"/>
    <n v="95761.12"/>
    <n v="80.599999999999994"/>
    <n v="277"/>
    <n v="181"/>
    <s v="Coupe"/>
    <n v="4"/>
    <x v="2"/>
    <x v="0"/>
    <n v="171938"/>
    <n v="3.56"/>
    <n v="3"/>
    <n v="16464975450.559999"/>
  </r>
  <r>
    <x v="5"/>
    <x v="7"/>
    <n v="2026"/>
    <x v="1"/>
    <n v="91033.29"/>
    <n v="72.5"/>
    <n v="267"/>
    <n v="194"/>
    <s v="Van"/>
    <n v="4"/>
    <x v="4"/>
    <x v="0"/>
    <n v="54833"/>
    <n v="3.25"/>
    <n v="4"/>
    <n v="4991628390.5699997"/>
  </r>
  <r>
    <x v="8"/>
    <x v="34"/>
    <n v="2026"/>
    <x v="4"/>
    <n v="97985.03"/>
    <n v="84.1"/>
    <n v="304"/>
    <n v="167"/>
    <s v="Sedan"/>
    <n v="5"/>
    <x v="1"/>
    <x v="0"/>
    <n v="45069"/>
    <n v="3.49"/>
    <n v="3"/>
    <n v="4416087317.0699997"/>
  </r>
  <r>
    <x v="3"/>
    <x v="8"/>
    <n v="2026"/>
    <x v="0"/>
    <n v="49411.4"/>
    <n v="105.1"/>
    <n v="362"/>
    <n v="181"/>
    <s v="SUV"/>
    <n v="4"/>
    <x v="2"/>
    <x v="2"/>
    <n v="124104"/>
    <n v="3.7"/>
    <n v="4"/>
    <n v="6132152385.6000004"/>
  </r>
  <r>
    <x v="9"/>
    <x v="39"/>
    <n v="2026"/>
    <x v="1"/>
    <n v="148406.75"/>
    <n v="116.4"/>
    <n v="409"/>
    <n v="187"/>
    <s v="Hatchback"/>
    <n v="4"/>
    <x v="3"/>
    <x v="1"/>
    <n v="27898"/>
    <n v="3.83"/>
    <n v="6"/>
    <n v="4140251511.5"/>
  </r>
  <r>
    <x v="13"/>
    <x v="57"/>
    <n v="2026"/>
    <x v="2"/>
    <n v="129546.31"/>
    <n v="72"/>
    <n v="248"/>
    <n v="174"/>
    <s v="Truck"/>
    <n v="4"/>
    <x v="3"/>
    <x v="1"/>
    <n v="57503"/>
    <n v="3.59"/>
    <n v="6"/>
    <n v="7449301463.9300003"/>
  </r>
  <r>
    <x v="13"/>
    <x v="33"/>
    <n v="2026"/>
    <x v="1"/>
    <n v="148924.89000000001"/>
    <n v="98.3"/>
    <n v="357"/>
    <n v="196"/>
    <s v="SUV"/>
    <n v="4"/>
    <x v="3"/>
    <x v="1"/>
    <n v="66282"/>
    <n v="3.8"/>
    <n v="7"/>
    <n v="9871039558.9800014"/>
  </r>
  <r>
    <x v="7"/>
    <x v="10"/>
    <n v="2026"/>
    <x v="3"/>
    <n v="86339.6"/>
    <n v="57.8"/>
    <n v="217"/>
    <n v="145"/>
    <s v="Sedan"/>
    <n v="5"/>
    <x v="3"/>
    <x v="0"/>
    <n v="279621"/>
    <n v="3.38"/>
    <n v="3"/>
    <n v="24142365291.600002"/>
  </r>
  <r>
    <x v="2"/>
    <x v="2"/>
    <n v="2026"/>
    <x v="1"/>
    <n v="120990.97"/>
    <n v="76.900000000000006"/>
    <n v="272"/>
    <n v="200"/>
    <s v="Truck"/>
    <n v="4"/>
    <x v="1"/>
    <x v="1"/>
    <n v="177875"/>
    <n v="3.74"/>
    <n v="5"/>
    <n v="21521268788.75"/>
  </r>
  <r>
    <x v="8"/>
    <x v="60"/>
    <n v="2026"/>
    <x v="4"/>
    <n v="56792.12"/>
    <n v="67.2"/>
    <n v="207"/>
    <n v="135"/>
    <s v="SUV"/>
    <n v="4"/>
    <x v="1"/>
    <x v="2"/>
    <n v="31784"/>
    <n v="3.24"/>
    <n v="4"/>
    <n v="1805080742.0800002"/>
  </r>
  <r>
    <x v="7"/>
    <x v="10"/>
    <n v="2026"/>
    <x v="3"/>
    <n v="69769.06"/>
    <n v="45"/>
    <n v="150"/>
    <n v="140"/>
    <s v="Hatchback"/>
    <n v="4"/>
    <x v="3"/>
    <x v="0"/>
    <n v="251078"/>
    <n v="3"/>
    <n v="4"/>
    <n v="17517476046.68"/>
  </r>
  <r>
    <x v="3"/>
    <x v="42"/>
    <n v="2026"/>
    <x v="3"/>
    <n v="35604.120000000003"/>
    <n v="69.8"/>
    <n v="235"/>
    <n v="174"/>
    <s v="Truck"/>
    <n v="5"/>
    <x v="2"/>
    <x v="2"/>
    <n v="210674"/>
    <n v="3.59"/>
    <n v="3"/>
    <n v="7500862376.8800001"/>
  </r>
  <r>
    <x v="5"/>
    <x v="13"/>
    <n v="2026"/>
    <x v="0"/>
    <n v="70115.710000000006"/>
    <n v="95.5"/>
    <n v="342"/>
    <n v="168"/>
    <s v="Sedan"/>
    <n v="5"/>
    <x v="4"/>
    <x v="0"/>
    <n v="82992"/>
    <n v="3.83"/>
    <n v="4"/>
    <n v="5819043004.3200006"/>
  </r>
  <r>
    <x v="7"/>
    <x v="28"/>
    <n v="2026"/>
    <x v="2"/>
    <n v="70180.350000000006"/>
    <n v="48.8"/>
    <n v="170"/>
    <n v="159"/>
    <s v="Truck"/>
    <n v="4"/>
    <x v="3"/>
    <x v="0"/>
    <n v="220918"/>
    <n v="3.38"/>
    <n v="4"/>
    <n v="15504102561.300001"/>
  </r>
  <r>
    <x v="11"/>
    <x v="30"/>
    <n v="2026"/>
    <x v="1"/>
    <n v="113739.43"/>
    <n v="106.9"/>
    <n v="358"/>
    <n v="200"/>
    <s v="Coupe"/>
    <n v="4"/>
    <x v="1"/>
    <x v="1"/>
    <n v="22439"/>
    <n v="3.75"/>
    <n v="6"/>
    <n v="2552199069.77"/>
  </r>
  <r>
    <x v="0"/>
    <x v="47"/>
    <n v="2026"/>
    <x v="0"/>
    <n v="89238.61"/>
    <n v="105.2"/>
    <n v="336"/>
    <n v="178"/>
    <s v="Hatchback"/>
    <n v="5"/>
    <x v="0"/>
    <x v="0"/>
    <n v="3195"/>
    <n v="3.98"/>
    <n v="5"/>
    <n v="285117358.94999999"/>
  </r>
  <r>
    <x v="13"/>
    <x v="64"/>
    <n v="2026"/>
    <x v="4"/>
    <n v="108752.82"/>
    <n v="76.2"/>
    <n v="250"/>
    <n v="144"/>
    <s v="SUV"/>
    <n v="4"/>
    <x v="3"/>
    <x v="1"/>
    <n v="65854"/>
    <n v="3.7"/>
    <n v="6"/>
    <n v="7161808208.2800007"/>
  </r>
  <r>
    <x v="4"/>
    <x v="40"/>
    <n v="2026"/>
    <x v="1"/>
    <n v="104966.05"/>
    <n v="96.6"/>
    <n v="360"/>
    <n v="200"/>
    <s v="Sedan"/>
    <n v="4"/>
    <x v="3"/>
    <x v="1"/>
    <n v="20618"/>
    <n v="3.66"/>
    <n v="6"/>
    <n v="2164190018.9000001"/>
  </r>
  <r>
    <x v="6"/>
    <x v="63"/>
    <n v="2026"/>
    <x v="4"/>
    <n v="43930.22"/>
    <n v="71.2"/>
    <n v="285"/>
    <n v="141"/>
    <s v="SUV"/>
    <n v="4"/>
    <x v="4"/>
    <x v="2"/>
    <n v="60140"/>
    <n v="3.56"/>
    <n v="4"/>
    <n v="2641963430.8000002"/>
  </r>
  <r>
    <x v="5"/>
    <x v="22"/>
    <n v="2026"/>
    <x v="0"/>
    <n v="68589.740000000005"/>
    <n v="83.3"/>
    <n v="269"/>
    <n v="185"/>
    <s v="SUV"/>
    <n v="5"/>
    <x v="4"/>
    <x v="0"/>
    <n v="136116"/>
    <n v="3.29"/>
    <n v="3"/>
    <n v="9336161049.8400002"/>
  </r>
  <r>
    <x v="6"/>
    <x v="63"/>
    <n v="2026"/>
    <x v="4"/>
    <n v="56433"/>
    <n v="62.7"/>
    <n v="241"/>
    <n v="161"/>
    <s v="Truck"/>
    <n v="4"/>
    <x v="4"/>
    <x v="2"/>
    <n v="82791"/>
    <n v="3.39"/>
    <n v="4"/>
    <n v="4672144503"/>
  </r>
  <r>
    <x v="3"/>
    <x v="6"/>
    <n v="2026"/>
    <x v="0"/>
    <n v="27583.09"/>
    <n v="88.1"/>
    <n v="308"/>
    <n v="181"/>
    <s v="Truck"/>
    <n v="5"/>
    <x v="2"/>
    <x v="3"/>
    <n v="122434"/>
    <n v="3.77"/>
    <n v="5"/>
    <n v="3377108041.0599999"/>
  </r>
  <r>
    <x v="2"/>
    <x v="2"/>
    <n v="2026"/>
    <x v="2"/>
    <n v="58826.879999999997"/>
    <n v="44.1"/>
    <n v="150"/>
    <n v="133"/>
    <s v="Sedan"/>
    <n v="4"/>
    <x v="1"/>
    <x v="2"/>
    <n v="198300"/>
    <n v="3.51"/>
    <n v="5"/>
    <n v="11665370304"/>
  </r>
  <r>
    <x v="1"/>
    <x v="1"/>
    <n v="2026"/>
    <x v="3"/>
    <n v="93652.94"/>
    <n v="54.5"/>
    <n v="193"/>
    <n v="177"/>
    <s v="Sedan"/>
    <n v="3"/>
    <x v="1"/>
    <x v="0"/>
    <n v="24709"/>
    <n v="3.26"/>
    <n v="5"/>
    <n v="2314070494.46"/>
  </r>
  <r>
    <x v="2"/>
    <x v="17"/>
    <n v="2026"/>
    <x v="1"/>
    <n v="112274.6"/>
    <n v="73.599999999999994"/>
    <n v="242"/>
    <n v="190"/>
    <s v="Hatchback"/>
    <n v="4"/>
    <x v="1"/>
    <x v="1"/>
    <n v="193133"/>
    <n v="3.85"/>
    <n v="5"/>
    <n v="21683930321.799999"/>
  </r>
  <r>
    <x v="3"/>
    <x v="14"/>
    <n v="2026"/>
    <x v="2"/>
    <n v="45158.26"/>
    <n v="84"/>
    <n v="315"/>
    <n v="140"/>
    <s v="SUV"/>
    <n v="5"/>
    <x v="2"/>
    <x v="2"/>
    <n v="119766"/>
    <n v="3.6"/>
    <n v="4"/>
    <n v="5408424167.1599998"/>
  </r>
  <r>
    <x v="9"/>
    <x v="55"/>
    <n v="2026"/>
    <x v="4"/>
    <n v="103491.15"/>
    <n v="48.4"/>
    <n v="152"/>
    <n v="147"/>
    <s v="Sedan"/>
    <n v="5"/>
    <x v="3"/>
    <x v="1"/>
    <n v="42817"/>
    <n v="3.39"/>
    <n v="7"/>
    <n v="4431180569.5500002"/>
  </r>
  <r>
    <x v="5"/>
    <x v="7"/>
    <n v="2026"/>
    <x v="0"/>
    <n v="67363.850000000006"/>
    <n v="101"/>
    <n v="376"/>
    <n v="160"/>
    <s v="SUV"/>
    <n v="3"/>
    <x v="4"/>
    <x v="0"/>
    <n v="128059"/>
    <n v="3.95"/>
    <n v="4"/>
    <n v="8626547267.1500015"/>
  </r>
  <r>
    <x v="12"/>
    <x v="29"/>
    <n v="2026"/>
    <x v="4"/>
    <n v="68395.009999999995"/>
    <n v="46"/>
    <n v="165"/>
    <n v="146"/>
    <s v="Coupe"/>
    <n v="4"/>
    <x v="1"/>
    <x v="0"/>
    <n v="27929"/>
    <n v="3"/>
    <n v="5"/>
    <n v="1910204234.29"/>
  </r>
  <r>
    <x v="4"/>
    <x v="40"/>
    <n v="2026"/>
    <x v="2"/>
    <n v="97863.03"/>
    <n v="41.7"/>
    <n v="166"/>
    <n v="145"/>
    <s v="Coupe"/>
    <n v="5"/>
    <x v="3"/>
    <x v="0"/>
    <n v="24216"/>
    <n v="3.41"/>
    <n v="7"/>
    <n v="2369851134.48"/>
  </r>
  <r>
    <x v="5"/>
    <x v="13"/>
    <n v="2026"/>
    <x v="4"/>
    <n v="97174.66"/>
    <n v="65.2"/>
    <n v="227"/>
    <n v="140"/>
    <s v="Truck"/>
    <n v="4"/>
    <x v="4"/>
    <x v="0"/>
    <n v="93712"/>
    <n v="3.12"/>
    <n v="4"/>
    <n v="9106431737.9200001"/>
  </r>
  <r>
    <x v="9"/>
    <x v="38"/>
    <n v="2026"/>
    <x v="0"/>
    <n v="81773.509999999995"/>
    <n v="75.7"/>
    <n v="277"/>
    <n v="182"/>
    <s v="Truck"/>
    <n v="5"/>
    <x v="3"/>
    <x v="0"/>
    <n v="38573"/>
    <n v="3.54"/>
    <n v="6"/>
    <n v="3154249601.23"/>
  </r>
  <r>
    <x v="13"/>
    <x v="57"/>
    <n v="2026"/>
    <x v="0"/>
    <n v="124673.1"/>
    <n v="100.9"/>
    <n v="347"/>
    <n v="173"/>
    <s v="SUV"/>
    <n v="5"/>
    <x v="3"/>
    <x v="1"/>
    <n v="24079"/>
    <n v="4"/>
    <n v="5"/>
    <n v="3002003574.9000001"/>
  </r>
  <r>
    <x v="12"/>
    <x v="45"/>
    <n v="2026"/>
    <x v="4"/>
    <n v="67711.199999999997"/>
    <n v="41.3"/>
    <n v="150"/>
    <n v="155"/>
    <s v="Van"/>
    <n v="5"/>
    <x v="1"/>
    <x v="0"/>
    <n v="15428"/>
    <n v="3.23"/>
    <n v="5"/>
    <n v="1044648393.5999999"/>
  </r>
  <r>
    <x v="2"/>
    <x v="5"/>
    <n v="2026"/>
    <x v="0"/>
    <n v="83728.44"/>
    <n v="82.6"/>
    <n v="280"/>
    <n v="180"/>
    <s v="Hatchback"/>
    <n v="4"/>
    <x v="1"/>
    <x v="0"/>
    <n v="490450"/>
    <n v="3.83"/>
    <n v="6"/>
    <n v="41064613398"/>
  </r>
  <r>
    <x v="6"/>
    <x v="50"/>
    <n v="2026"/>
    <x v="1"/>
    <n v="77799.73"/>
    <n v="108"/>
    <n v="367"/>
    <n v="200"/>
    <s v="Hatchback"/>
    <n v="4"/>
    <x v="4"/>
    <x v="0"/>
    <n v="58908"/>
    <n v="3.8"/>
    <n v="3"/>
    <n v="4583026494.8400002"/>
  </r>
  <r>
    <x v="3"/>
    <x v="6"/>
    <n v="2026"/>
    <x v="4"/>
    <n v="87619.97"/>
    <n v="76.3"/>
    <n v="270"/>
    <n v="163"/>
    <s v="Hatchback"/>
    <n v="4"/>
    <x v="2"/>
    <x v="0"/>
    <n v="118872"/>
    <n v="3.49"/>
    <n v="4"/>
    <n v="10415561073.84"/>
  </r>
  <r>
    <x v="2"/>
    <x v="5"/>
    <n v="2026"/>
    <x v="4"/>
    <n v="55363.64"/>
    <n v="49.7"/>
    <n v="197"/>
    <n v="138"/>
    <s v="SUV"/>
    <n v="4"/>
    <x v="1"/>
    <x v="2"/>
    <n v="467657"/>
    <n v="3.42"/>
    <n v="5"/>
    <n v="25891193791.48"/>
  </r>
  <r>
    <x v="13"/>
    <x v="59"/>
    <n v="2026"/>
    <x v="0"/>
    <n v="122737.35"/>
    <n v="76.099999999999994"/>
    <n v="281"/>
    <n v="174"/>
    <s v="SUV"/>
    <n v="5"/>
    <x v="3"/>
    <x v="1"/>
    <n v="45500"/>
    <n v="3.92"/>
    <n v="6"/>
    <n v="5584549425"/>
  </r>
  <r>
    <x v="12"/>
    <x v="29"/>
    <n v="2026"/>
    <x v="0"/>
    <n v="75057.34"/>
    <n v="81.400000000000006"/>
    <n v="277"/>
    <n v="178"/>
    <s v="Truck"/>
    <n v="3"/>
    <x v="1"/>
    <x v="0"/>
    <n v="18197"/>
    <n v="3.62"/>
    <n v="4"/>
    <n v="1365818415.98"/>
  </r>
  <r>
    <x v="5"/>
    <x v="13"/>
    <n v="2026"/>
    <x v="3"/>
    <n v="54591.6"/>
    <n v="68.599999999999994"/>
    <n v="257"/>
    <n v="158"/>
    <s v="Van"/>
    <n v="4"/>
    <x v="4"/>
    <x v="2"/>
    <n v="84955"/>
    <n v="3.44"/>
    <n v="5"/>
    <n v="4637829378"/>
  </r>
  <r>
    <x v="6"/>
    <x v="50"/>
    <n v="2026"/>
    <x v="3"/>
    <n v="45692.14"/>
    <n v="83.7"/>
    <n v="288"/>
    <n v="154"/>
    <s v="Coupe"/>
    <n v="5"/>
    <x v="4"/>
    <x v="2"/>
    <n v="89861"/>
    <n v="3.5"/>
    <n v="3"/>
    <n v="4105941392.54"/>
  </r>
  <r>
    <x v="2"/>
    <x v="17"/>
    <n v="2026"/>
    <x v="0"/>
    <n v="146733.12"/>
    <n v="98.1"/>
    <n v="336"/>
    <n v="173"/>
    <s v="Truck"/>
    <n v="5"/>
    <x v="1"/>
    <x v="1"/>
    <n v="162803"/>
    <n v="4.05"/>
    <n v="5"/>
    <n v="23888592135.360001"/>
  </r>
  <r>
    <x v="7"/>
    <x v="10"/>
    <n v="2026"/>
    <x v="1"/>
    <n v="102827.77"/>
    <n v="98.2"/>
    <n v="350"/>
    <n v="196"/>
    <s v="Truck"/>
    <n v="5"/>
    <x v="3"/>
    <x v="1"/>
    <n v="238315"/>
    <n v="3.78"/>
    <n v="4"/>
    <n v="24505400007.549999"/>
  </r>
  <r>
    <x v="3"/>
    <x v="42"/>
    <n v="2026"/>
    <x v="0"/>
    <n v="32377.24"/>
    <n v="104"/>
    <n v="378"/>
    <n v="184"/>
    <s v="Coupe"/>
    <n v="4"/>
    <x v="2"/>
    <x v="3"/>
    <n v="164156"/>
    <n v="3.81"/>
    <n v="3"/>
    <n v="5314918209.4400005"/>
  </r>
  <r>
    <x v="8"/>
    <x v="34"/>
    <n v="2026"/>
    <x v="2"/>
    <n v="61243.81"/>
    <n v="76.7"/>
    <n v="281"/>
    <n v="163"/>
    <s v="Sedan"/>
    <n v="4"/>
    <x v="1"/>
    <x v="2"/>
    <n v="57282"/>
    <n v="3.51"/>
    <n v="4"/>
    <n v="3508167924.4200001"/>
  </r>
  <r>
    <x v="2"/>
    <x v="31"/>
    <n v="2026"/>
    <x v="3"/>
    <n v="80796.91"/>
    <n v="64.599999999999994"/>
    <n v="239"/>
    <n v="148"/>
    <s v="Truck"/>
    <n v="4"/>
    <x v="1"/>
    <x v="0"/>
    <n v="212130"/>
    <n v="3.66"/>
    <n v="4"/>
    <n v="17139448518.300001"/>
  </r>
  <r>
    <x v="19"/>
    <x v="71"/>
    <n v="2026"/>
    <x v="2"/>
    <n v="137880.07999999999"/>
    <n v="41.3"/>
    <n v="150"/>
    <n v="127"/>
    <s v="Truck"/>
    <n v="5"/>
    <x v="1"/>
    <x v="1"/>
    <n v="21377"/>
    <n v="3.21"/>
    <n v="5"/>
    <n v="2947462470.1599998"/>
  </r>
  <r>
    <x v="9"/>
    <x v="19"/>
    <n v="2026"/>
    <x v="4"/>
    <n v="125637.29"/>
    <n v="67.5"/>
    <n v="240"/>
    <n v="151"/>
    <s v="Hatchback"/>
    <n v="5"/>
    <x v="3"/>
    <x v="1"/>
    <n v="47587"/>
    <n v="3.56"/>
    <n v="7"/>
    <n v="5978701719.2299995"/>
  </r>
  <r>
    <x v="3"/>
    <x v="37"/>
    <n v="2026"/>
    <x v="0"/>
    <n v="101979.86"/>
    <n v="105.4"/>
    <n v="376"/>
    <n v="183"/>
    <s v="Van"/>
    <n v="4"/>
    <x v="2"/>
    <x v="1"/>
    <n v="128300"/>
    <n v="3.96"/>
    <n v="5"/>
    <n v="13084016038"/>
  </r>
  <r>
    <x v="13"/>
    <x v="48"/>
    <n v="2026"/>
    <x v="1"/>
    <n v="104553.67"/>
    <n v="111.7"/>
    <n v="412"/>
    <n v="192"/>
    <s v="Hatchback"/>
    <n v="4"/>
    <x v="3"/>
    <x v="1"/>
    <n v="68955"/>
    <n v="4.3899999999999997"/>
    <n v="7"/>
    <n v="7209498314.8499994"/>
  </r>
  <r>
    <x v="3"/>
    <x v="14"/>
    <n v="2026"/>
    <x v="1"/>
    <n v="112008.03"/>
    <n v="112.5"/>
    <n v="389"/>
    <n v="200"/>
    <s v="SUV"/>
    <n v="3"/>
    <x v="2"/>
    <x v="1"/>
    <n v="201649"/>
    <n v="3.59"/>
    <n v="5"/>
    <n v="22586307241.470001"/>
  </r>
  <r>
    <x v="12"/>
    <x v="36"/>
    <n v="2026"/>
    <x v="4"/>
    <n v="52994.74"/>
    <n v="63.4"/>
    <n v="206"/>
    <n v="130"/>
    <s v="Truck"/>
    <n v="5"/>
    <x v="1"/>
    <x v="2"/>
    <n v="5490"/>
    <n v="3.27"/>
    <n v="3"/>
    <n v="290941122.59999996"/>
  </r>
  <r>
    <x v="1"/>
    <x v="51"/>
    <n v="2026"/>
    <x v="3"/>
    <n v="67825.009999999995"/>
    <n v="82.9"/>
    <n v="297"/>
    <n v="160"/>
    <s v="Sedan"/>
    <n v="5"/>
    <x v="1"/>
    <x v="0"/>
    <n v="26063"/>
    <n v="3.56"/>
    <n v="4"/>
    <n v="1767723235.6299999"/>
  </r>
  <r>
    <x v="6"/>
    <x v="50"/>
    <n v="2026"/>
    <x v="3"/>
    <n v="68247.960000000006"/>
    <n v="73.099999999999994"/>
    <n v="240"/>
    <n v="151"/>
    <s v="Hatchback"/>
    <n v="5"/>
    <x v="4"/>
    <x v="0"/>
    <n v="75804"/>
    <n v="3.31"/>
    <n v="3"/>
    <n v="5173468359.8400002"/>
  </r>
  <r>
    <x v="13"/>
    <x v="59"/>
    <n v="2026"/>
    <x v="1"/>
    <n v="185592.86"/>
    <n v="107.8"/>
    <n v="359"/>
    <n v="192"/>
    <s v="Coupe"/>
    <n v="4"/>
    <x v="3"/>
    <x v="1"/>
    <n v="51560"/>
    <n v="3.97"/>
    <n v="7"/>
    <n v="9569167861.5999985"/>
  </r>
  <r>
    <x v="7"/>
    <x v="24"/>
    <n v="2026"/>
    <x v="2"/>
    <n v="49575.71"/>
    <n v="47.3"/>
    <n v="158"/>
    <n v="141"/>
    <s v="Sedan"/>
    <n v="4"/>
    <x v="3"/>
    <x v="2"/>
    <n v="295672"/>
    <n v="3.23"/>
    <n v="5"/>
    <n v="14658149327.119999"/>
  </r>
  <r>
    <x v="12"/>
    <x v="29"/>
    <n v="2026"/>
    <x v="3"/>
    <n v="64854.51"/>
    <n v="76"/>
    <n v="264"/>
    <n v="158"/>
    <s v="Van"/>
    <n v="4"/>
    <x v="1"/>
    <x v="2"/>
    <n v="16372"/>
    <n v="3.34"/>
    <n v="5"/>
    <n v="1061798037.72"/>
  </r>
  <r>
    <x v="6"/>
    <x v="50"/>
    <n v="2026"/>
    <x v="4"/>
    <n v="78808.06"/>
    <n v="83.8"/>
    <n v="310"/>
    <n v="163"/>
    <s v="Truck"/>
    <n v="4"/>
    <x v="4"/>
    <x v="0"/>
    <n v="79142"/>
    <n v="3.33"/>
    <n v="3"/>
    <n v="6237027484.5199995"/>
  </r>
  <r>
    <x v="13"/>
    <x v="59"/>
    <n v="2026"/>
    <x v="4"/>
    <n v="89766.7"/>
    <n v="44.8"/>
    <n v="150"/>
    <n v="131"/>
    <s v="Sedan"/>
    <n v="4"/>
    <x v="3"/>
    <x v="0"/>
    <n v="44745"/>
    <n v="3.43"/>
    <n v="7"/>
    <n v="4016610991.5"/>
  </r>
  <r>
    <x v="3"/>
    <x v="8"/>
    <n v="2026"/>
    <x v="2"/>
    <n v="27881.47"/>
    <n v="60.3"/>
    <n v="202"/>
    <n v="169"/>
    <s v="Van"/>
    <n v="4"/>
    <x v="2"/>
    <x v="3"/>
    <n v="131662"/>
    <n v="3.35"/>
    <n v="5"/>
    <n v="3670930103.1400003"/>
  </r>
  <r>
    <x v="7"/>
    <x v="28"/>
    <n v="2026"/>
    <x v="2"/>
    <n v="77633.039999999994"/>
    <n v="74"/>
    <n v="273"/>
    <n v="165"/>
    <s v="Truck"/>
    <n v="5"/>
    <x v="3"/>
    <x v="0"/>
    <n v="203039"/>
    <n v="3.53"/>
    <n v="5"/>
    <n v="15762534808.559999"/>
  </r>
  <r>
    <x v="2"/>
    <x v="35"/>
    <n v="2026"/>
    <x v="2"/>
    <n v="27570.57"/>
    <n v="44.6"/>
    <n v="153"/>
    <n v="137"/>
    <s v="Coupe"/>
    <n v="5"/>
    <x v="1"/>
    <x v="3"/>
    <n v="203167"/>
    <n v="3.2"/>
    <n v="5"/>
    <n v="5601429995.1899996"/>
  </r>
  <r>
    <x v="0"/>
    <x v="47"/>
    <n v="2026"/>
    <x v="1"/>
    <n v="108712.63"/>
    <n v="111.4"/>
    <n v="366"/>
    <n v="195"/>
    <s v="Sedan"/>
    <n v="4"/>
    <x v="0"/>
    <x v="1"/>
    <n v="12763"/>
    <n v="3.93"/>
    <n v="4"/>
    <n v="1387499296.6900001"/>
  </r>
  <r>
    <x v="9"/>
    <x v="19"/>
    <n v="2026"/>
    <x v="1"/>
    <n v="96474.96"/>
    <n v="76.8"/>
    <n v="250"/>
    <n v="200"/>
    <s v="Van"/>
    <n v="5"/>
    <x v="3"/>
    <x v="0"/>
    <n v="54809"/>
    <n v="3.45"/>
    <n v="7"/>
    <n v="5287696082.6400003"/>
  </r>
  <r>
    <x v="19"/>
    <x v="71"/>
    <n v="2026"/>
    <x v="4"/>
    <n v="225594.15"/>
    <n v="63.1"/>
    <n v="216"/>
    <n v="125"/>
    <s v="Van"/>
    <n v="5"/>
    <x v="1"/>
    <x v="1"/>
    <n v="21994"/>
    <n v="3.37"/>
    <n v="5"/>
    <n v="4961717735.0999994"/>
  </r>
  <r>
    <x v="8"/>
    <x v="12"/>
    <n v="2026"/>
    <x v="4"/>
    <n v="73146.64"/>
    <n v="40.1"/>
    <n v="150"/>
    <n v="157"/>
    <s v="Truck"/>
    <n v="5"/>
    <x v="1"/>
    <x v="0"/>
    <n v="26454"/>
    <n v="3.22"/>
    <n v="4"/>
    <n v="1935021214.5599999"/>
  </r>
  <r>
    <x v="5"/>
    <x v="22"/>
    <n v="2026"/>
    <x v="3"/>
    <n v="52324.87"/>
    <n v="44.4"/>
    <n v="154"/>
    <n v="158"/>
    <s v="SUV"/>
    <n v="5"/>
    <x v="4"/>
    <x v="2"/>
    <n v="142095"/>
    <n v="3.03"/>
    <n v="5"/>
    <n v="7435102402.6500006"/>
  </r>
  <r>
    <x v="13"/>
    <x v="48"/>
    <n v="2026"/>
    <x v="0"/>
    <n v="89516.61"/>
    <n v="78.7"/>
    <n v="296"/>
    <n v="185"/>
    <s v="Van"/>
    <n v="4"/>
    <x v="3"/>
    <x v="0"/>
    <n v="50182"/>
    <n v="4.07"/>
    <n v="5"/>
    <n v="4492122523.0200005"/>
  </r>
  <r>
    <x v="6"/>
    <x v="9"/>
    <n v="2026"/>
    <x v="1"/>
    <n v="46435.85"/>
    <n v="100.4"/>
    <n v="359"/>
    <n v="189"/>
    <s v="SUV"/>
    <n v="4"/>
    <x v="4"/>
    <x v="2"/>
    <n v="73520"/>
    <n v="3.68"/>
    <n v="4"/>
    <n v="3413963692"/>
  </r>
  <r>
    <x v="2"/>
    <x v="35"/>
    <n v="2026"/>
    <x v="4"/>
    <n v="88927.83"/>
    <n v="60.1"/>
    <n v="213"/>
    <n v="143"/>
    <s v="SUV"/>
    <n v="4"/>
    <x v="1"/>
    <x v="0"/>
    <n v="116766"/>
    <n v="3.76"/>
    <n v="4"/>
    <n v="10383746997.780001"/>
  </r>
  <r>
    <x v="0"/>
    <x v="0"/>
    <n v="2026"/>
    <x v="0"/>
    <n v="86892.09"/>
    <n v="84.1"/>
    <n v="298"/>
    <n v="186"/>
    <s v="SUV"/>
    <n v="4"/>
    <x v="0"/>
    <x v="0"/>
    <n v="27998"/>
    <n v="3.62"/>
    <n v="4"/>
    <n v="2432804735.8199997"/>
  </r>
  <r>
    <x v="0"/>
    <x v="47"/>
    <n v="2026"/>
    <x v="4"/>
    <n v="73010.399999999994"/>
    <n v="55.3"/>
    <n v="213"/>
    <n v="152"/>
    <s v="Sedan"/>
    <n v="4"/>
    <x v="0"/>
    <x v="0"/>
    <n v="9198"/>
    <n v="3.03"/>
    <n v="4"/>
    <n v="671549659.19999993"/>
  </r>
  <r>
    <x v="5"/>
    <x v="13"/>
    <n v="2026"/>
    <x v="0"/>
    <n v="53569.81"/>
    <n v="105.4"/>
    <n v="370"/>
    <n v="168"/>
    <s v="Coupe"/>
    <n v="5"/>
    <x v="4"/>
    <x v="2"/>
    <n v="112650"/>
    <n v="3.77"/>
    <n v="4"/>
    <n v="6034639096.5"/>
  </r>
  <r>
    <x v="8"/>
    <x v="60"/>
    <n v="2026"/>
    <x v="2"/>
    <n v="43574.22"/>
    <n v="67.2"/>
    <n v="237"/>
    <n v="159"/>
    <s v="SUV"/>
    <n v="5"/>
    <x v="1"/>
    <x v="2"/>
    <n v="55997"/>
    <n v="3.06"/>
    <n v="5"/>
    <n v="2440025597.3400002"/>
  </r>
  <r>
    <x v="5"/>
    <x v="23"/>
    <n v="2026"/>
    <x v="4"/>
    <n v="95775.65"/>
    <n v="51.6"/>
    <n v="194"/>
    <n v="155"/>
    <s v="Van"/>
    <n v="5"/>
    <x v="4"/>
    <x v="0"/>
    <n v="81075"/>
    <n v="3.4"/>
    <n v="4"/>
    <n v="7765010823.75"/>
  </r>
  <r>
    <x v="3"/>
    <x v="14"/>
    <n v="2026"/>
    <x v="4"/>
    <n v="79542.78"/>
    <n v="81.099999999999994"/>
    <n v="295"/>
    <n v="137"/>
    <s v="Van"/>
    <n v="5"/>
    <x v="2"/>
    <x v="0"/>
    <n v="153987"/>
    <n v="3.28"/>
    <n v="5"/>
    <n v="12248554063.860001"/>
  </r>
  <r>
    <x v="17"/>
    <x v="73"/>
    <n v="2026"/>
    <x v="1"/>
    <n v="111533.26"/>
    <n v="116.5"/>
    <n v="422"/>
    <n v="200"/>
    <s v="SUV"/>
    <n v="4"/>
    <x v="5"/>
    <x v="1"/>
    <n v="29548"/>
    <n v="3.71"/>
    <n v="5"/>
    <n v="3295584766.48"/>
  </r>
  <r>
    <x v="2"/>
    <x v="2"/>
    <n v="2026"/>
    <x v="3"/>
    <n v="81673.279999999999"/>
    <n v="69.3"/>
    <n v="252"/>
    <n v="153"/>
    <s v="SUV"/>
    <n v="4"/>
    <x v="1"/>
    <x v="0"/>
    <n v="117880"/>
    <n v="3.75"/>
    <n v="6"/>
    <n v="9627646246.3999996"/>
  </r>
  <r>
    <x v="2"/>
    <x v="31"/>
    <n v="2026"/>
    <x v="2"/>
    <n v="55329.7"/>
    <n v="56.6"/>
    <n v="217"/>
    <n v="151"/>
    <s v="Truck"/>
    <n v="4"/>
    <x v="1"/>
    <x v="2"/>
    <n v="211999"/>
    <n v="3.34"/>
    <n v="5"/>
    <n v="11729841070.299999"/>
  </r>
  <r>
    <x v="4"/>
    <x v="4"/>
    <n v="2026"/>
    <x v="1"/>
    <n v="79000.66"/>
    <n v="102.5"/>
    <n v="355"/>
    <n v="200"/>
    <s v="Coupe"/>
    <n v="5"/>
    <x v="3"/>
    <x v="0"/>
    <n v="72672"/>
    <n v="4.03"/>
    <n v="7"/>
    <n v="5741135963.5200005"/>
  </r>
  <r>
    <x v="3"/>
    <x v="42"/>
    <n v="2026"/>
    <x v="3"/>
    <n v="90374.6"/>
    <n v="57.6"/>
    <n v="191"/>
    <n v="145"/>
    <s v="Hatchback"/>
    <n v="5"/>
    <x v="2"/>
    <x v="0"/>
    <n v="232416"/>
    <n v="3.5"/>
    <n v="4"/>
    <n v="21004503033.600002"/>
  </r>
  <r>
    <x v="2"/>
    <x v="2"/>
    <n v="2026"/>
    <x v="0"/>
    <n v="127635.34"/>
    <n v="105.5"/>
    <n v="384"/>
    <n v="176"/>
    <s v="SUV"/>
    <n v="5"/>
    <x v="1"/>
    <x v="1"/>
    <n v="158325"/>
    <n v="4.24"/>
    <n v="5"/>
    <n v="20207865205.5"/>
  </r>
  <r>
    <x v="6"/>
    <x v="9"/>
    <n v="2026"/>
    <x v="3"/>
    <n v="59666.31"/>
    <n v="75.5"/>
    <n v="262"/>
    <n v="147"/>
    <s v="Sedan"/>
    <n v="4"/>
    <x v="4"/>
    <x v="2"/>
    <n v="130091"/>
    <n v="3.79"/>
    <n v="5"/>
    <n v="7762049934.21"/>
  </r>
  <r>
    <x v="3"/>
    <x v="42"/>
    <n v="2026"/>
    <x v="0"/>
    <n v="92189.49"/>
    <n v="91.2"/>
    <n v="317"/>
    <n v="188"/>
    <s v="Coupe"/>
    <n v="4"/>
    <x v="2"/>
    <x v="0"/>
    <n v="158795"/>
    <n v="3.92"/>
    <n v="3"/>
    <n v="14639230064.550001"/>
  </r>
  <r>
    <x v="5"/>
    <x v="7"/>
    <n v="2026"/>
    <x v="1"/>
    <n v="71757.16"/>
    <n v="96"/>
    <n v="336"/>
    <n v="181"/>
    <s v="Truck"/>
    <n v="5"/>
    <x v="4"/>
    <x v="0"/>
    <n v="123775"/>
    <n v="3.66"/>
    <n v="3"/>
    <n v="8881742479"/>
  </r>
  <r>
    <x v="3"/>
    <x v="3"/>
    <n v="2026"/>
    <x v="1"/>
    <n v="71385.39"/>
    <n v="109.6"/>
    <n v="380"/>
    <n v="193"/>
    <s v="Coupe"/>
    <n v="4"/>
    <x v="2"/>
    <x v="0"/>
    <n v="234079"/>
    <n v="3.75"/>
    <n v="4"/>
    <n v="16709820705.809999"/>
  </r>
  <r>
    <x v="2"/>
    <x v="2"/>
    <n v="2026"/>
    <x v="1"/>
    <n v="173601"/>
    <n v="82"/>
    <n v="301"/>
    <n v="184"/>
    <s v="Truck"/>
    <n v="4"/>
    <x v="1"/>
    <x v="1"/>
    <n v="192234"/>
    <n v="3.86"/>
    <n v="4"/>
    <n v="33372014634"/>
  </r>
  <r>
    <x v="2"/>
    <x v="2"/>
    <n v="2026"/>
    <x v="1"/>
    <n v="120237.63"/>
    <n v="106.4"/>
    <n v="374"/>
    <n v="197"/>
    <s v="Van"/>
    <n v="3"/>
    <x v="1"/>
    <x v="1"/>
    <n v="139118"/>
    <n v="4.3600000000000003"/>
    <n v="5"/>
    <n v="16727218610.34"/>
  </r>
  <r>
    <x v="6"/>
    <x v="53"/>
    <n v="2026"/>
    <x v="4"/>
    <n v="95007.35"/>
    <n v="71.5"/>
    <n v="249"/>
    <n v="152"/>
    <s v="Hatchback"/>
    <n v="3"/>
    <x v="4"/>
    <x v="0"/>
    <n v="111030"/>
    <n v="3.22"/>
    <n v="3"/>
    <n v="10548666070.5"/>
  </r>
  <r>
    <x v="2"/>
    <x v="5"/>
    <n v="2026"/>
    <x v="3"/>
    <n v="53435.31"/>
    <n v="80.3"/>
    <n v="259"/>
    <n v="162"/>
    <s v="Hatchback"/>
    <n v="4"/>
    <x v="1"/>
    <x v="2"/>
    <n v="467122"/>
    <n v="3.87"/>
    <n v="4"/>
    <n v="24960808877.82"/>
  </r>
  <r>
    <x v="12"/>
    <x v="36"/>
    <n v="2026"/>
    <x v="0"/>
    <n v="54836.04"/>
    <n v="109.7"/>
    <n v="385"/>
    <n v="183"/>
    <s v="Hatchback"/>
    <n v="5"/>
    <x v="1"/>
    <x v="2"/>
    <n v="17331"/>
    <n v="3.77"/>
    <n v="5"/>
    <n v="950363409.24000001"/>
  </r>
  <r>
    <x v="3"/>
    <x v="8"/>
    <n v="2026"/>
    <x v="1"/>
    <n v="31398.12"/>
    <n v="100.6"/>
    <n v="352"/>
    <n v="200"/>
    <s v="Hatchback"/>
    <n v="5"/>
    <x v="2"/>
    <x v="3"/>
    <n v="240918"/>
    <n v="3.58"/>
    <n v="3"/>
    <n v="7564372274.1599998"/>
  </r>
  <r>
    <x v="3"/>
    <x v="42"/>
    <n v="2026"/>
    <x v="4"/>
    <n v="58741.09"/>
    <n v="43.2"/>
    <n v="166"/>
    <n v="171"/>
    <s v="Sedan"/>
    <n v="5"/>
    <x v="2"/>
    <x v="2"/>
    <n v="193352"/>
    <n v="3.21"/>
    <n v="4"/>
    <n v="11357707233.679998"/>
  </r>
  <r>
    <x v="5"/>
    <x v="7"/>
    <n v="2026"/>
    <x v="1"/>
    <n v="89456.85"/>
    <n v="106.6"/>
    <n v="392"/>
    <n v="199"/>
    <s v="Van"/>
    <n v="4"/>
    <x v="4"/>
    <x v="0"/>
    <n v="55244"/>
    <n v="3.99"/>
    <n v="4"/>
    <n v="4941954221.4000006"/>
  </r>
  <r>
    <x v="2"/>
    <x v="17"/>
    <n v="2026"/>
    <x v="4"/>
    <n v="123396.13"/>
    <n v="65.5"/>
    <n v="201"/>
    <n v="135"/>
    <s v="Coupe"/>
    <n v="4"/>
    <x v="1"/>
    <x v="1"/>
    <n v="179193"/>
    <n v="3.78"/>
    <n v="5"/>
    <n v="22111722723.09"/>
  </r>
  <r>
    <x v="6"/>
    <x v="50"/>
    <n v="2026"/>
    <x v="3"/>
    <n v="40896.410000000003"/>
    <n v="84.8"/>
    <n v="286"/>
    <n v="148"/>
    <s v="Truck"/>
    <n v="4"/>
    <x v="4"/>
    <x v="2"/>
    <n v="60452"/>
    <n v="3.61"/>
    <n v="4"/>
    <n v="2472269777.3200002"/>
  </r>
  <r>
    <x v="7"/>
    <x v="44"/>
    <n v="2026"/>
    <x v="1"/>
    <n v="72231.360000000001"/>
    <n v="115"/>
    <n v="387"/>
    <n v="200"/>
    <s v="Sedan"/>
    <n v="4"/>
    <x v="3"/>
    <x v="0"/>
    <n v="241869"/>
    <n v="4.05"/>
    <n v="4"/>
    <n v="17470526811.84"/>
  </r>
  <r>
    <x v="2"/>
    <x v="2"/>
    <n v="2026"/>
    <x v="2"/>
    <n v="119620.48"/>
    <n v="41.3"/>
    <n v="150"/>
    <n v="162"/>
    <s v="Van"/>
    <n v="4"/>
    <x v="1"/>
    <x v="1"/>
    <n v="186324"/>
    <n v="3.52"/>
    <n v="5"/>
    <n v="22288166315.52"/>
  </r>
  <r>
    <x v="6"/>
    <x v="53"/>
    <n v="2026"/>
    <x v="4"/>
    <n v="83199.83"/>
    <n v="49.6"/>
    <n v="161"/>
    <n v="135"/>
    <s v="Sedan"/>
    <n v="3"/>
    <x v="4"/>
    <x v="0"/>
    <n v="92496"/>
    <n v="3.22"/>
    <n v="3"/>
    <n v="7695651475.6800003"/>
  </r>
  <r>
    <x v="12"/>
    <x v="46"/>
    <n v="2026"/>
    <x v="1"/>
    <n v="71801.02"/>
    <n v="84.4"/>
    <n v="304"/>
    <n v="200"/>
    <s v="SUV"/>
    <n v="4"/>
    <x v="1"/>
    <x v="0"/>
    <n v="4745"/>
    <n v="3.45"/>
    <n v="4"/>
    <n v="340695839.90000004"/>
  </r>
  <r>
    <x v="2"/>
    <x v="31"/>
    <n v="2026"/>
    <x v="3"/>
    <n v="39888.42"/>
    <n v="83.1"/>
    <n v="277"/>
    <n v="136"/>
    <s v="Truck"/>
    <n v="4"/>
    <x v="1"/>
    <x v="2"/>
    <n v="224642"/>
    <n v="3.64"/>
    <n v="5"/>
    <n v="8960614445.6399994"/>
  </r>
  <r>
    <x v="2"/>
    <x v="35"/>
    <n v="2026"/>
    <x v="2"/>
    <n v="31180.54"/>
    <n v="72.3"/>
    <n v="241"/>
    <n v="142"/>
    <s v="Van"/>
    <n v="4"/>
    <x v="1"/>
    <x v="3"/>
    <n v="143060"/>
    <n v="3.87"/>
    <n v="4"/>
    <n v="4460688052.4000006"/>
  </r>
  <r>
    <x v="9"/>
    <x v="16"/>
    <n v="2026"/>
    <x v="0"/>
    <n v="125686.6"/>
    <n v="91.1"/>
    <n v="335"/>
    <n v="160"/>
    <s v="Truck"/>
    <n v="5"/>
    <x v="3"/>
    <x v="1"/>
    <n v="50691"/>
    <n v="3.66"/>
    <n v="6"/>
    <n v="6371179440.6000004"/>
  </r>
  <r>
    <x v="8"/>
    <x v="60"/>
    <n v="2026"/>
    <x v="0"/>
    <n v="61924.92"/>
    <n v="108.2"/>
    <n v="354"/>
    <n v="168"/>
    <s v="Van"/>
    <n v="4"/>
    <x v="1"/>
    <x v="2"/>
    <n v="37462"/>
    <n v="3.75"/>
    <n v="5"/>
    <n v="2319831353.04"/>
  </r>
  <r>
    <x v="5"/>
    <x v="15"/>
    <n v="2026"/>
    <x v="3"/>
    <n v="75695.59"/>
    <n v="58.1"/>
    <n v="208"/>
    <n v="151"/>
    <s v="SUV"/>
    <n v="4"/>
    <x v="4"/>
    <x v="0"/>
    <n v="99994"/>
    <n v="3.36"/>
    <n v="4"/>
    <n v="7569104826.46"/>
  </r>
  <r>
    <x v="12"/>
    <x v="36"/>
    <n v="2026"/>
    <x v="4"/>
    <n v="71451.17"/>
    <n v="77"/>
    <n v="267"/>
    <n v="130"/>
    <s v="Van"/>
    <n v="5"/>
    <x v="1"/>
    <x v="0"/>
    <n v="1367"/>
    <n v="3.49"/>
    <n v="3"/>
    <n v="97673749.390000001"/>
  </r>
  <r>
    <x v="7"/>
    <x v="27"/>
    <n v="2026"/>
    <x v="1"/>
    <n v="77434.92"/>
    <n v="112.5"/>
    <n v="381"/>
    <n v="195"/>
    <s v="Sedan"/>
    <n v="5"/>
    <x v="3"/>
    <x v="0"/>
    <n v="250773"/>
    <n v="3.82"/>
    <n v="3"/>
    <n v="19418587193.16"/>
  </r>
  <r>
    <x v="2"/>
    <x v="5"/>
    <n v="2026"/>
    <x v="0"/>
    <n v="43501.07"/>
    <n v="92.1"/>
    <n v="328"/>
    <n v="177"/>
    <s v="Hatchback"/>
    <n v="4"/>
    <x v="1"/>
    <x v="2"/>
    <n v="417203"/>
    <n v="3.88"/>
    <n v="6"/>
    <n v="18148776907.209999"/>
  </r>
  <r>
    <x v="8"/>
    <x v="34"/>
    <n v="2026"/>
    <x v="4"/>
    <n v="99667.98"/>
    <n v="62.4"/>
    <n v="220"/>
    <n v="163"/>
    <s v="Sedan"/>
    <n v="5"/>
    <x v="1"/>
    <x v="0"/>
    <n v="21835"/>
    <n v="3.4"/>
    <n v="3"/>
    <n v="2176250343.2999997"/>
  </r>
  <r>
    <x v="5"/>
    <x v="23"/>
    <n v="2026"/>
    <x v="1"/>
    <n v="46823.3"/>
    <n v="98.4"/>
    <n v="366"/>
    <n v="198"/>
    <s v="Sedan"/>
    <n v="3"/>
    <x v="4"/>
    <x v="2"/>
    <n v="141318"/>
    <n v="3.75"/>
    <n v="3"/>
    <n v="6616975109.4000006"/>
  </r>
  <r>
    <x v="2"/>
    <x v="31"/>
    <n v="2026"/>
    <x v="1"/>
    <n v="70200.56"/>
    <n v="85"/>
    <n v="286"/>
    <n v="189"/>
    <s v="Truck"/>
    <n v="5"/>
    <x v="1"/>
    <x v="0"/>
    <n v="166507"/>
    <n v="3.89"/>
    <n v="4"/>
    <n v="11688884643.92"/>
  </r>
  <r>
    <x v="13"/>
    <x v="33"/>
    <n v="2026"/>
    <x v="4"/>
    <n v="93286.78"/>
    <n v="82.1"/>
    <n v="282"/>
    <n v="136"/>
    <s v="Hatchback"/>
    <n v="3"/>
    <x v="3"/>
    <x v="0"/>
    <n v="49781"/>
    <n v="3.74"/>
    <n v="8"/>
    <n v="4643909195.1800003"/>
  </r>
  <r>
    <x v="6"/>
    <x v="20"/>
    <n v="2026"/>
    <x v="3"/>
    <n v="37257.29"/>
    <n v="52.5"/>
    <n v="164"/>
    <n v="160"/>
    <s v="SUV"/>
    <n v="3"/>
    <x v="4"/>
    <x v="2"/>
    <n v="64933"/>
    <n v="3.24"/>
    <n v="5"/>
    <n v="2419227611.5700002"/>
  </r>
  <r>
    <x v="7"/>
    <x v="10"/>
    <n v="2026"/>
    <x v="2"/>
    <n v="69452.44"/>
    <n v="63.6"/>
    <n v="224"/>
    <n v="148"/>
    <s v="Van"/>
    <n v="4"/>
    <x v="3"/>
    <x v="0"/>
    <n v="260693"/>
    <n v="3.66"/>
    <n v="5"/>
    <n v="18105764940.920002"/>
  </r>
  <r>
    <x v="2"/>
    <x v="2"/>
    <n v="2026"/>
    <x v="2"/>
    <n v="119417.95"/>
    <n v="65.3"/>
    <n v="248"/>
    <n v="145"/>
    <s v="Sedan"/>
    <n v="5"/>
    <x v="1"/>
    <x v="1"/>
    <n v="170811"/>
    <n v="3.7"/>
    <n v="4"/>
    <n v="20397899457.450001"/>
  </r>
  <r>
    <x v="2"/>
    <x v="35"/>
    <n v="2026"/>
    <x v="4"/>
    <n v="139665.73000000001"/>
    <n v="70.7"/>
    <n v="248"/>
    <n v="175"/>
    <s v="Coupe"/>
    <n v="3"/>
    <x v="1"/>
    <x v="1"/>
    <n v="165373"/>
    <n v="3.66"/>
    <n v="4"/>
    <n v="23096940767.290001"/>
  </r>
  <r>
    <x v="20"/>
    <x v="76"/>
    <m/>
    <x v="5"/>
    <m/>
    <m/>
    <m/>
    <m/>
    <m/>
    <m/>
    <x v="6"/>
    <x v="4"/>
    <m/>
    <m/>
    <m/>
    <n v="20224928609589.87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s v="bZ Compact SUV"/>
    <x v="0"/>
    <x v="0"/>
    <n v="70748.34"/>
    <n v="94.2"/>
    <n v="335"/>
    <n v="169"/>
    <s v="SUV"/>
    <n v="5"/>
    <s v="Premium"/>
    <n v="2261"/>
    <n v="3.72"/>
    <n v="159961996.73999998"/>
  </r>
  <r>
    <x v="1"/>
    <s v="Ronin"/>
    <x v="0"/>
    <x v="1"/>
    <n v="143106.79"/>
    <n v="75.3"/>
    <n v="272"/>
    <n v="197"/>
    <s v="Hatchback"/>
    <n v="4"/>
    <s v="Luxury"/>
    <n v="18708"/>
    <n v="3.53"/>
    <n v="2677241827.3200002"/>
  </r>
  <r>
    <x v="2"/>
    <s v="Model S"/>
    <x v="0"/>
    <x v="1"/>
    <n v="102900.51"/>
    <n v="74.099999999999994"/>
    <n v="231"/>
    <n v="200"/>
    <s v="Truck"/>
    <n v="3"/>
    <s v="Luxury"/>
    <n v="184383"/>
    <n v="3.8"/>
    <n v="18973104735.329998"/>
  </r>
  <r>
    <x v="3"/>
    <s v="Max"/>
    <x v="0"/>
    <x v="2"/>
    <n v="67729.77"/>
    <n v="44.2"/>
    <n v="157"/>
    <n v="137"/>
    <s v="Truck"/>
    <n v="4"/>
    <s v="Premium"/>
    <n v="160145"/>
    <n v="3.2"/>
    <n v="10846584016.650002"/>
  </r>
  <r>
    <x v="4"/>
    <s v="Q6 e-tron"/>
    <x v="0"/>
    <x v="0"/>
    <n v="76665.86"/>
    <n v="103.7"/>
    <n v="353"/>
    <n v="165"/>
    <s v="Hatchback"/>
    <n v="4"/>
    <s v="Premium"/>
    <n v="32828"/>
    <n v="3.4"/>
    <n v="2516786852.0799999"/>
  </r>
  <r>
    <x v="2"/>
    <s v="Model Y"/>
    <x v="0"/>
    <x v="0"/>
    <n v="96390.76"/>
    <n v="80.400000000000006"/>
    <n v="287"/>
    <n v="160"/>
    <s v="Van"/>
    <n v="4"/>
    <s v="Premium"/>
    <n v="498047"/>
    <n v="3.82"/>
    <n v="48007128845.719994"/>
  </r>
  <r>
    <x v="3"/>
    <s v="Atto 3"/>
    <x v="0"/>
    <x v="1"/>
    <n v="102787.75"/>
    <n v="92.6"/>
    <n v="323"/>
    <n v="194"/>
    <s v="Van"/>
    <n v="4"/>
    <s v="Luxury"/>
    <n v="117639"/>
    <n v="3.79"/>
    <n v="12091848122.25"/>
  </r>
  <r>
    <x v="5"/>
    <s v="Niro EV"/>
    <x v="0"/>
    <x v="2"/>
    <n v="46532.99"/>
    <n v="75.900000000000006"/>
    <n v="260"/>
    <n v="156"/>
    <s v="Van"/>
    <n v="4"/>
    <s v="Mid-range"/>
    <n v="63258"/>
    <n v="3.48"/>
    <n v="2943583881.4200001"/>
  </r>
  <r>
    <x v="3"/>
    <s v="Dolphin"/>
    <x v="0"/>
    <x v="3"/>
    <n v="70472.75"/>
    <n v="66.3"/>
    <n v="241"/>
    <n v="138"/>
    <s v="Van"/>
    <n v="3"/>
    <s v="Premium"/>
    <n v="199656"/>
    <n v="3.4"/>
    <n v="14070307374"/>
  </r>
  <r>
    <x v="6"/>
    <s v="Ioniq 5"/>
    <x v="0"/>
    <x v="3"/>
    <n v="50630.65"/>
    <n v="64"/>
    <n v="203"/>
    <n v="171"/>
    <s v="Hatchback"/>
    <n v="5"/>
    <s v="Mid-range"/>
    <n v="60112"/>
    <n v="3.39"/>
    <n v="3043509632.8000002"/>
  </r>
  <r>
    <x v="4"/>
    <s v="Q6 e-tron"/>
    <x v="0"/>
    <x v="3"/>
    <n v="102595.23"/>
    <n v="84.1"/>
    <n v="278"/>
    <n v="128"/>
    <s v="Coupe"/>
    <n v="3"/>
    <s v="Luxury"/>
    <n v="45569"/>
    <n v="3.67"/>
    <n v="4675162035.8699999"/>
  </r>
  <r>
    <x v="7"/>
    <s v="ID. Aero"/>
    <x v="0"/>
    <x v="0"/>
    <n v="40762.980000000003"/>
    <n v="101.5"/>
    <n v="332"/>
    <n v="164"/>
    <s v="Coupe"/>
    <n v="4"/>
    <s v="Mid-range"/>
    <n v="220087"/>
    <n v="3.39"/>
    <n v="8971401979.2600002"/>
  </r>
  <r>
    <x v="0"/>
    <s v="bZ Compact SUV"/>
    <x v="0"/>
    <x v="2"/>
    <n v="47569.79"/>
    <n v="41.5"/>
    <n v="160"/>
    <n v="133"/>
    <s v="SUV"/>
    <n v="4"/>
    <s v="Mid-range"/>
    <n v="28709"/>
    <n v="3.17"/>
    <n v="1365681101.1100001"/>
  </r>
  <r>
    <x v="3"/>
    <s v="Seagull"/>
    <x v="0"/>
    <x v="0"/>
    <n v="48719.93"/>
    <n v="95.3"/>
    <n v="342"/>
    <n v="166"/>
    <s v="Coupe"/>
    <n v="4"/>
    <s v="Mid-range"/>
    <n v="158941"/>
    <n v="3.72"/>
    <n v="7743594394.1300001"/>
  </r>
  <r>
    <x v="8"/>
    <s v="F-150 Lightning"/>
    <x v="0"/>
    <x v="0"/>
    <n v="67768.09"/>
    <n v="83.3"/>
    <n v="291"/>
    <n v="173"/>
    <s v="Truck"/>
    <n v="5"/>
    <s v="Premium"/>
    <n v="25258"/>
    <n v="3.54"/>
    <n v="1711686417.22"/>
  </r>
  <r>
    <x v="5"/>
    <s v="Picanto EV"/>
    <x v="0"/>
    <x v="2"/>
    <n v="44609.33"/>
    <n v="80.3"/>
    <n v="255"/>
    <n v="155"/>
    <s v="Sedan"/>
    <n v="4"/>
    <s v="Mid-range"/>
    <n v="62067"/>
    <n v="3.61"/>
    <n v="2768767285.1100001"/>
  </r>
  <r>
    <x v="3"/>
    <s v="Qin"/>
    <x v="0"/>
    <x v="0"/>
    <n v="36752.050000000003"/>
    <n v="84.7"/>
    <n v="308"/>
    <n v="189"/>
    <s v="Sedan"/>
    <n v="4"/>
    <s v="Mid-range"/>
    <n v="178041"/>
    <n v="3.55"/>
    <n v="6543371734.0500002"/>
  </r>
  <r>
    <x v="5"/>
    <s v="Sportage EV"/>
    <x v="0"/>
    <x v="3"/>
    <n v="26731.95"/>
    <n v="75.8"/>
    <n v="257"/>
    <n v="160"/>
    <s v="SUV"/>
    <n v="5"/>
    <s v="Budget"/>
    <n v="147499"/>
    <n v="3.27"/>
    <n v="3942935893.0500002"/>
  </r>
  <r>
    <x v="9"/>
    <s v="i5"/>
    <x v="0"/>
    <x v="2"/>
    <n v="93337.36"/>
    <n v="72.7"/>
    <n v="232"/>
    <n v="176"/>
    <s v="Truck"/>
    <n v="5"/>
    <s v="Premium"/>
    <n v="25170"/>
    <n v="3.43"/>
    <n v="2349301351.1999998"/>
  </r>
  <r>
    <x v="2"/>
    <s v="Model S"/>
    <x v="0"/>
    <x v="1"/>
    <n v="164703.81"/>
    <n v="113.2"/>
    <n v="397"/>
    <n v="187"/>
    <s v="Sedan"/>
    <n v="5"/>
    <s v="Luxury"/>
    <n v="159470"/>
    <n v="4.1100000000000003"/>
    <n v="26265316580.700001"/>
  </r>
  <r>
    <x v="2"/>
    <s v="Model 3"/>
    <x v="0"/>
    <x v="0"/>
    <n v="65735.100000000006"/>
    <n v="91.3"/>
    <n v="319"/>
    <n v="178"/>
    <s v="Coupe"/>
    <n v="3"/>
    <s v="Premium"/>
    <n v="120134"/>
    <n v="4.09"/>
    <n v="7897020503.4000006"/>
  </r>
  <r>
    <x v="10"/>
    <n v="2"/>
    <x v="0"/>
    <x v="2"/>
    <n v="82455.28"/>
    <n v="57.3"/>
    <n v="204"/>
    <n v="156"/>
    <s v="Van"/>
    <n v="4"/>
    <s v="Premium"/>
    <n v="12945"/>
    <n v="3.41"/>
    <n v="1067383599.6"/>
  </r>
  <r>
    <x v="0"/>
    <s v="bZ Compact SUV"/>
    <x v="0"/>
    <x v="2"/>
    <n v="30416.52"/>
    <n v="72.2"/>
    <n v="257"/>
    <n v="153"/>
    <s v="SUV"/>
    <n v="4"/>
    <s v="Budget"/>
    <n v="15941"/>
    <n v="3.54"/>
    <n v="484869745.31999999"/>
  </r>
  <r>
    <x v="9"/>
    <s v="i7"/>
    <x v="0"/>
    <x v="4"/>
    <n v="84308.51"/>
    <n v="76.3"/>
    <n v="242"/>
    <n v="144"/>
    <s v="Truck"/>
    <n v="5"/>
    <s v="Premium"/>
    <n v="53466"/>
    <n v="3.48"/>
    <n v="4507638795.6599998"/>
  </r>
  <r>
    <x v="6"/>
    <s v="Ioniq"/>
    <x v="0"/>
    <x v="1"/>
    <n v="74306.48"/>
    <n v="85.9"/>
    <n v="286"/>
    <n v="200"/>
    <s v="Truck"/>
    <n v="5"/>
    <s v="Premium"/>
    <n v="113130"/>
    <n v="3.67"/>
    <n v="8406292082.3999996"/>
  </r>
  <r>
    <x v="8"/>
    <s v="E-Transit"/>
    <x v="0"/>
    <x v="3"/>
    <n v="62155.3"/>
    <n v="60.7"/>
    <n v="186"/>
    <n v="161"/>
    <s v="Van"/>
    <n v="5"/>
    <s v="Mid-range"/>
    <n v="60595"/>
    <n v="3.4"/>
    <n v="3766300403.5"/>
  </r>
  <r>
    <x v="5"/>
    <s v="EV9"/>
    <x v="0"/>
    <x v="0"/>
    <n v="70023.960000000006"/>
    <n v="107.3"/>
    <n v="379"/>
    <n v="190"/>
    <s v="SUV"/>
    <n v="5"/>
    <s v="Premium"/>
    <n v="63318"/>
    <n v="3.7"/>
    <n v="4433777099.2800007"/>
  </r>
  <r>
    <x v="3"/>
    <s v="Seagull"/>
    <x v="0"/>
    <x v="1"/>
    <n v="61584.07"/>
    <n v="117"/>
    <n v="409"/>
    <n v="196"/>
    <s v="Sedan"/>
    <n v="5"/>
    <s v="Mid-range"/>
    <n v="190643"/>
    <n v="3.93"/>
    <n v="11740571857.01"/>
  </r>
  <r>
    <x v="5"/>
    <s v="EV6"/>
    <x v="0"/>
    <x v="3"/>
    <n v="29338.85"/>
    <n v="40.5"/>
    <n v="157"/>
    <n v="165"/>
    <s v="SUV"/>
    <n v="4"/>
    <s v="Budget"/>
    <n v="61921"/>
    <n v="3.18"/>
    <n v="1816690930.8499999"/>
  </r>
  <r>
    <x v="7"/>
    <s v="ID.4"/>
    <x v="0"/>
    <x v="4"/>
    <n v="48608.56"/>
    <n v="41.4"/>
    <n v="163"/>
    <n v="175"/>
    <s v="Truck"/>
    <n v="5"/>
    <s v="Mid-range"/>
    <n v="221203"/>
    <n v="3.43"/>
    <n v="10752359297.68"/>
  </r>
  <r>
    <x v="9"/>
    <s v="i5"/>
    <x v="0"/>
    <x v="3"/>
    <n v="94185.600000000006"/>
    <n v="41.2"/>
    <n v="150"/>
    <n v="159"/>
    <s v="Coupe"/>
    <n v="4"/>
    <s v="Premium"/>
    <n v="43577"/>
    <n v="3.37"/>
    <n v="4104325891.2000003"/>
  </r>
  <r>
    <x v="11"/>
    <s v="R2"/>
    <x v="0"/>
    <x v="3"/>
    <n v="74902.509999999995"/>
    <n v="63.7"/>
    <n v="219"/>
    <n v="142"/>
    <s v="Coupe"/>
    <n v="4"/>
    <s v="Premium"/>
    <n v="16890"/>
    <n v="3.32"/>
    <n v="1265103393.8999999"/>
  </r>
  <r>
    <x v="11"/>
    <s v="R1T"/>
    <x v="0"/>
    <x v="2"/>
    <n v="64055.95"/>
    <n v="77.900000000000006"/>
    <n v="280"/>
    <n v="136"/>
    <s v="Truck"/>
    <n v="5"/>
    <s v="Mid-range"/>
    <n v="12678"/>
    <n v="3.7"/>
    <n v="812101334.0999999"/>
  </r>
  <r>
    <x v="7"/>
    <s v="ID.4"/>
    <x v="0"/>
    <x v="2"/>
    <n v="27139.23"/>
    <n v="78.900000000000006"/>
    <n v="261"/>
    <n v="130"/>
    <s v="Hatchback"/>
    <n v="4"/>
    <s v="Budget"/>
    <n v="271891"/>
    <n v="3.57"/>
    <n v="7378912383.9300003"/>
  </r>
  <r>
    <x v="7"/>
    <s v="ID.3"/>
    <x v="0"/>
    <x v="0"/>
    <n v="81317.3"/>
    <n v="77.900000000000006"/>
    <n v="298"/>
    <n v="182"/>
    <s v="Truck"/>
    <n v="4"/>
    <s v="Premium"/>
    <n v="205086"/>
    <n v="3.62"/>
    <n v="16677039787.800001"/>
  </r>
  <r>
    <x v="5"/>
    <s v="Picanto EV"/>
    <x v="0"/>
    <x v="1"/>
    <n v="51182.15"/>
    <n v="115.1"/>
    <n v="444"/>
    <n v="200"/>
    <s v="Van"/>
    <n v="5"/>
    <s v="Mid-range"/>
    <n v="106543"/>
    <n v="3.82"/>
    <n v="5453099807.4499998"/>
  </r>
  <r>
    <x v="7"/>
    <s v="ID. Buzz"/>
    <x v="0"/>
    <x v="3"/>
    <n v="72240.69"/>
    <n v="59.6"/>
    <n v="178"/>
    <n v="143"/>
    <s v="Sedan"/>
    <n v="4"/>
    <s v="Premium"/>
    <n v="255858"/>
    <n v="3.29"/>
    <n v="18483358462.02"/>
  </r>
  <r>
    <x v="5"/>
    <s v="EV9"/>
    <x v="0"/>
    <x v="2"/>
    <n v="33055.17"/>
    <n v="58.2"/>
    <n v="200"/>
    <n v="158"/>
    <s v="SUV"/>
    <n v="4"/>
    <s v="Budget"/>
    <n v="139463"/>
    <n v="3.31"/>
    <n v="4609973173.71"/>
  </r>
  <r>
    <x v="12"/>
    <s v="Silverado EV"/>
    <x v="0"/>
    <x v="0"/>
    <n v="45327.78"/>
    <n v="86.2"/>
    <n v="305"/>
    <n v="174"/>
    <s v="Coupe"/>
    <n v="4"/>
    <s v="Mid-range"/>
    <n v="20824"/>
    <n v="3.63"/>
    <n v="943905690.72000003"/>
  </r>
  <r>
    <x v="5"/>
    <s v="Niro EV"/>
    <x v="1"/>
    <x v="4"/>
    <n v="80530.570000000007"/>
    <n v="54.6"/>
    <n v="184"/>
    <n v="137"/>
    <s v="Hatchback"/>
    <n v="3"/>
    <s v="Premium"/>
    <n v="90830"/>
    <n v="3.11"/>
    <n v="7314591673.1000004"/>
  </r>
  <r>
    <x v="7"/>
    <s v="ID.3"/>
    <x v="1"/>
    <x v="0"/>
    <n v="52966.98"/>
    <n v="96.8"/>
    <n v="311"/>
    <n v="171"/>
    <s v="Coupe"/>
    <n v="5"/>
    <s v="Mid-range"/>
    <n v="232633"/>
    <n v="3.55"/>
    <n v="12321867458.34"/>
  </r>
  <r>
    <x v="11"/>
    <s v="R3"/>
    <x v="1"/>
    <x v="2"/>
    <n v="60978.95"/>
    <n v="84.5"/>
    <n v="304"/>
    <n v="153"/>
    <s v="Hatchback"/>
    <n v="5"/>
    <s v="Mid-range"/>
    <n v="7599"/>
    <n v="3.41"/>
    <n v="463379041.04999995"/>
  </r>
  <r>
    <x v="6"/>
    <s v="Ioniq"/>
    <x v="1"/>
    <x v="4"/>
    <n v="81529.22"/>
    <n v="52"/>
    <n v="173"/>
    <n v="175"/>
    <s v="Truck"/>
    <n v="4"/>
    <s v="Premium"/>
    <n v="137712"/>
    <n v="3.33"/>
    <n v="11227551944.639999"/>
  </r>
  <r>
    <x v="3"/>
    <s v="Qin"/>
    <x v="1"/>
    <x v="3"/>
    <n v="47541.74"/>
    <n v="75.3"/>
    <n v="274"/>
    <n v="133"/>
    <s v="SUV"/>
    <n v="3"/>
    <s v="Mid-range"/>
    <n v="230454"/>
    <n v="3.4"/>
    <n v="10956184149.959999"/>
  </r>
  <r>
    <x v="2"/>
    <s v="Cybertruck"/>
    <x v="1"/>
    <x v="2"/>
    <n v="98646.080000000002"/>
    <n v="76"/>
    <n v="242"/>
    <n v="143"/>
    <s v="Truck"/>
    <n v="5"/>
    <s v="Premium"/>
    <n v="235244"/>
    <n v="3.9"/>
    <n v="23205898443.52"/>
  </r>
  <r>
    <x v="5"/>
    <s v="EV6"/>
    <x v="1"/>
    <x v="0"/>
    <n v="66633.95"/>
    <n v="75.099999999999994"/>
    <n v="272"/>
    <n v="170"/>
    <s v="Coupe"/>
    <n v="5"/>
    <s v="Premium"/>
    <n v="57850"/>
    <n v="3.25"/>
    <n v="3854774007.5"/>
  </r>
  <r>
    <x v="9"/>
    <s v="i5"/>
    <x v="1"/>
    <x v="3"/>
    <n v="94181.96"/>
    <n v="40.799999999999997"/>
    <n v="160"/>
    <n v="176"/>
    <s v="Coupe"/>
    <n v="5"/>
    <s v="Premium"/>
    <n v="79673"/>
    <n v="3.08"/>
    <n v="7503759299.0800009"/>
  </r>
  <r>
    <x v="7"/>
    <s v="ID.4"/>
    <x v="1"/>
    <x v="4"/>
    <n v="107417.79"/>
    <n v="54.2"/>
    <n v="201"/>
    <n v="176"/>
    <s v="Hatchback"/>
    <n v="5"/>
    <s v="Luxury"/>
    <n v="254098"/>
    <n v="3.37"/>
    <n v="27294645603.419998"/>
  </r>
  <r>
    <x v="4"/>
    <s v="e-tron GT"/>
    <x v="1"/>
    <x v="2"/>
    <n v="80311.97"/>
    <n v="74.599999999999994"/>
    <n v="241"/>
    <n v="157"/>
    <s v="Sedan"/>
    <n v="5"/>
    <s v="Premium"/>
    <n v="55803"/>
    <n v="3.52"/>
    <n v="4481648861.9099998"/>
  </r>
  <r>
    <x v="13"/>
    <s v="EQE"/>
    <x v="1"/>
    <x v="1"/>
    <n v="165233.4"/>
    <n v="100.3"/>
    <n v="329"/>
    <n v="194"/>
    <s v="Van"/>
    <n v="4"/>
    <s v="Luxury"/>
    <n v="35726"/>
    <n v="3.78"/>
    <n v="5903128448.3999996"/>
  </r>
  <r>
    <x v="8"/>
    <s v="Explorer EV"/>
    <x v="1"/>
    <x v="0"/>
    <n v="77562.36"/>
    <n v="104.2"/>
    <n v="348"/>
    <n v="156"/>
    <s v="Hatchback"/>
    <n v="4"/>
    <s v="Premium"/>
    <n v="27293"/>
    <n v="3.54"/>
    <n v="2116909491.48"/>
  </r>
  <r>
    <x v="8"/>
    <s v="F-150 Lightning"/>
    <x v="1"/>
    <x v="2"/>
    <n v="63458.62"/>
    <n v="66.8"/>
    <n v="253"/>
    <n v="136"/>
    <s v="Truck"/>
    <n v="4"/>
    <s v="Mid-range"/>
    <n v="76517"/>
    <n v="3.4"/>
    <n v="4855663226.54"/>
  </r>
  <r>
    <x v="2"/>
    <s v="Model X"/>
    <x v="1"/>
    <x v="3"/>
    <n v="27945.8"/>
    <n v="48.4"/>
    <n v="157"/>
    <n v="149"/>
    <s v="Hatchback"/>
    <n v="5"/>
    <s v="Budget"/>
    <n v="162791"/>
    <n v="3.38"/>
    <n v="4549324727.8000002"/>
  </r>
  <r>
    <x v="3"/>
    <s v="Seagull"/>
    <x v="1"/>
    <x v="3"/>
    <n v="73231.02"/>
    <n v="46.1"/>
    <n v="166"/>
    <n v="141"/>
    <s v="Sedan"/>
    <n v="4"/>
    <s v="Premium"/>
    <n v="227938"/>
    <n v="3.21"/>
    <n v="16692132236.76"/>
  </r>
  <r>
    <x v="2"/>
    <s v="Model Y"/>
    <x v="1"/>
    <x v="3"/>
    <n v="49771.040000000001"/>
    <n v="62.5"/>
    <n v="225"/>
    <n v="175"/>
    <s v="Coupe"/>
    <n v="3"/>
    <s v="Mid-range"/>
    <n v="483023"/>
    <n v="3.69"/>
    <n v="24040557053.920002"/>
  </r>
  <r>
    <x v="12"/>
    <s v="Bolt EUV"/>
    <x v="1"/>
    <x v="3"/>
    <n v="44183.28"/>
    <n v="58.8"/>
    <n v="207"/>
    <n v="169"/>
    <s v="Van"/>
    <n v="5"/>
    <s v="Mid-range"/>
    <n v="22786"/>
    <n v="3.51"/>
    <n v="1006760218.0799999"/>
  </r>
  <r>
    <x v="3"/>
    <s v="Leaf 50X"/>
    <x v="1"/>
    <x v="4"/>
    <n v="32842.629999999997"/>
    <n v="55.1"/>
    <n v="180"/>
    <n v="139"/>
    <s v="SUV"/>
    <n v="4"/>
    <s v="Budget"/>
    <n v="173134"/>
    <n v="3.1"/>
    <n v="5686175902.4199991"/>
  </r>
  <r>
    <x v="5"/>
    <s v="Niro EV"/>
    <x v="1"/>
    <x v="4"/>
    <n v="101333.39"/>
    <n v="70.5"/>
    <n v="249"/>
    <n v="170"/>
    <s v="Van"/>
    <n v="4"/>
    <s v="Luxury"/>
    <n v="89918"/>
    <n v="3.29"/>
    <n v="9111695762.0200005"/>
  </r>
  <r>
    <x v="3"/>
    <s v="Leaf 50X"/>
    <x v="1"/>
    <x v="1"/>
    <n v="86937.42"/>
    <n v="114.7"/>
    <n v="426"/>
    <n v="200"/>
    <s v="Sedan"/>
    <n v="5"/>
    <s v="Premium"/>
    <n v="145646"/>
    <n v="4.13"/>
    <n v="12662087473.32"/>
  </r>
  <r>
    <x v="5"/>
    <s v="EV9"/>
    <x v="1"/>
    <x v="0"/>
    <n v="60641.55"/>
    <n v="109.9"/>
    <n v="404"/>
    <n v="168"/>
    <s v="SUV"/>
    <n v="5"/>
    <s v="Mid-range"/>
    <n v="116742"/>
    <n v="3.9"/>
    <n v="7079415830.1000004"/>
  </r>
  <r>
    <x v="3"/>
    <s v="Leaf 50X"/>
    <x v="1"/>
    <x v="2"/>
    <n v="44708.41"/>
    <n v="55.8"/>
    <n v="204"/>
    <n v="146"/>
    <s v="Hatchback"/>
    <n v="4"/>
    <s v="Mid-range"/>
    <n v="132992"/>
    <n v="3.34"/>
    <n v="5945860862.7200003"/>
  </r>
  <r>
    <x v="9"/>
    <s v="iX"/>
    <x v="1"/>
    <x v="1"/>
    <n v="122478.25"/>
    <n v="85.4"/>
    <n v="288"/>
    <n v="194"/>
    <s v="Hatchback"/>
    <n v="3"/>
    <s v="Luxury"/>
    <n v="61194"/>
    <n v="3.64"/>
    <n v="7494934030.5"/>
  </r>
  <r>
    <x v="2"/>
    <s v="Model S"/>
    <x v="1"/>
    <x v="4"/>
    <n v="108109.05"/>
    <n v="82.6"/>
    <n v="273"/>
    <n v="128"/>
    <s v="Van"/>
    <n v="4"/>
    <s v="Luxury"/>
    <n v="201131"/>
    <n v="3.9"/>
    <n v="21744081335.549999"/>
  </r>
  <r>
    <x v="7"/>
    <s v="ID. Aero"/>
    <x v="1"/>
    <x v="0"/>
    <n v="76214.899999999994"/>
    <n v="92.3"/>
    <n v="348"/>
    <n v="172"/>
    <s v="Truck"/>
    <n v="5"/>
    <s v="Premium"/>
    <n v="249899"/>
    <n v="3.71"/>
    <n v="19046027295.099998"/>
  </r>
  <r>
    <x v="2"/>
    <s v="Model S"/>
    <x v="1"/>
    <x v="2"/>
    <n v="109935.85"/>
    <n v="84.2"/>
    <n v="288"/>
    <n v="127"/>
    <s v="Truck"/>
    <n v="4"/>
    <s v="Luxury"/>
    <n v="117148"/>
    <n v="3.95"/>
    <n v="12878764955.800001"/>
  </r>
  <r>
    <x v="2"/>
    <s v="Model 3"/>
    <x v="1"/>
    <x v="3"/>
    <n v="24979.98"/>
    <n v="81.099999999999994"/>
    <n v="271"/>
    <n v="135"/>
    <s v="Hatchback"/>
    <n v="5"/>
    <s v="Budget"/>
    <n v="132068"/>
    <n v="3.73"/>
    <n v="3299055998.6399999"/>
  </r>
  <r>
    <x v="3"/>
    <s v="Seagull"/>
    <x v="1"/>
    <x v="2"/>
    <n v="53782.86"/>
    <n v="84.7"/>
    <n v="314"/>
    <n v="169"/>
    <s v="Van"/>
    <n v="4"/>
    <s v="Mid-range"/>
    <n v="162990"/>
    <n v="3.75"/>
    <n v="8766068351.3999996"/>
  </r>
  <r>
    <x v="9"/>
    <s v="iX"/>
    <x v="1"/>
    <x v="3"/>
    <n v="82329.27"/>
    <n v="71.8"/>
    <n v="258"/>
    <n v="150"/>
    <s v="Hatchback"/>
    <n v="4"/>
    <s v="Premium"/>
    <n v="59553"/>
    <n v="3.74"/>
    <n v="4902955016.3100004"/>
  </r>
  <r>
    <x v="3"/>
    <s v="Atto 3"/>
    <x v="1"/>
    <x v="1"/>
    <n v="91712.12"/>
    <n v="80.099999999999994"/>
    <n v="268"/>
    <n v="193"/>
    <s v="Hatchback"/>
    <n v="5"/>
    <s v="Premium"/>
    <n v="177248"/>
    <n v="3.63"/>
    <n v="16255789845.759998"/>
  </r>
  <r>
    <x v="9"/>
    <s v="i5"/>
    <x v="1"/>
    <x v="4"/>
    <n v="139020.51"/>
    <n v="63.5"/>
    <n v="232"/>
    <n v="131"/>
    <s v="Truck"/>
    <n v="5"/>
    <s v="Luxury"/>
    <n v="48199"/>
    <n v="3.44"/>
    <n v="6700649561.4900007"/>
  </r>
  <r>
    <x v="7"/>
    <s v="ID. Aero"/>
    <x v="1"/>
    <x v="3"/>
    <n v="60392.45"/>
    <n v="68"/>
    <n v="225"/>
    <n v="137"/>
    <s v="Truck"/>
    <n v="3"/>
    <s v="Mid-range"/>
    <n v="256880"/>
    <n v="3.23"/>
    <n v="15513612556"/>
  </r>
  <r>
    <x v="2"/>
    <s v="Model X"/>
    <x v="1"/>
    <x v="4"/>
    <n v="97027.76"/>
    <n v="71.400000000000006"/>
    <n v="235"/>
    <n v="150"/>
    <s v="Van"/>
    <n v="4"/>
    <s v="Premium"/>
    <n v="229836"/>
    <n v="3.91"/>
    <n v="22300472247.360001"/>
  </r>
  <r>
    <x v="5"/>
    <s v="Niro EV"/>
    <x v="1"/>
    <x v="1"/>
    <n v="51783.96"/>
    <n v="99.9"/>
    <n v="345"/>
    <n v="197"/>
    <s v="SUV"/>
    <n v="5"/>
    <s v="Mid-range"/>
    <n v="94100"/>
    <n v="3.93"/>
    <n v="4872870636"/>
  </r>
  <r>
    <x v="9"/>
    <s v="i3"/>
    <x v="1"/>
    <x v="0"/>
    <n v="102095.14"/>
    <n v="106.5"/>
    <n v="364"/>
    <n v="178"/>
    <s v="Coupe"/>
    <n v="4"/>
    <s v="Luxury"/>
    <n v="29444"/>
    <n v="3.44"/>
    <n v="3006089302.1599998"/>
  </r>
  <r>
    <x v="4"/>
    <s v="e-tron"/>
    <x v="1"/>
    <x v="1"/>
    <n v="119078.45"/>
    <n v="118.6"/>
    <n v="396"/>
    <n v="200"/>
    <s v="Coupe"/>
    <n v="5"/>
    <s v="Luxury"/>
    <n v="62009"/>
    <n v="3.84"/>
    <n v="7383935606.0500002"/>
  </r>
  <r>
    <x v="3"/>
    <s v="Dolphin"/>
    <x v="1"/>
    <x v="1"/>
    <n v="43985.87"/>
    <n v="97.2"/>
    <n v="348"/>
    <n v="200"/>
    <s v="Coupe"/>
    <n v="4"/>
    <s v="Mid-range"/>
    <n v="213365"/>
    <n v="3.76"/>
    <n v="9385045152.5500011"/>
  </r>
  <r>
    <x v="14"/>
    <s v="EL8"/>
    <x v="1"/>
    <x v="0"/>
    <n v="55221.99"/>
    <n v="108.2"/>
    <n v="383"/>
    <n v="187"/>
    <s v="Coupe"/>
    <n v="4"/>
    <s v="Mid-range"/>
    <n v="7302"/>
    <n v="3.7"/>
    <n v="403230970.97999996"/>
  </r>
  <r>
    <x v="12"/>
    <s v="Silverado EV"/>
    <x v="1"/>
    <x v="4"/>
    <n v="53395.89"/>
    <n v="42.6"/>
    <n v="150"/>
    <n v="163"/>
    <s v="Sedan"/>
    <n v="4"/>
    <s v="Mid-range"/>
    <n v="1550"/>
    <n v="3.22"/>
    <n v="82763629.5"/>
  </r>
  <r>
    <x v="5"/>
    <s v="Picanto EV"/>
    <x v="1"/>
    <x v="1"/>
    <n v="106510.25"/>
    <n v="75.099999999999994"/>
    <n v="275"/>
    <n v="200"/>
    <s v="Van"/>
    <n v="5"/>
    <s v="Luxury"/>
    <n v="120403"/>
    <n v="3.37"/>
    <n v="12824153630.75"/>
  </r>
  <r>
    <x v="13"/>
    <s v="EQE"/>
    <x v="1"/>
    <x v="3"/>
    <n v="115665.62"/>
    <n v="57.4"/>
    <n v="162"/>
    <n v="169"/>
    <s v="Hatchback"/>
    <n v="4"/>
    <s v="Luxury"/>
    <n v="25083"/>
    <n v="3.26"/>
    <n v="2901240746.46"/>
  </r>
  <r>
    <x v="12"/>
    <s v="Bolt EUV"/>
    <x v="1"/>
    <x v="2"/>
    <n v="40119.64"/>
    <n v="79"/>
    <n v="282"/>
    <n v="141"/>
    <s v="SUV"/>
    <n v="5"/>
    <s v="Mid-range"/>
    <n v="25340"/>
    <n v="3.36"/>
    <n v="1016631677.6"/>
  </r>
  <r>
    <x v="9"/>
    <s v="i7"/>
    <x v="1"/>
    <x v="0"/>
    <n v="75380.59"/>
    <n v="109"/>
    <n v="366"/>
    <n v="181"/>
    <s v="SUV"/>
    <n v="4"/>
    <s v="Premium"/>
    <n v="62356"/>
    <n v="3.91"/>
    <n v="4700432070.04"/>
  </r>
  <r>
    <x v="5"/>
    <s v="EV9"/>
    <x v="1"/>
    <x v="3"/>
    <n v="32210.63"/>
    <n v="78.099999999999994"/>
    <n v="270"/>
    <n v="137"/>
    <s v="SUV"/>
    <n v="5"/>
    <s v="Budget"/>
    <n v="60096"/>
    <n v="3.21"/>
    <n v="1935730020.48"/>
  </r>
  <r>
    <x v="3"/>
    <s v="Seagull"/>
    <x v="1"/>
    <x v="1"/>
    <n v="106411.54"/>
    <n v="95.1"/>
    <n v="346"/>
    <n v="200"/>
    <s v="Van"/>
    <n v="5"/>
    <s v="Luxury"/>
    <n v="180190"/>
    <n v="3.58"/>
    <n v="19174295392.599998"/>
  </r>
  <r>
    <x v="11"/>
    <s v="R1T"/>
    <x v="1"/>
    <x v="3"/>
    <n v="75009.919999999998"/>
    <n v="69.099999999999994"/>
    <n v="263"/>
    <n v="141"/>
    <s v="Truck"/>
    <n v="5"/>
    <s v="Premium"/>
    <n v="1899"/>
    <n v="3.57"/>
    <n v="142443838.07999998"/>
  </r>
  <r>
    <x v="7"/>
    <s v="ID. Aero"/>
    <x v="1"/>
    <x v="1"/>
    <n v="102347.9"/>
    <n v="83.8"/>
    <n v="290"/>
    <n v="200"/>
    <s v="SUV"/>
    <n v="5"/>
    <s v="Luxury"/>
    <n v="251849"/>
    <n v="3.65"/>
    <n v="25776216267.099998"/>
  </r>
  <r>
    <x v="3"/>
    <s v="Yuan Plus"/>
    <x v="1"/>
    <x v="2"/>
    <n v="24412.01"/>
    <n v="82.7"/>
    <n v="290"/>
    <n v="152"/>
    <s v="Truck"/>
    <n v="5"/>
    <s v="Budget"/>
    <n v="206262"/>
    <n v="3.68"/>
    <n v="5035270006.6199999"/>
  </r>
  <r>
    <x v="15"/>
    <s v="Macan Electric"/>
    <x v="1"/>
    <x v="3"/>
    <n v="163150.51999999999"/>
    <n v="73.900000000000006"/>
    <n v="281"/>
    <n v="137"/>
    <s v="Van"/>
    <n v="5"/>
    <s v="Luxury"/>
    <n v="2340"/>
    <n v="4.03"/>
    <n v="381772216.79999995"/>
  </r>
  <r>
    <x v="5"/>
    <s v="EV6"/>
    <x v="1"/>
    <x v="4"/>
    <n v="91322.04"/>
    <n v="65.900000000000006"/>
    <n v="229"/>
    <n v="156"/>
    <s v="SUV"/>
    <n v="4"/>
    <s v="Premium"/>
    <n v="103135"/>
    <n v="3.43"/>
    <n v="9418498595.3999996"/>
  </r>
  <r>
    <x v="2"/>
    <s v="Model Y"/>
    <x v="1"/>
    <x v="3"/>
    <n v="116565.3"/>
    <n v="80.7"/>
    <n v="282"/>
    <n v="136"/>
    <s v="Sedan"/>
    <n v="5"/>
    <s v="Luxury"/>
    <n v="458264"/>
    <n v="3.95"/>
    <n v="53417680639.200005"/>
  </r>
  <r>
    <x v="9"/>
    <s v="i3"/>
    <x v="1"/>
    <x v="4"/>
    <n v="119496.22"/>
    <n v="73.8"/>
    <n v="254"/>
    <n v="133"/>
    <s v="Van"/>
    <n v="5"/>
    <s v="Luxury"/>
    <n v="47944"/>
    <n v="3.44"/>
    <n v="5729126771.6800003"/>
  </r>
  <r>
    <x v="2"/>
    <s v="Model Y"/>
    <x v="1"/>
    <x v="2"/>
    <n v="59816.02"/>
    <n v="58.9"/>
    <n v="204"/>
    <n v="157"/>
    <s v="Van"/>
    <n v="4"/>
    <s v="Mid-range"/>
    <n v="446207"/>
    <n v="3.67"/>
    <n v="26690326836.139999"/>
  </r>
  <r>
    <x v="3"/>
    <s v="Seagull"/>
    <x v="1"/>
    <x v="1"/>
    <n v="99786.36"/>
    <n v="108.9"/>
    <n v="369"/>
    <n v="200"/>
    <s v="Sedan"/>
    <n v="5"/>
    <s v="Premium"/>
    <n v="126447"/>
    <n v="3.92"/>
    <n v="12617685862.92"/>
  </r>
  <r>
    <x v="9"/>
    <s v="iX"/>
    <x v="1"/>
    <x v="0"/>
    <n v="86702.14"/>
    <n v="97.3"/>
    <n v="331"/>
    <n v="176"/>
    <s v="SUV"/>
    <n v="3"/>
    <s v="Premium"/>
    <n v="40089"/>
    <n v="3.69"/>
    <n v="3475802090.46"/>
  </r>
  <r>
    <x v="2"/>
    <s v="Model Y"/>
    <x v="1"/>
    <x v="4"/>
    <n v="60365.37"/>
    <n v="70.3"/>
    <n v="225"/>
    <n v="155"/>
    <s v="Sedan"/>
    <n v="5"/>
    <s v="Mid-range"/>
    <n v="438670"/>
    <n v="3.68"/>
    <n v="26480476857.900002"/>
  </r>
  <r>
    <x v="6"/>
    <s v="Ioniq"/>
    <x v="1"/>
    <x v="3"/>
    <n v="33847.360000000001"/>
    <n v="58.9"/>
    <n v="209"/>
    <n v="158"/>
    <s v="Sedan"/>
    <n v="3"/>
    <s v="Budget"/>
    <n v="145242"/>
    <n v="3.32"/>
    <n v="4916058261.1199999"/>
  </r>
  <r>
    <x v="6"/>
    <s v="Ioniq"/>
    <x v="1"/>
    <x v="1"/>
    <n v="54289.29"/>
    <n v="101.8"/>
    <n v="323"/>
    <n v="196"/>
    <s v="Hatchback"/>
    <n v="4"/>
    <s v="Mid-range"/>
    <n v="110889"/>
    <n v="3.69"/>
    <n v="6020085078.8100004"/>
  </r>
  <r>
    <x v="9"/>
    <s v="i7"/>
    <x v="1"/>
    <x v="2"/>
    <n v="76431.360000000001"/>
    <n v="47"/>
    <n v="150"/>
    <n v="160"/>
    <s v="Sedan"/>
    <n v="4"/>
    <s v="Premium"/>
    <n v="30267"/>
    <n v="3.08"/>
    <n v="2313347973.1199999"/>
  </r>
  <r>
    <x v="7"/>
    <s v="ID.4"/>
    <x v="1"/>
    <x v="4"/>
    <n v="105115.96"/>
    <n v="73.099999999999994"/>
    <n v="242"/>
    <n v="143"/>
    <s v="Truck"/>
    <n v="4"/>
    <s v="Luxury"/>
    <n v="297514"/>
    <n v="3.44"/>
    <n v="31273469723.440002"/>
  </r>
  <r>
    <x v="7"/>
    <s v="ID.5"/>
    <x v="1"/>
    <x v="0"/>
    <n v="44741.31"/>
    <n v="93.3"/>
    <n v="312"/>
    <n v="186"/>
    <s v="Sedan"/>
    <n v="5"/>
    <s v="Mid-range"/>
    <n v="254746"/>
    <n v="3.41"/>
    <n v="11397669757.26"/>
  </r>
  <r>
    <x v="3"/>
    <s v="Qin"/>
    <x v="1"/>
    <x v="2"/>
    <n v="25493.200000000001"/>
    <n v="79"/>
    <n v="290"/>
    <n v="147"/>
    <s v="SUV"/>
    <n v="4"/>
    <s v="Budget"/>
    <n v="203716"/>
    <n v="3.59"/>
    <n v="5193372731.1999998"/>
  </r>
  <r>
    <x v="7"/>
    <s v="ID. Buzz"/>
    <x v="1"/>
    <x v="0"/>
    <n v="35869.49"/>
    <n v="82.6"/>
    <n v="267"/>
    <n v="165"/>
    <s v="Truck"/>
    <n v="3"/>
    <s v="Mid-range"/>
    <n v="202031"/>
    <n v="3.79"/>
    <n v="7246748934.1899996"/>
  </r>
  <r>
    <x v="2"/>
    <s v="Model S"/>
    <x v="1"/>
    <x v="4"/>
    <n v="143043.07999999999"/>
    <n v="60"/>
    <n v="222"/>
    <n v="153"/>
    <s v="SUV"/>
    <n v="5"/>
    <s v="Luxury"/>
    <n v="139115"/>
    <n v="3.55"/>
    <n v="19899438074.199997"/>
  </r>
  <r>
    <x v="2"/>
    <s v="Model X"/>
    <x v="1"/>
    <x v="2"/>
    <n v="66814.080000000002"/>
    <n v="57.8"/>
    <n v="194"/>
    <n v="136"/>
    <s v="Truck"/>
    <n v="4"/>
    <s v="Premium"/>
    <n v="228985"/>
    <n v="3.76"/>
    <n v="15299422108.800001"/>
  </r>
  <r>
    <x v="12"/>
    <s v="Bolt EV"/>
    <x v="1"/>
    <x v="1"/>
    <n v="47454.86"/>
    <n v="102.7"/>
    <n v="354"/>
    <n v="200"/>
    <s v="Van"/>
    <n v="4"/>
    <s v="Mid-range"/>
    <n v="7468"/>
    <n v="3.83"/>
    <n v="354392894.48000002"/>
  </r>
  <r>
    <x v="12"/>
    <s v="Equinox EV"/>
    <x v="1"/>
    <x v="0"/>
    <n v="61755.21"/>
    <n v="79.099999999999994"/>
    <n v="270"/>
    <n v="165"/>
    <s v="SUV"/>
    <n v="5"/>
    <s v="Mid-range"/>
    <n v="9557"/>
    <n v="3.66"/>
    <n v="590194541.97000003"/>
  </r>
  <r>
    <x v="12"/>
    <s v="Bolt EV"/>
    <x v="1"/>
    <x v="2"/>
    <n v="57965.58"/>
    <n v="67"/>
    <n v="237"/>
    <n v="159"/>
    <s v="Van"/>
    <n v="4"/>
    <s v="Mid-range"/>
    <n v="3168"/>
    <n v="3.49"/>
    <n v="183634957.44"/>
  </r>
  <r>
    <x v="3"/>
    <s v="Yuan Plus"/>
    <x v="1"/>
    <x v="1"/>
    <n v="36438.81"/>
    <n v="91.3"/>
    <n v="319"/>
    <n v="192"/>
    <s v="Coupe"/>
    <n v="4"/>
    <s v="Mid-range"/>
    <n v="110969"/>
    <n v="3.76"/>
    <n v="4043578306.8899999"/>
  </r>
  <r>
    <x v="8"/>
    <s v="Explorer EV"/>
    <x v="1"/>
    <x v="4"/>
    <n v="97933.8"/>
    <n v="43.7"/>
    <n v="150"/>
    <n v="142"/>
    <s v="SUV"/>
    <n v="4"/>
    <s v="Premium"/>
    <n v="45842"/>
    <n v="3.05"/>
    <n v="4489481259.6000004"/>
  </r>
  <r>
    <x v="11"/>
    <s v="R2"/>
    <x v="1"/>
    <x v="1"/>
    <n v="113614.29"/>
    <n v="108.1"/>
    <n v="387"/>
    <n v="200"/>
    <s v="Hatchback"/>
    <n v="5"/>
    <s v="Luxury"/>
    <n v="4505"/>
    <n v="3.89"/>
    <n v="511832376.44999999"/>
  </r>
  <r>
    <x v="2"/>
    <s v="Model X"/>
    <x v="1"/>
    <x v="4"/>
    <n v="118010.78"/>
    <n v="64.7"/>
    <n v="229"/>
    <n v="141"/>
    <s v="Hatchback"/>
    <n v="4"/>
    <s v="Luxury"/>
    <n v="177339"/>
    <n v="3.7"/>
    <n v="20927913714.419998"/>
  </r>
  <r>
    <x v="2"/>
    <s v="Model X"/>
    <x v="1"/>
    <x v="0"/>
    <n v="118192.05"/>
    <n v="92.9"/>
    <n v="329"/>
    <n v="162"/>
    <s v="Coupe"/>
    <n v="5"/>
    <s v="Luxury"/>
    <n v="123098"/>
    <n v="3.96"/>
    <n v="14549204970.9"/>
  </r>
  <r>
    <x v="2"/>
    <s v="Model S"/>
    <x v="1"/>
    <x v="1"/>
    <n v="76847.7"/>
    <n v="116.8"/>
    <n v="418"/>
    <n v="197"/>
    <s v="Coupe"/>
    <n v="5"/>
    <s v="Premium"/>
    <n v="229674"/>
    <n v="4"/>
    <n v="17649918649.799999"/>
  </r>
  <r>
    <x v="2"/>
    <s v="Model X"/>
    <x v="1"/>
    <x v="4"/>
    <n v="100894.61"/>
    <n v="84.8"/>
    <n v="304"/>
    <n v="161"/>
    <s v="SUV"/>
    <n v="5"/>
    <s v="Luxury"/>
    <n v="201220"/>
    <n v="3.9"/>
    <n v="20302013424.200001"/>
  </r>
  <r>
    <x v="0"/>
    <s v="bZ4X"/>
    <x v="1"/>
    <x v="1"/>
    <n v="93898.99"/>
    <n v="117.1"/>
    <n v="375"/>
    <n v="182"/>
    <s v="Coupe"/>
    <n v="5"/>
    <s v="Premium"/>
    <n v="29112"/>
    <n v="3.93"/>
    <n v="2733587396.8800001"/>
  </r>
  <r>
    <x v="13"/>
    <s v="GLE EV"/>
    <x v="1"/>
    <x v="0"/>
    <n v="133886.35"/>
    <n v="108.5"/>
    <n v="379"/>
    <n v="159"/>
    <s v="Van"/>
    <n v="4"/>
    <s v="Luxury"/>
    <n v="61011"/>
    <n v="4"/>
    <n v="8168540099.8500004"/>
  </r>
  <r>
    <x v="5"/>
    <s v="EV9"/>
    <x v="1"/>
    <x v="0"/>
    <n v="56383.76"/>
    <n v="77.599999999999994"/>
    <n v="294"/>
    <n v="162"/>
    <s v="SUV"/>
    <n v="5"/>
    <s v="Mid-range"/>
    <n v="85632"/>
    <n v="3.6"/>
    <n v="4828254136.3200006"/>
  </r>
  <r>
    <x v="3"/>
    <s v="Dolphin"/>
    <x v="1"/>
    <x v="4"/>
    <n v="107053.36"/>
    <n v="82.6"/>
    <n v="300"/>
    <n v="164"/>
    <s v="Coupe"/>
    <n v="3"/>
    <s v="Luxury"/>
    <n v="216609"/>
    <n v="3.76"/>
    <n v="23188721256.240002"/>
  </r>
  <r>
    <x v="5"/>
    <s v="EV6"/>
    <x v="1"/>
    <x v="4"/>
    <n v="36092.980000000003"/>
    <n v="41.6"/>
    <n v="150"/>
    <n v="170"/>
    <s v="SUV"/>
    <n v="5"/>
    <s v="Mid-range"/>
    <n v="73706"/>
    <n v="3"/>
    <n v="2660269183.8800001"/>
  </r>
  <r>
    <x v="7"/>
    <s v="ID.3"/>
    <x v="1"/>
    <x v="0"/>
    <n v="70654.720000000001"/>
    <n v="88.4"/>
    <n v="317"/>
    <n v="163"/>
    <s v="Hatchback"/>
    <n v="4"/>
    <s v="Premium"/>
    <n v="211095"/>
    <n v="3.8"/>
    <n v="14914858118.4"/>
  </r>
  <r>
    <x v="13"/>
    <s v="GLE EV"/>
    <x v="1"/>
    <x v="1"/>
    <n v="167760.51"/>
    <n v="110.2"/>
    <n v="367"/>
    <n v="189"/>
    <s v="Hatchback"/>
    <n v="5"/>
    <s v="Luxury"/>
    <n v="66576"/>
    <n v="3.8"/>
    <n v="11168823713.76"/>
  </r>
  <r>
    <x v="2"/>
    <s v="Cybertruck"/>
    <x v="1"/>
    <x v="2"/>
    <n v="64613.56"/>
    <n v="49.8"/>
    <n v="175"/>
    <n v="130"/>
    <s v="Truck"/>
    <n v="4"/>
    <s v="Mid-range"/>
    <n v="243316"/>
    <n v="3.49"/>
    <n v="15721512964.959999"/>
  </r>
  <r>
    <x v="3"/>
    <s v="Dolphin"/>
    <x v="1"/>
    <x v="3"/>
    <n v="36671.61"/>
    <n v="51.7"/>
    <n v="195"/>
    <n v="166"/>
    <s v="Truck"/>
    <n v="4"/>
    <s v="Mid-range"/>
    <n v="112221"/>
    <n v="3.41"/>
    <n v="4115324745.8099999"/>
  </r>
  <r>
    <x v="12"/>
    <s v="Bolt EUV"/>
    <x v="1"/>
    <x v="3"/>
    <n v="64473.77"/>
    <n v="77.599999999999994"/>
    <n v="293"/>
    <n v="143"/>
    <s v="Truck"/>
    <n v="4"/>
    <s v="Mid-range"/>
    <n v="9147"/>
    <n v="3.72"/>
    <n v="589741574.18999994"/>
  </r>
  <r>
    <x v="5"/>
    <s v="Sportage EV"/>
    <x v="1"/>
    <x v="1"/>
    <n v="92296.55"/>
    <n v="118.8"/>
    <n v="403"/>
    <n v="197"/>
    <s v="SUV"/>
    <n v="5"/>
    <s v="Premium"/>
    <n v="79309"/>
    <n v="3.97"/>
    <n v="7319947083.9499998"/>
  </r>
  <r>
    <x v="16"/>
    <s v="SU7"/>
    <x v="1"/>
    <x v="0"/>
    <n v="49221.78"/>
    <n v="80.400000000000006"/>
    <n v="266"/>
    <n v="176"/>
    <s v="Hatchback"/>
    <n v="5"/>
    <s v="Mid-range"/>
    <n v="23659"/>
    <n v="3.6"/>
    <n v="1164538093.02"/>
  </r>
  <r>
    <x v="3"/>
    <s v="Qin"/>
    <x v="1"/>
    <x v="4"/>
    <n v="78313.97"/>
    <n v="76.099999999999994"/>
    <n v="270"/>
    <n v="135"/>
    <s v="Sedan"/>
    <n v="4"/>
    <s v="Premium"/>
    <n v="235914"/>
    <n v="3.5"/>
    <n v="18475361918.580002"/>
  </r>
  <r>
    <x v="12"/>
    <s v="Equinox EV"/>
    <x v="1"/>
    <x v="1"/>
    <n v="65656.759999999995"/>
    <n v="86.5"/>
    <n v="340"/>
    <n v="190"/>
    <s v="SUV"/>
    <n v="5"/>
    <s v="Premium"/>
    <n v="12802"/>
    <n v="3.96"/>
    <n v="840537841.51999998"/>
  </r>
  <r>
    <x v="0"/>
    <s v="bZ Compact SUV"/>
    <x v="2"/>
    <x v="4"/>
    <n v="48217.41"/>
    <n v="58.8"/>
    <n v="219"/>
    <n v="159"/>
    <s v="SUV"/>
    <n v="4"/>
    <s v="Mid-range"/>
    <n v="7146"/>
    <n v="3.56"/>
    <n v="344561611.86000001"/>
  </r>
  <r>
    <x v="2"/>
    <s v="Model 3"/>
    <x v="2"/>
    <x v="0"/>
    <n v="144079.87"/>
    <n v="93.9"/>
    <n v="314"/>
    <n v="165"/>
    <s v="SUV"/>
    <n v="4"/>
    <s v="Luxury"/>
    <n v="196401"/>
    <n v="3.83"/>
    <n v="28297430547.869999"/>
  </r>
  <r>
    <x v="15"/>
    <s v="Macan Electric"/>
    <x v="2"/>
    <x v="0"/>
    <n v="101897.93"/>
    <n v="76.099999999999994"/>
    <n v="254"/>
    <n v="163"/>
    <s v="Truck"/>
    <n v="5"/>
    <s v="Luxury"/>
    <n v="26972"/>
    <n v="3.68"/>
    <n v="2748390967.96"/>
  </r>
  <r>
    <x v="3"/>
    <s v="Qin"/>
    <x v="2"/>
    <x v="3"/>
    <n v="37515.42"/>
    <n v="52.5"/>
    <n v="194"/>
    <n v="137"/>
    <s v="Truck"/>
    <n v="4"/>
    <s v="Mid-range"/>
    <n v="192045"/>
    <n v="3.31"/>
    <n v="7204648833.8999996"/>
  </r>
  <r>
    <x v="6"/>
    <s v="Kona Electric"/>
    <x v="2"/>
    <x v="0"/>
    <n v="84513.62"/>
    <n v="109.9"/>
    <n v="400"/>
    <n v="165"/>
    <s v="Coupe"/>
    <n v="4"/>
    <s v="Premium"/>
    <n v="95418"/>
    <n v="3.69"/>
    <n v="8064120593.1599998"/>
  </r>
  <r>
    <x v="14"/>
    <s v="EL8"/>
    <x v="2"/>
    <x v="2"/>
    <n v="53544.18"/>
    <n v="45"/>
    <n v="186"/>
    <n v="172"/>
    <s v="SUV"/>
    <n v="4"/>
    <s v="Mid-range"/>
    <n v="10495"/>
    <n v="3.38"/>
    <n v="561946169.10000002"/>
  </r>
  <r>
    <x v="1"/>
    <s v="Ocean"/>
    <x v="2"/>
    <x v="0"/>
    <n v="59484.88"/>
    <n v="82.4"/>
    <n v="287"/>
    <n v="163"/>
    <s v="Hatchback"/>
    <n v="5"/>
    <s v="Mid-range"/>
    <n v="23860"/>
    <n v="3.43"/>
    <n v="1419309236.8"/>
  </r>
  <r>
    <x v="2"/>
    <s v="Model S"/>
    <x v="2"/>
    <x v="0"/>
    <n v="133033.76"/>
    <n v="83.6"/>
    <n v="310"/>
    <n v="181"/>
    <s v="Coupe"/>
    <n v="5"/>
    <s v="Luxury"/>
    <n v="213496"/>
    <n v="3.81"/>
    <n v="28402175624.960003"/>
  </r>
  <r>
    <x v="5"/>
    <s v="EV6"/>
    <x v="2"/>
    <x v="2"/>
    <n v="59652.7"/>
    <n v="67.900000000000006"/>
    <n v="238"/>
    <n v="156"/>
    <s v="SUV"/>
    <n v="5"/>
    <s v="Mid-range"/>
    <n v="145797"/>
    <n v="3.55"/>
    <n v="8697184701.8999996"/>
  </r>
  <r>
    <x v="12"/>
    <s v="Blazer EV"/>
    <x v="2"/>
    <x v="2"/>
    <n v="24572.41"/>
    <n v="46.5"/>
    <n v="182"/>
    <n v="168"/>
    <s v="Truck"/>
    <n v="4"/>
    <s v="Budget"/>
    <n v="9346"/>
    <n v="3.53"/>
    <n v="229653743.85999998"/>
  </r>
  <r>
    <x v="6"/>
    <s v="i30"/>
    <x v="2"/>
    <x v="3"/>
    <n v="35583.1"/>
    <n v="60.1"/>
    <n v="220"/>
    <n v="157"/>
    <s v="Sedan"/>
    <n v="5"/>
    <s v="Mid-range"/>
    <n v="116403"/>
    <n v="3.38"/>
    <n v="4141979589.2999997"/>
  </r>
  <r>
    <x v="3"/>
    <s v="Yuan Plus"/>
    <x v="2"/>
    <x v="3"/>
    <n v="27939.32"/>
    <n v="56.5"/>
    <n v="182"/>
    <n v="141"/>
    <s v="SUV"/>
    <n v="5"/>
    <s v="Budget"/>
    <n v="100593"/>
    <n v="3.2"/>
    <n v="2810500016.7599998"/>
  </r>
  <r>
    <x v="2"/>
    <s v="Model Y"/>
    <x v="2"/>
    <x v="0"/>
    <n v="112382.86"/>
    <n v="81.900000000000006"/>
    <n v="270"/>
    <n v="182"/>
    <s v="Coupe"/>
    <n v="4"/>
    <s v="Luxury"/>
    <n v="494879"/>
    <n v="3.77"/>
    <n v="55615917373.940002"/>
  </r>
  <r>
    <x v="7"/>
    <s v="ID.5"/>
    <x v="2"/>
    <x v="4"/>
    <n v="62108.39"/>
    <n v="82.1"/>
    <n v="268"/>
    <n v="137"/>
    <s v="SUV"/>
    <n v="5"/>
    <s v="Mid-range"/>
    <n v="222675"/>
    <n v="3.19"/>
    <n v="13829985743.25"/>
  </r>
  <r>
    <x v="5"/>
    <s v="Picanto EV"/>
    <x v="2"/>
    <x v="1"/>
    <n v="111175.38"/>
    <n v="89.2"/>
    <n v="319"/>
    <n v="190"/>
    <s v="Hatchback"/>
    <n v="5"/>
    <s v="Luxury"/>
    <n v="51798"/>
    <n v="3.75"/>
    <n v="5758662333.2399998"/>
  </r>
  <r>
    <x v="14"/>
    <s v="EL6"/>
    <x v="2"/>
    <x v="3"/>
    <n v="69452.42"/>
    <n v="47.9"/>
    <n v="170"/>
    <n v="147"/>
    <s v="Sedan"/>
    <n v="5"/>
    <s v="Premium"/>
    <n v="28334"/>
    <n v="3.19"/>
    <n v="1967864868.28"/>
  </r>
  <r>
    <x v="3"/>
    <s v="Atto 3"/>
    <x v="2"/>
    <x v="1"/>
    <n v="38276.480000000003"/>
    <n v="92"/>
    <n v="283"/>
    <n v="199"/>
    <s v="Van"/>
    <n v="4"/>
    <s v="Mid-range"/>
    <n v="175542"/>
    <n v="3.44"/>
    <n v="6719129852.1600008"/>
  </r>
  <r>
    <x v="5"/>
    <s v="Picanto EV"/>
    <x v="2"/>
    <x v="0"/>
    <n v="76439.210000000006"/>
    <n v="93"/>
    <n v="337"/>
    <n v="164"/>
    <s v="Truck"/>
    <n v="5"/>
    <s v="Premium"/>
    <n v="85577"/>
    <n v="3.72"/>
    <n v="6541438274.1700001"/>
  </r>
  <r>
    <x v="4"/>
    <s v="e-tron GT"/>
    <x v="2"/>
    <x v="4"/>
    <n v="98374.44"/>
    <n v="50.7"/>
    <n v="166"/>
    <n v="164"/>
    <s v="Truck"/>
    <n v="5"/>
    <s v="Premium"/>
    <n v="45293"/>
    <n v="3.1"/>
    <n v="4455673510.9200001"/>
  </r>
  <r>
    <x v="6"/>
    <s v="Ioniq 5"/>
    <x v="2"/>
    <x v="4"/>
    <n v="72159.44"/>
    <n v="56.2"/>
    <n v="163"/>
    <n v="132"/>
    <s v="Van"/>
    <n v="4"/>
    <s v="Premium"/>
    <n v="119329"/>
    <n v="3.43"/>
    <n v="8610713815.7600002"/>
  </r>
  <r>
    <x v="5"/>
    <s v="EV6"/>
    <x v="2"/>
    <x v="0"/>
    <n v="90771.15"/>
    <n v="86.2"/>
    <n v="305"/>
    <n v="179"/>
    <s v="Truck"/>
    <n v="4"/>
    <s v="Premium"/>
    <n v="86318"/>
    <n v="3.46"/>
    <n v="7835184125.6999998"/>
  </r>
  <r>
    <x v="2"/>
    <s v="Model S"/>
    <x v="2"/>
    <x v="4"/>
    <n v="59089.35"/>
    <n v="76.7"/>
    <n v="268"/>
    <n v="153"/>
    <s v="Sedan"/>
    <n v="5"/>
    <s v="Mid-range"/>
    <n v="130707"/>
    <n v="3.64"/>
    <n v="7723391670.4499998"/>
  </r>
  <r>
    <x v="2"/>
    <s v="Cybertruck"/>
    <x v="2"/>
    <x v="1"/>
    <n v="170128.32"/>
    <n v="84.4"/>
    <n v="303"/>
    <n v="186"/>
    <s v="Truck"/>
    <n v="4"/>
    <s v="Luxury"/>
    <n v="163960"/>
    <n v="4.09"/>
    <n v="27894239347.200001"/>
  </r>
  <r>
    <x v="5"/>
    <s v="Picanto EV"/>
    <x v="2"/>
    <x v="2"/>
    <n v="43745.72"/>
    <n v="58.3"/>
    <n v="197"/>
    <n v="141"/>
    <s v="Hatchback"/>
    <n v="5"/>
    <s v="Mid-range"/>
    <n v="77441"/>
    <n v="3.34"/>
    <n v="3387712302.52"/>
  </r>
  <r>
    <x v="0"/>
    <s v="bZ4X"/>
    <x v="2"/>
    <x v="3"/>
    <n v="69982.490000000005"/>
    <n v="42.6"/>
    <n v="156"/>
    <n v="153"/>
    <s v="Truck"/>
    <n v="5"/>
    <s v="Premium"/>
    <n v="8818"/>
    <n v="3.15"/>
    <n v="617105596.82000005"/>
  </r>
  <r>
    <x v="12"/>
    <s v="Bolt EV"/>
    <x v="2"/>
    <x v="0"/>
    <n v="49443.87"/>
    <n v="82.7"/>
    <n v="262"/>
    <n v="179"/>
    <s v="Van"/>
    <n v="4"/>
    <s v="Mid-range"/>
    <n v="17112"/>
    <n v="3.4"/>
    <n v="846083503.44000006"/>
  </r>
  <r>
    <x v="3"/>
    <s v="Atto 3"/>
    <x v="2"/>
    <x v="4"/>
    <n v="36072.31"/>
    <n v="77.7"/>
    <n v="251"/>
    <n v="154"/>
    <s v="Van"/>
    <n v="4"/>
    <s v="Mid-range"/>
    <n v="159638"/>
    <n v="3.48"/>
    <n v="5758511423.7799997"/>
  </r>
  <r>
    <x v="7"/>
    <s v="ID.3"/>
    <x v="2"/>
    <x v="3"/>
    <n v="73902.850000000006"/>
    <n v="64"/>
    <n v="231"/>
    <n v="168"/>
    <s v="Van"/>
    <n v="4"/>
    <s v="Premium"/>
    <n v="251288"/>
    <n v="3.32"/>
    <n v="18570899370.800003"/>
  </r>
  <r>
    <x v="0"/>
    <s v="bZ Compact SUV"/>
    <x v="2"/>
    <x v="2"/>
    <n v="59240.75"/>
    <n v="70.099999999999994"/>
    <n v="267"/>
    <n v="162"/>
    <s v="SUV"/>
    <n v="4"/>
    <s v="Mid-range"/>
    <n v="18789"/>
    <n v="3.47"/>
    <n v="1113074451.75"/>
  </r>
  <r>
    <x v="9"/>
    <s v="i7"/>
    <x v="2"/>
    <x v="3"/>
    <n v="69932.429999999993"/>
    <n v="67"/>
    <n v="249"/>
    <n v="140"/>
    <s v="Hatchback"/>
    <n v="5"/>
    <s v="Premium"/>
    <n v="52868"/>
    <n v="3.54"/>
    <n v="3697187709.2399998"/>
  </r>
  <r>
    <x v="5"/>
    <s v="EV9"/>
    <x v="2"/>
    <x v="1"/>
    <n v="67330.570000000007"/>
    <n v="77.099999999999994"/>
    <n v="284"/>
    <n v="194"/>
    <s v="SUV"/>
    <n v="5"/>
    <s v="Premium"/>
    <n v="91349"/>
    <n v="3.46"/>
    <n v="6150580238.9300003"/>
  </r>
  <r>
    <x v="7"/>
    <s v="ID.4"/>
    <x v="2"/>
    <x v="1"/>
    <n v="102466.68"/>
    <n v="77.599999999999994"/>
    <n v="281"/>
    <n v="189"/>
    <s v="Truck"/>
    <n v="5"/>
    <s v="Luxury"/>
    <n v="252835"/>
    <n v="3.37"/>
    <n v="25907163037.799999"/>
  </r>
  <r>
    <x v="2"/>
    <s v="Model S"/>
    <x v="2"/>
    <x v="0"/>
    <n v="119080.01"/>
    <n v="82.3"/>
    <n v="284"/>
    <n v="159"/>
    <s v="Truck"/>
    <n v="5"/>
    <s v="Luxury"/>
    <n v="124340"/>
    <n v="3.98"/>
    <n v="14806408443.4"/>
  </r>
  <r>
    <x v="9"/>
    <s v="iX"/>
    <x v="2"/>
    <x v="2"/>
    <n v="61657.41"/>
    <n v="79.900000000000006"/>
    <n v="273"/>
    <n v="174"/>
    <s v="SUV"/>
    <n v="5"/>
    <s v="Mid-range"/>
    <n v="21575"/>
    <n v="3.67"/>
    <n v="1330258620.75"/>
  </r>
  <r>
    <x v="2"/>
    <s v="Model Y"/>
    <x v="2"/>
    <x v="4"/>
    <n v="74321.009999999995"/>
    <n v="61.2"/>
    <n v="226"/>
    <n v="118"/>
    <s v="Truck"/>
    <n v="5"/>
    <s v="Premium"/>
    <n v="438573"/>
    <n v="3.82"/>
    <n v="32595188318.73"/>
  </r>
  <r>
    <x v="4"/>
    <s v="Q6 e-tron"/>
    <x v="2"/>
    <x v="2"/>
    <n v="87894.85"/>
    <n v="84.4"/>
    <n v="315"/>
    <n v="136"/>
    <s v="Hatchback"/>
    <n v="5"/>
    <s v="Premium"/>
    <n v="64291"/>
    <n v="3.45"/>
    <n v="5650847801.3500004"/>
  </r>
  <r>
    <x v="0"/>
    <s v="bZ Compact SUV"/>
    <x v="2"/>
    <x v="1"/>
    <n v="56751.98"/>
    <n v="90.8"/>
    <n v="324"/>
    <n v="191"/>
    <s v="SUV"/>
    <n v="5"/>
    <s v="Mid-range"/>
    <n v="9887"/>
    <n v="3.39"/>
    <n v="561106826.25999999"/>
  </r>
  <r>
    <x v="12"/>
    <s v="Blazer EV"/>
    <x v="2"/>
    <x v="3"/>
    <n v="55685.25"/>
    <n v="80.400000000000006"/>
    <n v="288"/>
    <n v="158"/>
    <s v="Sedan"/>
    <n v="4"/>
    <s v="Mid-range"/>
    <n v="22694"/>
    <n v="3.58"/>
    <n v="1263721063.5"/>
  </r>
  <r>
    <x v="2"/>
    <s v="Model 3"/>
    <x v="2"/>
    <x v="4"/>
    <n v="74667.63"/>
    <n v="60.5"/>
    <n v="201"/>
    <n v="159"/>
    <s v="Truck"/>
    <n v="5"/>
    <s v="Premium"/>
    <n v="245609"/>
    <n v="3.71"/>
    <n v="18339041936.670002"/>
  </r>
  <r>
    <x v="2"/>
    <s v="Model X"/>
    <x v="2"/>
    <x v="1"/>
    <n v="66277.97"/>
    <n v="97.7"/>
    <n v="340"/>
    <n v="189"/>
    <s v="Truck"/>
    <n v="3"/>
    <s v="Premium"/>
    <n v="108652"/>
    <n v="4.1100000000000003"/>
    <n v="7201233996.4400005"/>
  </r>
  <r>
    <x v="6"/>
    <s v="Ioniq 5"/>
    <x v="2"/>
    <x v="1"/>
    <n v="81725.25"/>
    <n v="71.7"/>
    <n v="234"/>
    <n v="197"/>
    <s v="Sedan"/>
    <n v="5"/>
    <s v="Premium"/>
    <n v="72070"/>
    <n v="3.48"/>
    <n v="5889938767.5"/>
  </r>
  <r>
    <x v="3"/>
    <s v="Atto 3"/>
    <x v="2"/>
    <x v="4"/>
    <n v="107436.09"/>
    <n v="65.7"/>
    <n v="255"/>
    <n v="137"/>
    <s v="SUV"/>
    <n v="5"/>
    <s v="Luxury"/>
    <n v="201045"/>
    <n v="3.64"/>
    <n v="21599488714.049999"/>
  </r>
  <r>
    <x v="12"/>
    <s v="Blazer EV"/>
    <x v="2"/>
    <x v="0"/>
    <n v="54305.64"/>
    <n v="86.4"/>
    <n v="289"/>
    <n v="162"/>
    <s v="Van"/>
    <n v="5"/>
    <s v="Mid-range"/>
    <n v="18445"/>
    <n v="3.56"/>
    <n v="1001667529.8"/>
  </r>
  <r>
    <x v="2"/>
    <s v="Cybertruck"/>
    <x v="2"/>
    <x v="1"/>
    <n v="161513.5"/>
    <n v="115.3"/>
    <n v="420"/>
    <n v="200"/>
    <s v="Truck"/>
    <n v="4"/>
    <s v="Luxury"/>
    <n v="172224"/>
    <n v="4.09"/>
    <n v="27816501024"/>
  </r>
  <r>
    <x v="2"/>
    <s v="Model Y"/>
    <x v="2"/>
    <x v="2"/>
    <n v="75540.09"/>
    <n v="49.6"/>
    <n v="150"/>
    <n v="154"/>
    <s v="Coupe"/>
    <n v="5"/>
    <s v="Premium"/>
    <n v="455317"/>
    <n v="3.27"/>
    <n v="34394687158.529999"/>
  </r>
  <r>
    <x v="2"/>
    <s v="Cybertruck"/>
    <x v="2"/>
    <x v="1"/>
    <n v="39719.769999999997"/>
    <n v="75.3"/>
    <n v="297"/>
    <n v="200"/>
    <s v="Truck"/>
    <n v="5"/>
    <s v="Mid-range"/>
    <n v="220959"/>
    <n v="4"/>
    <n v="8776440659.4299984"/>
  </r>
  <r>
    <x v="9"/>
    <s v="i7"/>
    <x v="2"/>
    <x v="0"/>
    <n v="115394.15"/>
    <n v="98.5"/>
    <n v="343"/>
    <n v="167"/>
    <s v="Sedan"/>
    <n v="5"/>
    <s v="Luxury"/>
    <n v="58674"/>
    <n v="3.4"/>
    <n v="6770636357.0999994"/>
  </r>
  <r>
    <x v="6"/>
    <s v="Ioniq"/>
    <x v="2"/>
    <x v="0"/>
    <n v="67747.05"/>
    <n v="89.8"/>
    <n v="333"/>
    <n v="173"/>
    <s v="Coupe"/>
    <n v="5"/>
    <s v="Premium"/>
    <n v="100096"/>
    <n v="3.57"/>
    <n v="6781208716.8000002"/>
  </r>
  <r>
    <x v="2"/>
    <s v="Model X"/>
    <x v="2"/>
    <x v="3"/>
    <n v="45367.75"/>
    <n v="80.8"/>
    <n v="287"/>
    <n v="134"/>
    <s v="Sedan"/>
    <n v="5"/>
    <s v="Mid-range"/>
    <n v="112809"/>
    <n v="3.72"/>
    <n v="5117890509.75"/>
  </r>
  <r>
    <x v="12"/>
    <s v="Silverado EV"/>
    <x v="2"/>
    <x v="2"/>
    <n v="39747.919999999998"/>
    <n v="47.2"/>
    <n v="152"/>
    <n v="152"/>
    <s v="Van"/>
    <n v="5"/>
    <s v="Mid-range"/>
    <n v="29407"/>
    <n v="3.09"/>
    <n v="1168867083.4400001"/>
  </r>
  <r>
    <x v="2"/>
    <s v="Cybertruck"/>
    <x v="2"/>
    <x v="2"/>
    <n v="83011.59"/>
    <n v="78.2"/>
    <n v="288"/>
    <n v="147"/>
    <s v="Truck"/>
    <n v="4"/>
    <s v="Premium"/>
    <n v="132378"/>
    <n v="4.12"/>
    <n v="10988908261.02"/>
  </r>
  <r>
    <x v="9"/>
    <s v="i4"/>
    <x v="2"/>
    <x v="2"/>
    <n v="87727.18"/>
    <n v="75.099999999999994"/>
    <n v="238"/>
    <n v="150"/>
    <s v="Van"/>
    <n v="5"/>
    <s v="Premium"/>
    <n v="35030"/>
    <n v="3.42"/>
    <n v="3073083115.3999996"/>
  </r>
  <r>
    <x v="5"/>
    <s v="Picanto EV"/>
    <x v="2"/>
    <x v="3"/>
    <n v="39229.86"/>
    <n v="42.7"/>
    <n v="154"/>
    <n v="170"/>
    <s v="Hatchback"/>
    <n v="4"/>
    <s v="Mid-range"/>
    <n v="92917"/>
    <n v="3.02"/>
    <n v="3645120901.6199999"/>
  </r>
  <r>
    <x v="7"/>
    <s v="ID.5"/>
    <x v="2"/>
    <x v="4"/>
    <n v="90567.3"/>
    <n v="69.5"/>
    <n v="208"/>
    <n v="147"/>
    <s v="Truck"/>
    <n v="5"/>
    <s v="Premium"/>
    <n v="266134"/>
    <n v="3.28"/>
    <n v="24103037818.200001"/>
  </r>
  <r>
    <x v="2"/>
    <s v="Model X"/>
    <x v="2"/>
    <x v="3"/>
    <n v="98265.87"/>
    <n v="83.7"/>
    <n v="298"/>
    <n v="173"/>
    <s v="Hatchback"/>
    <n v="4"/>
    <s v="Premium"/>
    <n v="144367"/>
    <n v="3.63"/>
    <n v="14186348854.289999"/>
  </r>
  <r>
    <x v="2"/>
    <s v="Cybertruck"/>
    <x v="2"/>
    <x v="4"/>
    <n v="154962.64000000001"/>
    <n v="53.2"/>
    <n v="157"/>
    <n v="135"/>
    <s v="Truck"/>
    <n v="5"/>
    <s v="Luxury"/>
    <n v="148718"/>
    <n v="3.67"/>
    <n v="23045733895.52"/>
  </r>
  <r>
    <x v="11"/>
    <s v="R1S"/>
    <x v="2"/>
    <x v="2"/>
    <n v="64347.55"/>
    <n v="45.6"/>
    <n v="150"/>
    <n v="152"/>
    <s v="SUV"/>
    <n v="5"/>
    <s v="Mid-range"/>
    <n v="3522"/>
    <n v="3.26"/>
    <n v="226632071.10000002"/>
  </r>
  <r>
    <x v="3"/>
    <s v="Atto 3"/>
    <x v="2"/>
    <x v="2"/>
    <n v="21384.75"/>
    <n v="62.9"/>
    <n v="201"/>
    <n v="146"/>
    <s v="Hatchback"/>
    <n v="5"/>
    <s v="Budget"/>
    <n v="233873"/>
    <n v="3.28"/>
    <n v="5001315636.75"/>
  </r>
  <r>
    <x v="2"/>
    <s v="Cybertruck"/>
    <x v="2"/>
    <x v="0"/>
    <n v="93999.45"/>
    <n v="88.3"/>
    <n v="333"/>
    <n v="167"/>
    <s v="Truck"/>
    <n v="5"/>
    <s v="Premium"/>
    <n v="124977"/>
    <n v="3.96"/>
    <n v="11747769262.65"/>
  </r>
  <r>
    <x v="2"/>
    <s v="Model Y"/>
    <x v="2"/>
    <x v="0"/>
    <n v="38805.29"/>
    <n v="86.7"/>
    <n v="295"/>
    <n v="190"/>
    <s v="Truck"/>
    <n v="5"/>
    <s v="Mid-range"/>
    <n v="424786"/>
    <n v="4.1399999999999997"/>
    <n v="16483943917.940001"/>
  </r>
  <r>
    <x v="7"/>
    <s v="ID.5"/>
    <x v="2"/>
    <x v="4"/>
    <n v="70140.570000000007"/>
    <n v="83.5"/>
    <n v="319"/>
    <n v="142"/>
    <s v="Hatchback"/>
    <n v="5"/>
    <s v="Premium"/>
    <n v="203826"/>
    <n v="3.8"/>
    <n v="14296471820.820002"/>
  </r>
  <r>
    <x v="0"/>
    <s v="bZ4X"/>
    <x v="2"/>
    <x v="3"/>
    <n v="55775.75"/>
    <n v="84.6"/>
    <n v="281"/>
    <n v="163"/>
    <s v="Coupe"/>
    <n v="4"/>
    <s v="Mid-range"/>
    <n v="18523"/>
    <n v="3.32"/>
    <n v="1033134217.25"/>
  </r>
  <r>
    <x v="2"/>
    <s v="Model S"/>
    <x v="2"/>
    <x v="4"/>
    <n v="163492.79999999999"/>
    <n v="65.400000000000006"/>
    <n v="193"/>
    <n v="154"/>
    <s v="Hatchback"/>
    <n v="5"/>
    <s v="Luxury"/>
    <n v="241709"/>
    <n v="3.96"/>
    <n v="39517681195.199997"/>
  </r>
  <r>
    <x v="3"/>
    <s v="Atto 3"/>
    <x v="2"/>
    <x v="2"/>
    <n v="49226.29"/>
    <n v="46.7"/>
    <n v="177"/>
    <n v="160"/>
    <s v="Coupe"/>
    <n v="5"/>
    <s v="Mid-range"/>
    <n v="172454"/>
    <n v="3.29"/>
    <n v="8489270615.6599998"/>
  </r>
  <r>
    <x v="4"/>
    <s v="e-tron GT"/>
    <x v="2"/>
    <x v="4"/>
    <n v="137631.97"/>
    <n v="43.1"/>
    <n v="150"/>
    <n v="168"/>
    <s v="Truck"/>
    <n v="4"/>
    <s v="Luxury"/>
    <n v="74974"/>
    <n v="3.3"/>
    <n v="10318819318.780001"/>
  </r>
  <r>
    <x v="5"/>
    <s v="Niro EV"/>
    <x v="2"/>
    <x v="4"/>
    <n v="93773.43"/>
    <n v="61.9"/>
    <n v="194"/>
    <n v="152"/>
    <s v="Truck"/>
    <n v="5"/>
    <s v="Premium"/>
    <n v="126881"/>
    <n v="3.6"/>
    <n v="11898066571.83"/>
  </r>
  <r>
    <x v="9"/>
    <s v="i5"/>
    <x v="2"/>
    <x v="1"/>
    <n v="102440.51"/>
    <n v="94.7"/>
    <n v="337"/>
    <n v="184"/>
    <s v="Hatchback"/>
    <n v="3"/>
    <s v="Luxury"/>
    <n v="23392"/>
    <n v="3.69"/>
    <n v="2396288409.9200001"/>
  </r>
  <r>
    <x v="5"/>
    <s v="EV6"/>
    <x v="2"/>
    <x v="1"/>
    <n v="48028.480000000003"/>
    <n v="102.7"/>
    <n v="351"/>
    <n v="200"/>
    <s v="Hatchback"/>
    <n v="4"/>
    <s v="Mid-range"/>
    <n v="81607"/>
    <n v="3.7"/>
    <n v="3919460167.3600001"/>
  </r>
  <r>
    <x v="6"/>
    <s v="i30"/>
    <x v="2"/>
    <x v="2"/>
    <n v="52457.02"/>
    <n v="61.6"/>
    <n v="184"/>
    <n v="139"/>
    <s v="Sedan"/>
    <n v="5"/>
    <s v="Mid-range"/>
    <n v="72150"/>
    <n v="3.34"/>
    <n v="3784773993"/>
  </r>
  <r>
    <x v="8"/>
    <s v="E-Transit"/>
    <x v="2"/>
    <x v="4"/>
    <n v="72686.399999999994"/>
    <n v="58.3"/>
    <n v="197"/>
    <n v="135"/>
    <s v="Coupe"/>
    <n v="3"/>
    <s v="Premium"/>
    <n v="32038"/>
    <n v="3.44"/>
    <n v="2328726883.1999998"/>
  </r>
  <r>
    <x v="2"/>
    <s v="Model 3"/>
    <x v="2"/>
    <x v="0"/>
    <n v="84609.91"/>
    <n v="107.2"/>
    <n v="365"/>
    <n v="165"/>
    <s v="SUV"/>
    <n v="4"/>
    <s v="Premium"/>
    <n v="171529"/>
    <n v="4.12"/>
    <n v="14513053252.390001"/>
  </r>
  <r>
    <x v="13"/>
    <s v="GLE EV"/>
    <x v="2"/>
    <x v="2"/>
    <n v="94570.880000000005"/>
    <n v="72.7"/>
    <n v="257"/>
    <n v="162"/>
    <s v="Truck"/>
    <n v="5"/>
    <s v="Premium"/>
    <n v="59270"/>
    <n v="3.75"/>
    <n v="5605216057.6000004"/>
  </r>
  <r>
    <x v="2"/>
    <s v="Model 3"/>
    <x v="2"/>
    <x v="3"/>
    <n v="112086.56"/>
    <n v="61.2"/>
    <n v="215"/>
    <n v="152"/>
    <s v="Sedan"/>
    <n v="5"/>
    <s v="Luxury"/>
    <n v="140793"/>
    <n v="3.65"/>
    <n v="15781003042.08"/>
  </r>
  <r>
    <x v="13"/>
    <s v="EQG"/>
    <x v="2"/>
    <x v="2"/>
    <n v="64416.89"/>
    <n v="70"/>
    <n v="262"/>
    <n v="142"/>
    <s v="SUV"/>
    <n v="5"/>
    <s v="Mid-range"/>
    <n v="31870"/>
    <n v="3.9"/>
    <n v="2052966284.3"/>
  </r>
  <r>
    <x v="8"/>
    <s v="F-150 Lightning"/>
    <x v="2"/>
    <x v="4"/>
    <n v="39147.79"/>
    <n v="52.5"/>
    <n v="215"/>
    <n v="170"/>
    <s v="Truck"/>
    <n v="4"/>
    <s v="Mid-range"/>
    <n v="78104"/>
    <n v="3.41"/>
    <n v="3057598990.1599998"/>
  </r>
  <r>
    <x v="7"/>
    <s v="ID.5"/>
    <x v="2"/>
    <x v="1"/>
    <n v="46348.56"/>
    <n v="90"/>
    <n v="333"/>
    <n v="188"/>
    <s v="SUV"/>
    <n v="4"/>
    <s v="Mid-range"/>
    <n v="219975"/>
    <n v="3.79"/>
    <n v="10195524486"/>
  </r>
  <r>
    <x v="2"/>
    <s v="Cybertruck"/>
    <x v="2"/>
    <x v="0"/>
    <n v="109130.05"/>
    <n v="91.6"/>
    <n v="339"/>
    <n v="160"/>
    <s v="Truck"/>
    <n v="5"/>
    <s v="Luxury"/>
    <n v="161385"/>
    <n v="4.17"/>
    <n v="17611953119.25"/>
  </r>
  <r>
    <x v="3"/>
    <s v="Atto 3"/>
    <x v="2"/>
    <x v="0"/>
    <n v="59084.31"/>
    <n v="100.3"/>
    <n v="349"/>
    <n v="182"/>
    <s v="Hatchback"/>
    <n v="4"/>
    <s v="Mid-range"/>
    <n v="242445"/>
    <n v="3.57"/>
    <n v="14324695537.949999"/>
  </r>
  <r>
    <x v="9"/>
    <s v="i5"/>
    <x v="2"/>
    <x v="1"/>
    <n v="74178.539999999994"/>
    <n v="74"/>
    <n v="257"/>
    <n v="187"/>
    <s v="Coupe"/>
    <n v="5"/>
    <s v="Premium"/>
    <n v="60959"/>
    <n v="3.29"/>
    <n v="4521849619.8599997"/>
  </r>
  <r>
    <x v="3"/>
    <s v="Qin"/>
    <x v="2"/>
    <x v="2"/>
    <n v="51140.49"/>
    <n v="58.3"/>
    <n v="209"/>
    <n v="182"/>
    <s v="Van"/>
    <n v="5"/>
    <s v="Mid-range"/>
    <n v="122452"/>
    <n v="3.62"/>
    <n v="6262255281.4799995"/>
  </r>
  <r>
    <x v="11"/>
    <s v="R1S"/>
    <x v="2"/>
    <x v="4"/>
    <n v="102878.64"/>
    <n v="67.400000000000006"/>
    <n v="249"/>
    <n v="161"/>
    <s v="Sedan"/>
    <n v="5"/>
    <s v="Luxury"/>
    <n v="27062"/>
    <n v="3.19"/>
    <n v="2784101755.6799998"/>
  </r>
  <r>
    <x v="17"/>
    <s v="XC90 Recharge"/>
    <x v="2"/>
    <x v="1"/>
    <n v="74428.14"/>
    <n v="86.1"/>
    <n v="316"/>
    <n v="191"/>
    <s v="Truck"/>
    <n v="5"/>
    <s v="Premium"/>
    <n v="3031"/>
    <n v="3.51"/>
    <n v="225591692.34"/>
  </r>
  <r>
    <x v="5"/>
    <s v="EV9"/>
    <x v="2"/>
    <x v="0"/>
    <n v="73675.86"/>
    <n v="96"/>
    <n v="333"/>
    <n v="183"/>
    <s v="SUV"/>
    <n v="5"/>
    <s v="Premium"/>
    <n v="89937"/>
    <n v="3.58"/>
    <n v="6626185820.8199997"/>
  </r>
  <r>
    <x v="0"/>
    <s v="bZ4X"/>
    <x v="2"/>
    <x v="2"/>
    <n v="35115.72"/>
    <n v="61.4"/>
    <n v="238"/>
    <n v="138"/>
    <s v="Hatchback"/>
    <n v="4"/>
    <s v="Mid-range"/>
    <n v="3528"/>
    <n v="3.67"/>
    <n v="123888260.16000001"/>
  </r>
  <r>
    <x v="9"/>
    <s v="i4"/>
    <x v="2"/>
    <x v="3"/>
    <n v="99869.64"/>
    <n v="50.6"/>
    <n v="193"/>
    <n v="135"/>
    <s v="Coupe"/>
    <n v="4"/>
    <s v="Premium"/>
    <n v="76842"/>
    <n v="3.62"/>
    <n v="7674182876.8800001"/>
  </r>
  <r>
    <x v="3"/>
    <s v="Dolphin"/>
    <x v="2"/>
    <x v="3"/>
    <n v="30805.35"/>
    <n v="40"/>
    <n v="150"/>
    <n v="141"/>
    <s v="Truck"/>
    <n v="5"/>
    <s v="Budget"/>
    <n v="133529"/>
    <n v="3.4"/>
    <n v="4113407580.1499996"/>
  </r>
  <r>
    <x v="13"/>
    <s v="EQG"/>
    <x v="2"/>
    <x v="3"/>
    <n v="126403.53"/>
    <n v="64.900000000000006"/>
    <n v="225"/>
    <n v="137"/>
    <s v="SUV"/>
    <n v="4"/>
    <s v="Luxury"/>
    <n v="37272"/>
    <n v="3.78"/>
    <n v="4711312370.1599998"/>
  </r>
  <r>
    <x v="3"/>
    <s v="Seagull"/>
    <x v="2"/>
    <x v="0"/>
    <n v="53237.26"/>
    <n v="103"/>
    <n v="376"/>
    <n v="186"/>
    <s v="Truck"/>
    <n v="5"/>
    <s v="Mid-range"/>
    <n v="163016"/>
    <n v="3.81"/>
    <n v="8678525176.1599998"/>
  </r>
  <r>
    <x v="13"/>
    <s v="EQC"/>
    <x v="2"/>
    <x v="4"/>
    <n v="155446.31"/>
    <n v="72.7"/>
    <n v="265"/>
    <n v="175"/>
    <s v="Sedan"/>
    <n v="5"/>
    <s v="Luxury"/>
    <n v="41853"/>
    <n v="3.77"/>
    <n v="6505894412.4300003"/>
  </r>
  <r>
    <x v="6"/>
    <s v="Ioniq 5"/>
    <x v="2"/>
    <x v="4"/>
    <n v="55487.47"/>
    <n v="41.2"/>
    <n v="154"/>
    <n v="169"/>
    <s v="Sedan"/>
    <n v="3"/>
    <s v="Mid-range"/>
    <n v="52238"/>
    <n v="3.21"/>
    <n v="2898554457.8600001"/>
  </r>
  <r>
    <x v="9"/>
    <s v="iX"/>
    <x v="2"/>
    <x v="2"/>
    <n v="51043.69"/>
    <n v="76"/>
    <n v="263"/>
    <n v="172"/>
    <s v="Coupe"/>
    <n v="4"/>
    <s v="Mid-range"/>
    <n v="44259"/>
    <n v="3.39"/>
    <n v="2259142675.71"/>
  </r>
  <r>
    <x v="8"/>
    <s v="Mustang Mach-E"/>
    <x v="2"/>
    <x v="3"/>
    <n v="56513.760000000002"/>
    <n v="52.3"/>
    <n v="189"/>
    <n v="162"/>
    <s v="Truck"/>
    <n v="3"/>
    <s v="Mid-range"/>
    <n v="39584"/>
    <n v="3.23"/>
    <n v="2237040675.8400002"/>
  </r>
  <r>
    <x v="2"/>
    <s v="Model X"/>
    <x v="2"/>
    <x v="2"/>
    <n v="53235.86"/>
    <n v="84.7"/>
    <n v="305"/>
    <n v="178"/>
    <s v="Coupe"/>
    <n v="4"/>
    <s v="Mid-range"/>
    <n v="178460"/>
    <n v="3.67"/>
    <n v="9500471575.6000004"/>
  </r>
  <r>
    <x v="3"/>
    <s v="Atto 3"/>
    <x v="2"/>
    <x v="0"/>
    <n v="101092.71"/>
    <n v="80.099999999999994"/>
    <n v="278"/>
    <n v="177"/>
    <s v="Sedan"/>
    <n v="5"/>
    <s v="Luxury"/>
    <n v="230522"/>
    <n v="3.61"/>
    <n v="23304093694.620003"/>
  </r>
  <r>
    <x v="7"/>
    <s v="ID. Aero"/>
    <x v="2"/>
    <x v="1"/>
    <n v="94244.35"/>
    <n v="75.7"/>
    <n v="264"/>
    <n v="200"/>
    <s v="SUV"/>
    <n v="4"/>
    <s v="Premium"/>
    <n v="251606"/>
    <n v="3.39"/>
    <n v="23712443926.100002"/>
  </r>
  <r>
    <x v="7"/>
    <s v="ID. Buzz"/>
    <x v="2"/>
    <x v="1"/>
    <n v="46160.26"/>
    <n v="117.4"/>
    <n v="399"/>
    <n v="198"/>
    <s v="Coupe"/>
    <n v="5"/>
    <s v="Mid-range"/>
    <n v="298179"/>
    <n v="3.96"/>
    <n v="13764020166.540001"/>
  </r>
  <r>
    <x v="4"/>
    <s v="Q4 e-tron"/>
    <x v="2"/>
    <x v="2"/>
    <n v="84689.7"/>
    <n v="69.599999999999994"/>
    <n v="254"/>
    <n v="135"/>
    <s v="Van"/>
    <n v="5"/>
    <s v="Premium"/>
    <n v="55401"/>
    <n v="3.66"/>
    <n v="4691894069.6999998"/>
  </r>
  <r>
    <x v="8"/>
    <s v="E-Transit"/>
    <x v="2"/>
    <x v="0"/>
    <n v="44715.21"/>
    <n v="85"/>
    <n v="299"/>
    <n v="179"/>
    <s v="SUV"/>
    <n v="5"/>
    <s v="Mid-range"/>
    <n v="77918"/>
    <n v="3.48"/>
    <n v="3484119732.7799997"/>
  </r>
  <r>
    <x v="2"/>
    <s v="Cybertruck"/>
    <x v="2"/>
    <x v="2"/>
    <n v="33281.599999999999"/>
    <n v="82.5"/>
    <n v="281"/>
    <n v="175"/>
    <s v="Truck"/>
    <n v="5"/>
    <s v="Budget"/>
    <n v="223257"/>
    <n v="3.91"/>
    <n v="7430350171.1999998"/>
  </r>
  <r>
    <x v="3"/>
    <s v="Qin"/>
    <x v="2"/>
    <x v="2"/>
    <n v="24219.14"/>
    <n v="71.400000000000006"/>
    <n v="265"/>
    <n v="170"/>
    <s v="Coupe"/>
    <n v="4"/>
    <s v="Budget"/>
    <n v="166519"/>
    <n v="3.3"/>
    <n v="4032946973.6599998"/>
  </r>
  <r>
    <x v="3"/>
    <s v="Dolphin"/>
    <x v="2"/>
    <x v="0"/>
    <n v="43671.62"/>
    <n v="95.1"/>
    <n v="328"/>
    <n v="173"/>
    <s v="Coupe"/>
    <n v="3"/>
    <s v="Mid-range"/>
    <n v="203792"/>
    <n v="3.47"/>
    <n v="8899926783.0400009"/>
  </r>
  <r>
    <x v="12"/>
    <s v="Bolt EV"/>
    <x v="2"/>
    <x v="2"/>
    <n v="44453.56"/>
    <n v="69.7"/>
    <n v="242"/>
    <n v="145"/>
    <s v="Van"/>
    <n v="5"/>
    <s v="Mid-range"/>
    <n v="19383"/>
    <n v="3.42"/>
    <n v="861643353.4799999"/>
  </r>
  <r>
    <x v="2"/>
    <s v="Model X"/>
    <x v="2"/>
    <x v="4"/>
    <n v="78153.08"/>
    <n v="79.8"/>
    <n v="277"/>
    <n v="130"/>
    <s v="Hatchback"/>
    <n v="4"/>
    <s v="Premium"/>
    <n v="114033"/>
    <n v="3.63"/>
    <n v="8912030171.6399994"/>
  </r>
  <r>
    <x v="13"/>
    <s v="GLE EV"/>
    <x v="2"/>
    <x v="4"/>
    <n v="93751.44"/>
    <n v="73.400000000000006"/>
    <n v="267"/>
    <n v="166"/>
    <s v="Van"/>
    <n v="5"/>
    <s v="Premium"/>
    <n v="32471"/>
    <n v="3.81"/>
    <n v="3044203008.2400002"/>
  </r>
  <r>
    <x v="7"/>
    <s v="ID. Aero"/>
    <x v="2"/>
    <x v="2"/>
    <n v="29912.83"/>
    <n v="40.5"/>
    <n v="150"/>
    <n v="140"/>
    <s v="Van"/>
    <n v="5"/>
    <s v="Budget"/>
    <n v="200434"/>
    <n v="3.19"/>
    <n v="5995548168.2200003"/>
  </r>
  <r>
    <x v="2"/>
    <s v="Model X"/>
    <x v="2"/>
    <x v="1"/>
    <n v="117706.38"/>
    <n v="71.400000000000006"/>
    <n v="249"/>
    <n v="189"/>
    <s v="Truck"/>
    <n v="5"/>
    <s v="Luxury"/>
    <n v="160982"/>
    <n v="3.75"/>
    <n v="18948608465.16"/>
  </r>
  <r>
    <x v="3"/>
    <s v="Atto 3"/>
    <x v="2"/>
    <x v="1"/>
    <n v="98782.03"/>
    <n v="77.8"/>
    <n v="278"/>
    <n v="192"/>
    <s v="Coupe"/>
    <n v="4"/>
    <s v="Premium"/>
    <n v="130723"/>
    <n v="3.47"/>
    <n v="12913083307.690001"/>
  </r>
  <r>
    <x v="5"/>
    <s v="EV6"/>
    <x v="2"/>
    <x v="4"/>
    <n v="40060.04"/>
    <n v="63"/>
    <n v="235"/>
    <n v="153"/>
    <s v="Sedan"/>
    <n v="4"/>
    <s v="Mid-range"/>
    <n v="51025"/>
    <n v="3.4"/>
    <n v="2044063541"/>
  </r>
  <r>
    <x v="2"/>
    <s v="Model X"/>
    <x v="2"/>
    <x v="2"/>
    <n v="43328.14"/>
    <n v="65.3"/>
    <n v="226"/>
    <n v="134"/>
    <s v="Van"/>
    <n v="3"/>
    <s v="Mid-range"/>
    <n v="148395"/>
    <n v="3.64"/>
    <n v="6429679335.3000002"/>
  </r>
  <r>
    <x v="9"/>
    <s v="i4"/>
    <x v="2"/>
    <x v="1"/>
    <n v="102335.06"/>
    <n v="106.5"/>
    <n v="365"/>
    <n v="200"/>
    <s v="Hatchback"/>
    <n v="5"/>
    <s v="Luxury"/>
    <n v="57345"/>
    <n v="3.89"/>
    <n v="5868404015.6999998"/>
  </r>
  <r>
    <x v="5"/>
    <s v="Sportage EV"/>
    <x v="2"/>
    <x v="3"/>
    <n v="38543.18"/>
    <n v="45.8"/>
    <n v="159"/>
    <n v="175"/>
    <s v="SUV"/>
    <n v="5"/>
    <s v="Mid-range"/>
    <n v="117943"/>
    <n v="3.08"/>
    <n v="4545898278.7399998"/>
  </r>
  <r>
    <x v="7"/>
    <s v="ID.3"/>
    <x v="2"/>
    <x v="2"/>
    <n v="53614.66"/>
    <n v="63.7"/>
    <n v="213"/>
    <n v="160"/>
    <s v="SUV"/>
    <n v="4"/>
    <s v="Mid-range"/>
    <n v="208794"/>
    <n v="3.39"/>
    <n v="11194419320.040001"/>
  </r>
  <r>
    <x v="13"/>
    <s v="EQG"/>
    <x v="2"/>
    <x v="0"/>
    <n v="74524.3"/>
    <n v="84.1"/>
    <n v="298"/>
    <n v="180"/>
    <s v="Hatchback"/>
    <n v="5"/>
    <s v="Premium"/>
    <n v="75343"/>
    <n v="3.85"/>
    <n v="5614884334.9000006"/>
  </r>
  <r>
    <x v="13"/>
    <s v="GLE EV"/>
    <x v="2"/>
    <x v="0"/>
    <n v="100017.14"/>
    <n v="108.6"/>
    <n v="382"/>
    <n v="157"/>
    <s v="Hatchback"/>
    <n v="5"/>
    <s v="Luxury"/>
    <n v="39100"/>
    <n v="3.99"/>
    <n v="3910670174"/>
  </r>
  <r>
    <x v="13"/>
    <s v="EQC"/>
    <x v="2"/>
    <x v="0"/>
    <n v="117361.83"/>
    <n v="91.3"/>
    <n v="335"/>
    <n v="158"/>
    <s v="SUV"/>
    <n v="4"/>
    <s v="Luxury"/>
    <n v="75929"/>
    <n v="3.88"/>
    <n v="8911166390.0699997"/>
  </r>
  <r>
    <x v="18"/>
    <s v="e"/>
    <x v="2"/>
    <x v="4"/>
    <n v="60662.04"/>
    <n v="67.2"/>
    <n v="242"/>
    <n v="154"/>
    <s v="SUV"/>
    <n v="4"/>
    <s v="Mid-range"/>
    <n v="10748"/>
    <n v="3.54"/>
    <n v="651995605.91999996"/>
  </r>
  <r>
    <x v="8"/>
    <s v="Mustang Mach-E"/>
    <x v="2"/>
    <x v="2"/>
    <n v="64696.27"/>
    <n v="51.7"/>
    <n v="165"/>
    <n v="144"/>
    <s v="Van"/>
    <n v="4"/>
    <s v="Mid-range"/>
    <n v="37967"/>
    <n v="3.06"/>
    <n v="2456323283.0899997"/>
  </r>
  <r>
    <x v="3"/>
    <s v="Max"/>
    <x v="2"/>
    <x v="3"/>
    <n v="59138.53"/>
    <n v="43.2"/>
    <n v="160"/>
    <n v="141"/>
    <s v="Sedan"/>
    <n v="4"/>
    <s v="Mid-range"/>
    <n v="241442"/>
    <n v="3.15"/>
    <n v="14278524960.26"/>
  </r>
  <r>
    <x v="12"/>
    <s v="Equinox EV"/>
    <x v="2"/>
    <x v="2"/>
    <n v="33771.620000000003"/>
    <n v="73.400000000000006"/>
    <n v="250"/>
    <n v="157"/>
    <s v="SUV"/>
    <n v="4"/>
    <s v="Budget"/>
    <n v="22698"/>
    <n v="3.33"/>
    <n v="766548230.76000011"/>
  </r>
  <r>
    <x v="3"/>
    <s v="Qin"/>
    <x v="2"/>
    <x v="2"/>
    <n v="30225.18"/>
    <n v="54.4"/>
    <n v="172"/>
    <n v="162"/>
    <s v="Coupe"/>
    <n v="4"/>
    <s v="Budget"/>
    <n v="237770"/>
    <n v="3.36"/>
    <n v="7186641048.6000004"/>
  </r>
  <r>
    <x v="3"/>
    <s v="Max"/>
    <x v="2"/>
    <x v="3"/>
    <n v="72612.58"/>
    <n v="73.400000000000006"/>
    <n v="257"/>
    <n v="142"/>
    <s v="Van"/>
    <n v="4"/>
    <s v="Premium"/>
    <n v="232843"/>
    <n v="3.32"/>
    <n v="16907330964.940001"/>
  </r>
  <r>
    <x v="5"/>
    <s v="Niro EV"/>
    <x v="2"/>
    <x v="2"/>
    <n v="34817.25"/>
    <n v="56.3"/>
    <n v="207"/>
    <n v="173"/>
    <s v="Truck"/>
    <n v="4"/>
    <s v="Budget"/>
    <n v="109878"/>
    <n v="3.27"/>
    <n v="3825649795.5"/>
  </r>
  <r>
    <x v="6"/>
    <s v="Ioniq"/>
    <x v="2"/>
    <x v="3"/>
    <n v="39241.19"/>
    <n v="62.3"/>
    <n v="205"/>
    <n v="173"/>
    <s v="SUV"/>
    <n v="5"/>
    <s v="Mid-range"/>
    <n v="50222"/>
    <n v="3.32"/>
    <n v="1970771044.1800001"/>
  </r>
  <r>
    <x v="6"/>
    <s v="Ioniq 6"/>
    <x v="2"/>
    <x v="1"/>
    <n v="56768.4"/>
    <n v="117.3"/>
    <n v="400"/>
    <n v="200"/>
    <s v="Coupe"/>
    <n v="5"/>
    <s v="Mid-range"/>
    <n v="141874"/>
    <n v="4.18"/>
    <n v="8053959981.6000004"/>
  </r>
  <r>
    <x v="8"/>
    <s v="Explorer EV"/>
    <x v="2"/>
    <x v="0"/>
    <n v="86649.72"/>
    <n v="78.8"/>
    <n v="301"/>
    <n v="175"/>
    <s v="Truck"/>
    <n v="5"/>
    <s v="Premium"/>
    <n v="45060"/>
    <n v="3.95"/>
    <n v="3904436383.2000003"/>
  </r>
  <r>
    <x v="3"/>
    <s v="Qin"/>
    <x v="2"/>
    <x v="4"/>
    <n v="39142.51"/>
    <n v="67.400000000000006"/>
    <n v="236"/>
    <n v="159"/>
    <s v="Hatchback"/>
    <n v="3"/>
    <s v="Mid-range"/>
    <n v="143146"/>
    <n v="3.46"/>
    <n v="5603093736.46"/>
  </r>
  <r>
    <x v="7"/>
    <s v="ID. Aero"/>
    <x v="2"/>
    <x v="0"/>
    <n v="73265.41"/>
    <n v="102.2"/>
    <n v="363"/>
    <n v="187"/>
    <s v="Truck"/>
    <n v="3"/>
    <s v="Premium"/>
    <n v="255210"/>
    <n v="3.55"/>
    <n v="18698065286.100002"/>
  </r>
  <r>
    <x v="13"/>
    <s v="EQS"/>
    <x v="2"/>
    <x v="0"/>
    <n v="178840.11"/>
    <n v="102.1"/>
    <n v="380"/>
    <n v="182"/>
    <s v="Truck"/>
    <n v="5"/>
    <s v="Luxury"/>
    <n v="49341"/>
    <n v="4.26"/>
    <n v="8824149867.5100002"/>
  </r>
  <r>
    <x v="3"/>
    <s v="Qin"/>
    <x v="2"/>
    <x v="2"/>
    <n v="46766.53"/>
    <n v="44.5"/>
    <n v="150"/>
    <n v="162"/>
    <s v="Sedan"/>
    <n v="3"/>
    <s v="Mid-range"/>
    <n v="150601"/>
    <n v="3.18"/>
    <n v="7043086184.5299997"/>
  </r>
  <r>
    <x v="2"/>
    <s v="Cybertruck"/>
    <x v="2"/>
    <x v="1"/>
    <n v="57537.68"/>
    <n v="103.2"/>
    <n v="386"/>
    <n v="199"/>
    <s v="Truck"/>
    <n v="5"/>
    <s v="Mid-range"/>
    <n v="194936"/>
    <n v="4.0599999999999996"/>
    <n v="11216165188.48"/>
  </r>
  <r>
    <x v="7"/>
    <s v="ID.5"/>
    <x v="2"/>
    <x v="2"/>
    <n v="27966.77"/>
    <n v="59.8"/>
    <n v="195"/>
    <n v="172"/>
    <s v="Sedan"/>
    <n v="5"/>
    <s v="Budget"/>
    <n v="258777"/>
    <n v="3.29"/>
    <n v="7237156840.29"/>
  </r>
  <r>
    <x v="2"/>
    <s v="Model Y"/>
    <x v="2"/>
    <x v="0"/>
    <n v="45169.5"/>
    <n v="98.8"/>
    <n v="340"/>
    <n v="170"/>
    <s v="Van"/>
    <n v="4"/>
    <s v="Mid-range"/>
    <n v="416114"/>
    <n v="4.22"/>
    <n v="18795661323"/>
  </r>
  <r>
    <x v="6"/>
    <s v="Ioniq"/>
    <x v="2"/>
    <x v="2"/>
    <n v="28093.63"/>
    <n v="47.2"/>
    <n v="167"/>
    <n v="139"/>
    <s v="Van"/>
    <n v="3"/>
    <s v="Budget"/>
    <n v="119899"/>
    <n v="3.25"/>
    <n v="3368398143.3699999"/>
  </r>
  <r>
    <x v="4"/>
    <s v="Q4 e-tron"/>
    <x v="2"/>
    <x v="4"/>
    <n v="144615.75"/>
    <n v="49.5"/>
    <n v="161"/>
    <n v="152"/>
    <s v="SUV"/>
    <n v="5"/>
    <s v="Luxury"/>
    <n v="57074"/>
    <n v="3.06"/>
    <n v="8253799315.5"/>
  </r>
  <r>
    <x v="6"/>
    <s v="Ioniq 5"/>
    <x v="2"/>
    <x v="4"/>
    <n v="39046.61"/>
    <n v="54.4"/>
    <n v="178"/>
    <n v="148"/>
    <s v="Coupe"/>
    <n v="4"/>
    <s v="Mid-range"/>
    <n v="57836"/>
    <n v="3.14"/>
    <n v="2258299735.96"/>
  </r>
  <r>
    <x v="17"/>
    <s v="XC90 Recharge"/>
    <x v="2"/>
    <x v="1"/>
    <n v="90661.21"/>
    <n v="108.4"/>
    <n v="396"/>
    <n v="200"/>
    <s v="SUV"/>
    <n v="5"/>
    <s v="Premium"/>
    <n v="15699"/>
    <n v="3.68"/>
    <n v="1423290335.7900002"/>
  </r>
  <r>
    <x v="9"/>
    <s v="i7"/>
    <x v="2"/>
    <x v="1"/>
    <n v="154009.88"/>
    <n v="79"/>
    <n v="275"/>
    <n v="180"/>
    <s v="Coupe"/>
    <n v="4"/>
    <s v="Luxury"/>
    <n v="26663"/>
    <n v="3.51"/>
    <n v="4106365430.4400001"/>
  </r>
  <r>
    <x v="9"/>
    <s v="i7"/>
    <x v="2"/>
    <x v="4"/>
    <n v="116700.28"/>
    <n v="62.9"/>
    <n v="213"/>
    <n v="146"/>
    <s v="Van"/>
    <n v="5"/>
    <s v="Luxury"/>
    <n v="29505"/>
    <n v="3.78"/>
    <n v="3443241761.4000001"/>
  </r>
  <r>
    <x v="2"/>
    <s v="Cybertruck"/>
    <x v="2"/>
    <x v="0"/>
    <n v="88720.74"/>
    <n v="92.2"/>
    <n v="341"/>
    <n v="175"/>
    <s v="Truck"/>
    <n v="4"/>
    <s v="Premium"/>
    <n v="226922"/>
    <n v="4.0199999999999996"/>
    <n v="20132687762.280003"/>
  </r>
  <r>
    <x v="17"/>
    <s v="C40 Recharge"/>
    <x v="2"/>
    <x v="2"/>
    <n v="45992.59"/>
    <n v="83.4"/>
    <n v="291"/>
    <n v="175"/>
    <s v="Hatchback"/>
    <n v="5"/>
    <s v="Mid-range"/>
    <n v="3048"/>
    <n v="3.39"/>
    <n v="140185414.31999999"/>
  </r>
  <r>
    <x v="14"/>
    <s v="EC6"/>
    <x v="2"/>
    <x v="3"/>
    <n v="64086.32"/>
    <n v="52.7"/>
    <n v="161"/>
    <n v="169"/>
    <s v="SUV"/>
    <n v="5"/>
    <s v="Mid-range"/>
    <n v="19395"/>
    <n v="3.46"/>
    <n v="1242954176.4000001"/>
  </r>
  <r>
    <x v="7"/>
    <s v="ID. Aero"/>
    <x v="2"/>
    <x v="0"/>
    <n v="60508.93"/>
    <n v="105.5"/>
    <n v="362"/>
    <n v="171"/>
    <s v="Coupe"/>
    <n v="5"/>
    <s v="Mid-range"/>
    <n v="222081"/>
    <n v="3.78"/>
    <n v="13437883683.33"/>
  </r>
  <r>
    <x v="3"/>
    <s v="Qin"/>
    <x v="2"/>
    <x v="3"/>
    <n v="70030.570000000007"/>
    <n v="41.8"/>
    <n v="150"/>
    <n v="133"/>
    <s v="Hatchback"/>
    <n v="3"/>
    <s v="Premium"/>
    <n v="187796"/>
    <n v="3.45"/>
    <n v="13151460923.720001"/>
  </r>
  <r>
    <x v="7"/>
    <s v="ID. Aero"/>
    <x v="2"/>
    <x v="1"/>
    <n v="77144.75"/>
    <n v="109.8"/>
    <n v="367"/>
    <n v="200"/>
    <s v="Coupe"/>
    <n v="5"/>
    <s v="Premium"/>
    <n v="280321"/>
    <n v="3.69"/>
    <n v="21625293464.75"/>
  </r>
  <r>
    <x v="6"/>
    <s v="Ioniq 5"/>
    <x v="2"/>
    <x v="1"/>
    <n v="87757.22"/>
    <n v="77.5"/>
    <n v="262"/>
    <n v="194"/>
    <s v="Truck"/>
    <n v="5"/>
    <s v="Premium"/>
    <n v="73010"/>
    <n v="3.41"/>
    <n v="6407154632.1999998"/>
  </r>
  <r>
    <x v="2"/>
    <s v="Model X"/>
    <x v="2"/>
    <x v="1"/>
    <n v="77379.740000000005"/>
    <n v="110"/>
    <n v="373"/>
    <n v="200"/>
    <s v="Sedan"/>
    <n v="3"/>
    <s v="Premium"/>
    <n v="238571"/>
    <n v="4.04"/>
    <n v="18460561951.540001"/>
  </r>
  <r>
    <x v="12"/>
    <s v="Equinox EV"/>
    <x v="2"/>
    <x v="2"/>
    <n v="32829.19"/>
    <n v="77.7"/>
    <n v="295"/>
    <n v="139"/>
    <s v="SUV"/>
    <n v="5"/>
    <s v="Budget"/>
    <n v="26546"/>
    <n v="3.6"/>
    <n v="871483677.74000001"/>
  </r>
  <r>
    <x v="2"/>
    <s v="Model Y"/>
    <x v="2"/>
    <x v="3"/>
    <n v="93506.44"/>
    <n v="60.2"/>
    <n v="206"/>
    <n v="137"/>
    <s v="Van"/>
    <n v="5"/>
    <s v="Premium"/>
    <n v="464918"/>
    <n v="3.52"/>
    <n v="43472827071.919998"/>
  </r>
  <r>
    <x v="8"/>
    <s v="E-Transit"/>
    <x v="2"/>
    <x v="1"/>
    <n v="72683.98"/>
    <n v="73.7"/>
    <n v="253"/>
    <n v="200"/>
    <s v="Coupe"/>
    <n v="4"/>
    <s v="Premium"/>
    <n v="25267"/>
    <n v="3.64"/>
    <n v="1836506122.6599998"/>
  </r>
  <r>
    <x v="2"/>
    <s v="Model 3"/>
    <x v="2"/>
    <x v="4"/>
    <n v="78038.19"/>
    <n v="59.8"/>
    <n v="219"/>
    <n v="162"/>
    <s v="Coupe"/>
    <n v="3"/>
    <s v="Premium"/>
    <n v="156841"/>
    <n v="3.58"/>
    <n v="12239587757.790001"/>
  </r>
  <r>
    <x v="3"/>
    <s v="Leaf 50X"/>
    <x v="2"/>
    <x v="0"/>
    <n v="80180.179999999993"/>
    <n v="86.6"/>
    <n v="329"/>
    <n v="183"/>
    <s v="Truck"/>
    <n v="5"/>
    <s v="Premium"/>
    <n v="170493"/>
    <n v="3.64"/>
    <n v="13670159428.739998"/>
  </r>
  <r>
    <x v="12"/>
    <s v="Equinox EV"/>
    <x v="2"/>
    <x v="1"/>
    <n v="59493.52"/>
    <n v="71.900000000000006"/>
    <n v="270"/>
    <n v="200"/>
    <s v="SUV"/>
    <n v="3"/>
    <s v="Mid-range"/>
    <n v="16751"/>
    <n v="3.44"/>
    <n v="996575953.51999998"/>
  </r>
  <r>
    <x v="3"/>
    <s v="Max"/>
    <x v="2"/>
    <x v="3"/>
    <n v="68088.929999999993"/>
    <n v="51.8"/>
    <n v="170"/>
    <n v="173"/>
    <s v="Hatchback"/>
    <n v="4"/>
    <s v="Premium"/>
    <n v="201225"/>
    <n v="3.25"/>
    <n v="13701194939.249998"/>
  </r>
  <r>
    <x v="13"/>
    <s v="EQE"/>
    <x v="2"/>
    <x v="0"/>
    <n v="118966.22"/>
    <n v="83.4"/>
    <n v="306"/>
    <n v="187"/>
    <s v="Hatchback"/>
    <n v="4"/>
    <s v="Luxury"/>
    <n v="78467"/>
    <n v="3.86"/>
    <n v="9334922384.7399998"/>
  </r>
  <r>
    <x v="13"/>
    <s v="EQG"/>
    <x v="2"/>
    <x v="0"/>
    <n v="140186.97"/>
    <n v="89.7"/>
    <n v="340"/>
    <n v="162"/>
    <s v="Hatchback"/>
    <n v="4"/>
    <s v="Luxury"/>
    <n v="31832"/>
    <n v="4.04"/>
    <n v="4462431629.04"/>
  </r>
  <r>
    <x v="5"/>
    <s v="Sportage EV"/>
    <x v="2"/>
    <x v="0"/>
    <n v="89447.77"/>
    <n v="97.2"/>
    <n v="328"/>
    <n v="187"/>
    <s v="SUV"/>
    <n v="5"/>
    <s v="Premium"/>
    <n v="135902"/>
    <n v="3.67"/>
    <n v="12156130838.540001"/>
  </r>
  <r>
    <x v="17"/>
    <s v="C40 Recharge"/>
    <x v="2"/>
    <x v="2"/>
    <n v="46215.01"/>
    <n v="45.9"/>
    <n v="150"/>
    <n v="165"/>
    <s v="Hatchback"/>
    <n v="5"/>
    <s v="Mid-range"/>
    <n v="17974"/>
    <n v="3.32"/>
    <n v="830668589.74000001"/>
  </r>
  <r>
    <x v="7"/>
    <s v="ID.4"/>
    <x v="2"/>
    <x v="0"/>
    <n v="82795.09"/>
    <n v="103.2"/>
    <n v="345"/>
    <n v="181"/>
    <s v="Coupe"/>
    <n v="4"/>
    <s v="Premium"/>
    <n v="263434"/>
    <n v="3.53"/>
    <n v="21811041739.059998"/>
  </r>
  <r>
    <x v="0"/>
    <s v="bZ4X"/>
    <x v="2"/>
    <x v="4"/>
    <n v="46862.78"/>
    <n v="63.4"/>
    <n v="215"/>
    <n v="151"/>
    <s v="Sedan"/>
    <n v="5"/>
    <s v="Mid-range"/>
    <n v="1920"/>
    <n v="3.39"/>
    <n v="89976537.599999994"/>
  </r>
  <r>
    <x v="3"/>
    <s v="Qin"/>
    <x v="2"/>
    <x v="0"/>
    <n v="77020.14"/>
    <n v="86.6"/>
    <n v="333"/>
    <n v="161"/>
    <s v="Van"/>
    <n v="5"/>
    <s v="Premium"/>
    <n v="167490"/>
    <n v="3.58"/>
    <n v="12900103248.6"/>
  </r>
  <r>
    <x v="12"/>
    <s v="Equinox EV"/>
    <x v="2"/>
    <x v="4"/>
    <n v="82968.06"/>
    <n v="75.400000000000006"/>
    <n v="253"/>
    <n v="163"/>
    <s v="SUV"/>
    <n v="4"/>
    <s v="Premium"/>
    <n v="7825"/>
    <n v="3.4"/>
    <n v="649225069.5"/>
  </r>
  <r>
    <x v="7"/>
    <s v="ID.4"/>
    <x v="2"/>
    <x v="1"/>
    <n v="97372.99"/>
    <n v="74.099999999999994"/>
    <n v="240"/>
    <n v="200"/>
    <s v="Sedan"/>
    <n v="4"/>
    <s v="Premium"/>
    <n v="246097"/>
    <n v="3.31"/>
    <n v="23963200720.030003"/>
  </r>
  <r>
    <x v="6"/>
    <s v="Ioniq 5"/>
    <x v="2"/>
    <x v="3"/>
    <n v="34455.089999999997"/>
    <n v="43.1"/>
    <n v="150"/>
    <n v="165"/>
    <s v="Van"/>
    <n v="5"/>
    <s v="Budget"/>
    <n v="120724"/>
    <n v="3.13"/>
    <n v="4159556285.1599994"/>
  </r>
  <r>
    <x v="6"/>
    <s v="Ioniq 6"/>
    <x v="2"/>
    <x v="4"/>
    <n v="45588.01"/>
    <n v="53.8"/>
    <n v="175"/>
    <n v="159"/>
    <s v="Truck"/>
    <n v="4"/>
    <s v="Mid-range"/>
    <n v="103603"/>
    <n v="3.49"/>
    <n v="4723054600.0300007"/>
  </r>
  <r>
    <x v="2"/>
    <s v="Model Y"/>
    <x v="2"/>
    <x v="0"/>
    <n v="79776.37"/>
    <n v="94.5"/>
    <n v="332"/>
    <n v="163"/>
    <s v="Truck"/>
    <n v="3"/>
    <s v="Premium"/>
    <n v="488350"/>
    <n v="4"/>
    <n v="38958790289.5"/>
  </r>
  <r>
    <x v="2"/>
    <s v="Model S"/>
    <x v="2"/>
    <x v="3"/>
    <n v="127540.88"/>
    <n v="49.1"/>
    <n v="186"/>
    <n v="163"/>
    <s v="Coupe"/>
    <n v="3"/>
    <s v="Luxury"/>
    <n v="136670"/>
    <n v="3.54"/>
    <n v="17431012069.600002"/>
  </r>
  <r>
    <x v="2"/>
    <s v="Model X"/>
    <x v="2"/>
    <x v="0"/>
    <n v="85291.7"/>
    <n v="102.2"/>
    <n v="332"/>
    <n v="184"/>
    <s v="Van"/>
    <n v="5"/>
    <s v="Premium"/>
    <n v="146415"/>
    <n v="3.95"/>
    <n v="12487984255.5"/>
  </r>
  <r>
    <x v="5"/>
    <s v="Picanto EV"/>
    <x v="2"/>
    <x v="0"/>
    <n v="73622.080000000002"/>
    <n v="94.4"/>
    <n v="291"/>
    <n v="187"/>
    <s v="SUV"/>
    <n v="5"/>
    <s v="Premium"/>
    <n v="128389"/>
    <n v="3.38"/>
    <n v="9452265229.1200008"/>
  </r>
  <r>
    <x v="3"/>
    <s v="Dolphin"/>
    <x v="2"/>
    <x v="2"/>
    <n v="71011.58"/>
    <n v="47.4"/>
    <n v="159"/>
    <n v="132"/>
    <s v="SUV"/>
    <n v="4"/>
    <s v="Premium"/>
    <n v="210658"/>
    <n v="3.09"/>
    <n v="14959157419.640001"/>
  </r>
  <r>
    <x v="7"/>
    <s v="ID. Buzz"/>
    <x v="3"/>
    <x v="1"/>
    <n v="104880.8"/>
    <n v="118.7"/>
    <n v="400"/>
    <n v="195"/>
    <s v="Truck"/>
    <n v="4"/>
    <s v="Luxury"/>
    <n v="202182"/>
    <n v="4"/>
    <n v="21205009905.600002"/>
  </r>
  <r>
    <x v="2"/>
    <s v="Model Y"/>
    <x v="3"/>
    <x v="1"/>
    <n v="119590.27"/>
    <n v="78.3"/>
    <n v="251"/>
    <n v="200"/>
    <s v="Hatchback"/>
    <n v="5"/>
    <s v="Luxury"/>
    <n v="411764"/>
    <n v="3.67"/>
    <n v="49242967936.279999"/>
  </r>
  <r>
    <x v="3"/>
    <s v="Seagull"/>
    <x v="3"/>
    <x v="2"/>
    <n v="16394.330000000002"/>
    <n v="41.8"/>
    <n v="158"/>
    <n v="155"/>
    <s v="Coupe"/>
    <n v="5"/>
    <s v="Budget"/>
    <n v="224997"/>
    <n v="3.58"/>
    <n v="3688675067.0100002"/>
  </r>
  <r>
    <x v="2"/>
    <s v="Cybertruck"/>
    <x v="3"/>
    <x v="2"/>
    <n v="70531.960000000006"/>
    <n v="70.5"/>
    <n v="256"/>
    <n v="165"/>
    <s v="Truck"/>
    <n v="5"/>
    <s v="Premium"/>
    <n v="209622"/>
    <n v="3.6"/>
    <n v="14785050519.120001"/>
  </r>
  <r>
    <x v="2"/>
    <s v="Model X"/>
    <x v="3"/>
    <x v="3"/>
    <n v="67772.81"/>
    <n v="53.3"/>
    <n v="175"/>
    <n v="128"/>
    <s v="Sedan"/>
    <n v="5"/>
    <s v="Premium"/>
    <n v="207968"/>
    <n v="3.36"/>
    <n v="14094575750.08"/>
  </r>
  <r>
    <x v="2"/>
    <s v="Model X"/>
    <x v="3"/>
    <x v="2"/>
    <n v="109503.65"/>
    <n v="47.9"/>
    <n v="155"/>
    <n v="164"/>
    <s v="Van"/>
    <n v="5"/>
    <s v="Luxury"/>
    <n v="174834"/>
    <n v="3.59"/>
    <n v="19144961144.099998"/>
  </r>
  <r>
    <x v="5"/>
    <s v="Sportage EV"/>
    <x v="3"/>
    <x v="3"/>
    <n v="77484.789999999994"/>
    <n v="81.2"/>
    <n v="284"/>
    <n v="169"/>
    <s v="SUV"/>
    <n v="3"/>
    <s v="Premium"/>
    <n v="101678"/>
    <n v="3.34"/>
    <n v="7878498477.6199989"/>
  </r>
  <r>
    <x v="2"/>
    <s v="Model Y"/>
    <x v="3"/>
    <x v="3"/>
    <n v="98108.77"/>
    <n v="46.5"/>
    <n v="150"/>
    <n v="174"/>
    <s v="SUV"/>
    <n v="5"/>
    <s v="Premium"/>
    <n v="431290"/>
    <n v="3.33"/>
    <n v="42313331413.300003"/>
  </r>
  <r>
    <x v="7"/>
    <s v="ID.4"/>
    <x v="3"/>
    <x v="0"/>
    <n v="94330.19"/>
    <n v="105.4"/>
    <n v="383"/>
    <n v="177"/>
    <s v="Sedan"/>
    <n v="5"/>
    <s v="Premium"/>
    <n v="232451"/>
    <n v="3.95"/>
    <n v="21927146995.690002"/>
  </r>
  <r>
    <x v="13"/>
    <s v="GLE EV"/>
    <x v="3"/>
    <x v="3"/>
    <n v="144581.79"/>
    <n v="42.8"/>
    <n v="150"/>
    <n v="156"/>
    <s v="SUV"/>
    <n v="4"/>
    <s v="Luxury"/>
    <n v="76491"/>
    <n v="3.42"/>
    <n v="11059205698.890001"/>
  </r>
  <r>
    <x v="9"/>
    <s v="iX"/>
    <x v="3"/>
    <x v="4"/>
    <n v="86081.93"/>
    <n v="72.3"/>
    <n v="247"/>
    <n v="166"/>
    <s v="Truck"/>
    <n v="4"/>
    <s v="Premium"/>
    <n v="51887"/>
    <n v="3.42"/>
    <n v="4466533101.9099998"/>
  </r>
  <r>
    <x v="3"/>
    <s v="Yuan Plus"/>
    <x v="3"/>
    <x v="3"/>
    <n v="21523.03"/>
    <n v="42.4"/>
    <n v="150"/>
    <n v="157"/>
    <s v="Sedan"/>
    <n v="4"/>
    <s v="Budget"/>
    <n v="183596"/>
    <n v="3.23"/>
    <n v="3951542215.8799996"/>
  </r>
  <r>
    <x v="5"/>
    <s v="Niro EV"/>
    <x v="3"/>
    <x v="4"/>
    <n v="92594.29"/>
    <n v="74.2"/>
    <n v="257"/>
    <n v="158"/>
    <s v="Coupe"/>
    <n v="5"/>
    <s v="Premium"/>
    <n v="83731"/>
    <n v="3.6"/>
    <n v="7753012495.9899998"/>
  </r>
  <r>
    <x v="8"/>
    <s v="Mustang Mach-E"/>
    <x v="3"/>
    <x v="0"/>
    <n v="76072"/>
    <n v="105.6"/>
    <n v="363"/>
    <n v="189"/>
    <s v="Hatchback"/>
    <n v="5"/>
    <s v="Premium"/>
    <n v="48060"/>
    <n v="4.04"/>
    <n v="3656020320"/>
  </r>
  <r>
    <x v="7"/>
    <s v="ID.4"/>
    <x v="3"/>
    <x v="1"/>
    <n v="80921.960000000006"/>
    <n v="108.9"/>
    <n v="399"/>
    <n v="198"/>
    <s v="Hatchback"/>
    <n v="3"/>
    <s v="Premium"/>
    <n v="234095"/>
    <n v="3.86"/>
    <n v="18943426226.200001"/>
  </r>
  <r>
    <x v="2"/>
    <s v="Model X"/>
    <x v="3"/>
    <x v="1"/>
    <n v="184745.86"/>
    <n v="106.3"/>
    <n v="348"/>
    <n v="198"/>
    <s v="Coupe"/>
    <n v="3"/>
    <s v="Luxury"/>
    <n v="148529"/>
    <n v="4.29"/>
    <n v="27440117839.939999"/>
  </r>
  <r>
    <x v="3"/>
    <s v="Max"/>
    <x v="3"/>
    <x v="1"/>
    <n v="26461.18"/>
    <n v="71.3"/>
    <n v="265"/>
    <n v="200"/>
    <s v="SUV"/>
    <n v="3"/>
    <s v="Budget"/>
    <n v="226324"/>
    <n v="3.6"/>
    <n v="5988800102.3199997"/>
  </r>
  <r>
    <x v="13"/>
    <s v="EQG"/>
    <x v="3"/>
    <x v="0"/>
    <n v="163924.89000000001"/>
    <n v="83.9"/>
    <n v="285"/>
    <n v="180"/>
    <s v="Coupe"/>
    <n v="4"/>
    <s v="Luxury"/>
    <n v="50822"/>
    <n v="3.77"/>
    <n v="8330990759.5800009"/>
  </r>
  <r>
    <x v="5"/>
    <s v="Niro EV"/>
    <x v="3"/>
    <x v="4"/>
    <n v="38796.18"/>
    <n v="49.4"/>
    <n v="150"/>
    <n v="168"/>
    <s v="Coupe"/>
    <n v="5"/>
    <s v="Mid-range"/>
    <n v="146563"/>
    <n v="3.09"/>
    <n v="5686084529.3400002"/>
  </r>
  <r>
    <x v="8"/>
    <s v="Mustang Mach-E"/>
    <x v="3"/>
    <x v="2"/>
    <n v="59885.41"/>
    <n v="65.900000000000006"/>
    <n v="231"/>
    <n v="148"/>
    <s v="Truck"/>
    <n v="4"/>
    <s v="Mid-range"/>
    <n v="28589"/>
    <n v="3.5"/>
    <n v="1712063986.49"/>
  </r>
  <r>
    <x v="2"/>
    <s v="Model S"/>
    <x v="3"/>
    <x v="1"/>
    <n v="65004.86"/>
    <n v="111"/>
    <n v="405"/>
    <n v="200"/>
    <s v="Truck"/>
    <n v="4"/>
    <s v="Premium"/>
    <n v="208805"/>
    <n v="4.34"/>
    <n v="13573339792.299999"/>
  </r>
  <r>
    <x v="3"/>
    <s v="Dolphin"/>
    <x v="3"/>
    <x v="1"/>
    <n v="33904.31"/>
    <n v="91.8"/>
    <n v="310"/>
    <n v="200"/>
    <s v="Sedan"/>
    <n v="4"/>
    <s v="Budget"/>
    <n v="106140"/>
    <n v="3.65"/>
    <n v="3598603463.3999996"/>
  </r>
  <r>
    <x v="3"/>
    <s v="Seagull"/>
    <x v="3"/>
    <x v="0"/>
    <n v="77902.259999999995"/>
    <n v="85.2"/>
    <n v="288"/>
    <n v="183"/>
    <s v="SUV"/>
    <n v="5"/>
    <s v="Premium"/>
    <n v="177211"/>
    <n v="3.38"/>
    <n v="13805137396.859999"/>
  </r>
  <r>
    <x v="3"/>
    <s v="Dolphin"/>
    <x v="3"/>
    <x v="3"/>
    <n v="50127.13"/>
    <n v="47.6"/>
    <n v="150"/>
    <n v="140"/>
    <s v="Sedan"/>
    <n v="4"/>
    <s v="Mid-range"/>
    <n v="176192"/>
    <n v="3.19"/>
    <n v="8831999288.9599991"/>
  </r>
  <r>
    <x v="3"/>
    <s v="Max"/>
    <x v="3"/>
    <x v="4"/>
    <n v="29372.26"/>
    <n v="77"/>
    <n v="257"/>
    <n v="129"/>
    <s v="Hatchback"/>
    <n v="4"/>
    <s v="Budget"/>
    <n v="240988"/>
    <n v="3.46"/>
    <n v="7078362192.8799992"/>
  </r>
  <r>
    <x v="2"/>
    <s v="Model 3"/>
    <x v="3"/>
    <x v="4"/>
    <n v="123494.48"/>
    <n v="79.099999999999994"/>
    <n v="283"/>
    <n v="175"/>
    <s v="SUV"/>
    <n v="5"/>
    <s v="Luxury"/>
    <n v="228731"/>
    <n v="3.4"/>
    <n v="28247015904.879997"/>
  </r>
  <r>
    <x v="2"/>
    <s v="Model X"/>
    <x v="3"/>
    <x v="4"/>
    <n v="41055.46"/>
    <n v="66.5"/>
    <n v="234"/>
    <n v="157"/>
    <s v="Truck"/>
    <n v="5"/>
    <s v="Mid-range"/>
    <n v="203412"/>
    <n v="3.84"/>
    <n v="8351173229.5199995"/>
  </r>
  <r>
    <x v="9"/>
    <s v="i4"/>
    <x v="3"/>
    <x v="0"/>
    <n v="76874.69"/>
    <n v="96.7"/>
    <n v="338"/>
    <n v="159"/>
    <s v="Sedan"/>
    <n v="5"/>
    <s v="Premium"/>
    <n v="29925"/>
    <n v="3.89"/>
    <n v="2300475098.25"/>
  </r>
  <r>
    <x v="9"/>
    <s v="i5"/>
    <x v="3"/>
    <x v="2"/>
    <n v="58951.66"/>
    <n v="72.400000000000006"/>
    <n v="252"/>
    <n v="167"/>
    <s v="Van"/>
    <n v="5"/>
    <s v="Mid-range"/>
    <n v="20422"/>
    <n v="3.39"/>
    <n v="1203910800.52"/>
  </r>
  <r>
    <x v="2"/>
    <s v="Cybertruck"/>
    <x v="3"/>
    <x v="2"/>
    <n v="113861.27"/>
    <n v="81.2"/>
    <n v="306"/>
    <n v="131"/>
    <s v="Truck"/>
    <n v="5"/>
    <s v="Luxury"/>
    <n v="162424"/>
    <n v="3.82"/>
    <n v="18493802918.48"/>
  </r>
  <r>
    <x v="11"/>
    <s v="R3"/>
    <x v="3"/>
    <x v="1"/>
    <n v="104608.91"/>
    <n v="116.3"/>
    <n v="395"/>
    <n v="200"/>
    <s v="Sedan"/>
    <n v="5"/>
    <s v="Luxury"/>
    <n v="4453"/>
    <n v="3.72"/>
    <n v="465823476.23000002"/>
  </r>
  <r>
    <x v="9"/>
    <s v="iX"/>
    <x v="3"/>
    <x v="2"/>
    <n v="90267.93"/>
    <n v="63"/>
    <n v="260"/>
    <n v="172"/>
    <s v="Hatchback"/>
    <n v="4"/>
    <s v="Premium"/>
    <n v="26056"/>
    <n v="3.46"/>
    <n v="2352021184.0799999"/>
  </r>
  <r>
    <x v="2"/>
    <s v="Cybertruck"/>
    <x v="3"/>
    <x v="2"/>
    <n v="46210.19"/>
    <n v="70.099999999999994"/>
    <n v="244"/>
    <n v="171"/>
    <s v="Truck"/>
    <n v="4"/>
    <s v="Mid-range"/>
    <n v="187848"/>
    <n v="3.58"/>
    <n v="8680491771.1200008"/>
  </r>
  <r>
    <x v="9"/>
    <s v="i3"/>
    <x v="3"/>
    <x v="4"/>
    <n v="137951.81"/>
    <n v="60.1"/>
    <n v="220"/>
    <n v="152"/>
    <s v="Hatchback"/>
    <n v="4"/>
    <s v="Luxury"/>
    <n v="26110"/>
    <n v="3.46"/>
    <n v="3601921759.0999999"/>
  </r>
  <r>
    <x v="9"/>
    <s v="i3"/>
    <x v="3"/>
    <x v="3"/>
    <n v="67705.119999999995"/>
    <n v="63"/>
    <n v="239"/>
    <n v="176"/>
    <s v="Coupe"/>
    <n v="5"/>
    <s v="Premium"/>
    <n v="68305"/>
    <n v="3.3"/>
    <n v="4624598221.5999994"/>
  </r>
  <r>
    <x v="3"/>
    <s v="Qin"/>
    <x v="3"/>
    <x v="3"/>
    <n v="36044.93"/>
    <n v="74.5"/>
    <n v="251"/>
    <n v="127"/>
    <s v="Truck"/>
    <n v="4"/>
    <s v="Mid-range"/>
    <n v="117310"/>
    <n v="3.57"/>
    <n v="4228430738.3000002"/>
  </r>
  <r>
    <x v="2"/>
    <s v="Model Y"/>
    <x v="3"/>
    <x v="3"/>
    <n v="44516.36"/>
    <n v="56.4"/>
    <n v="227"/>
    <n v="147"/>
    <s v="Sedan"/>
    <n v="4"/>
    <s v="Mid-range"/>
    <n v="403294"/>
    <n v="3.48"/>
    <n v="17953180889.84"/>
  </r>
  <r>
    <x v="2"/>
    <s v="Model X"/>
    <x v="3"/>
    <x v="4"/>
    <n v="100324.34"/>
    <n v="79.900000000000006"/>
    <n v="300"/>
    <n v="150"/>
    <s v="Coupe"/>
    <n v="4"/>
    <s v="Luxury"/>
    <n v="121739"/>
    <n v="3.62"/>
    <n v="12213384827.26"/>
  </r>
  <r>
    <x v="0"/>
    <s v="bZ4X"/>
    <x v="3"/>
    <x v="2"/>
    <n v="53579.07"/>
    <n v="65.5"/>
    <n v="233"/>
    <n v="133"/>
    <s v="Coupe"/>
    <n v="4"/>
    <s v="Mid-range"/>
    <n v="16544"/>
    <n v="3.42"/>
    <n v="886412134.08000004"/>
  </r>
  <r>
    <x v="11"/>
    <s v="R3"/>
    <x v="3"/>
    <x v="3"/>
    <n v="81874.34"/>
    <n v="83.6"/>
    <n v="317"/>
    <n v="177"/>
    <s v="Sedan"/>
    <n v="4"/>
    <s v="Premium"/>
    <n v="1989"/>
    <n v="3.61"/>
    <n v="162848062.25999999"/>
  </r>
  <r>
    <x v="13"/>
    <s v="EQG"/>
    <x v="3"/>
    <x v="1"/>
    <n v="181026.58"/>
    <n v="110.6"/>
    <n v="370"/>
    <n v="200"/>
    <s v="Truck"/>
    <n v="4"/>
    <s v="Luxury"/>
    <n v="35248"/>
    <n v="3.91"/>
    <n v="6380824891.8399992"/>
  </r>
  <r>
    <x v="7"/>
    <s v="ID.3"/>
    <x v="3"/>
    <x v="4"/>
    <n v="40146.71"/>
    <n v="41.6"/>
    <n v="150"/>
    <n v="142"/>
    <s v="Coupe"/>
    <n v="4"/>
    <s v="Mid-range"/>
    <n v="229072"/>
    <n v="3.13"/>
    <n v="9196487153.1199989"/>
  </r>
  <r>
    <x v="13"/>
    <s v="GLE EV"/>
    <x v="3"/>
    <x v="0"/>
    <n v="182443.72"/>
    <n v="104.6"/>
    <n v="359"/>
    <n v="174"/>
    <s v="Sedan"/>
    <n v="4"/>
    <s v="Luxury"/>
    <n v="20765"/>
    <n v="4.0999999999999996"/>
    <n v="3788443845.8000002"/>
  </r>
  <r>
    <x v="2"/>
    <s v="Model S"/>
    <x v="3"/>
    <x v="4"/>
    <n v="76607.64"/>
    <n v="81.099999999999994"/>
    <n v="288"/>
    <n v="137"/>
    <s v="Van"/>
    <n v="3"/>
    <s v="Premium"/>
    <n v="244244"/>
    <n v="3.81"/>
    <n v="18710956424.16"/>
  </r>
  <r>
    <x v="8"/>
    <s v="Mustang Mach-E"/>
    <x v="3"/>
    <x v="0"/>
    <n v="63827.68"/>
    <n v="85.8"/>
    <n v="270"/>
    <n v="180"/>
    <s v="Truck"/>
    <n v="4"/>
    <s v="Mid-range"/>
    <n v="74506"/>
    <n v="3.43"/>
    <n v="4755545126.0799999"/>
  </r>
  <r>
    <x v="12"/>
    <s v="Bolt EUV"/>
    <x v="3"/>
    <x v="1"/>
    <n v="74889.56"/>
    <n v="92.7"/>
    <n v="312"/>
    <n v="193"/>
    <s v="Coupe"/>
    <n v="4"/>
    <s v="Premium"/>
    <n v="29402"/>
    <n v="3.57"/>
    <n v="2201902843.1199999"/>
  </r>
  <r>
    <x v="2"/>
    <s v="Cybertruck"/>
    <x v="3"/>
    <x v="2"/>
    <n v="104581.09"/>
    <n v="50.5"/>
    <n v="185"/>
    <n v="165"/>
    <s v="Truck"/>
    <n v="5"/>
    <s v="Luxury"/>
    <n v="156090"/>
    <n v="3.54"/>
    <n v="16324062338.1"/>
  </r>
  <r>
    <x v="2"/>
    <s v="Model S"/>
    <x v="3"/>
    <x v="2"/>
    <n v="56750.25"/>
    <n v="40.5"/>
    <n v="163"/>
    <n v="136"/>
    <s v="Van"/>
    <n v="4"/>
    <s v="Mid-range"/>
    <n v="175034"/>
    <n v="3.89"/>
    <n v="9933223258.5"/>
  </r>
  <r>
    <x v="2"/>
    <s v="Cybertruck"/>
    <x v="3"/>
    <x v="2"/>
    <n v="62213.09"/>
    <n v="54.2"/>
    <n v="191"/>
    <n v="136"/>
    <s v="Truck"/>
    <n v="5"/>
    <s v="Mid-range"/>
    <n v="199768"/>
    <n v="3.77"/>
    <n v="12428184563.119999"/>
  </r>
  <r>
    <x v="9"/>
    <s v="i3"/>
    <x v="3"/>
    <x v="0"/>
    <n v="134039.99"/>
    <n v="84.4"/>
    <n v="313"/>
    <n v="177"/>
    <s v="Sedan"/>
    <n v="5"/>
    <s v="Luxury"/>
    <n v="70841"/>
    <n v="3.71"/>
    <n v="9495526931.5900002"/>
  </r>
  <r>
    <x v="6"/>
    <s v="i30"/>
    <x v="3"/>
    <x v="0"/>
    <n v="65970"/>
    <n v="108.1"/>
    <n v="394"/>
    <n v="179"/>
    <s v="Coupe"/>
    <n v="5"/>
    <s v="Premium"/>
    <n v="146072"/>
    <n v="4.09"/>
    <n v="9636369840"/>
  </r>
  <r>
    <x v="8"/>
    <s v="E-Transit"/>
    <x v="3"/>
    <x v="2"/>
    <n v="42208.33"/>
    <n v="66.3"/>
    <n v="224"/>
    <n v="165"/>
    <s v="SUV"/>
    <n v="5"/>
    <s v="Mid-range"/>
    <n v="47569"/>
    <n v="3.37"/>
    <n v="2007808049.77"/>
  </r>
  <r>
    <x v="2"/>
    <s v="Cybertruck"/>
    <x v="3"/>
    <x v="2"/>
    <n v="38622.29"/>
    <n v="51.5"/>
    <n v="186"/>
    <n v="124"/>
    <s v="Truck"/>
    <n v="5"/>
    <s v="Mid-range"/>
    <n v="174372"/>
    <n v="3.4"/>
    <n v="6734645951.8800001"/>
  </r>
  <r>
    <x v="2"/>
    <s v="Model X"/>
    <x v="3"/>
    <x v="2"/>
    <n v="27433.3"/>
    <n v="82.4"/>
    <n v="258"/>
    <n v="161"/>
    <s v="Coupe"/>
    <n v="5"/>
    <s v="Budget"/>
    <n v="230869"/>
    <n v="3.79"/>
    <n v="6333498537.6999998"/>
  </r>
  <r>
    <x v="12"/>
    <s v="Silverado EV"/>
    <x v="3"/>
    <x v="3"/>
    <n v="64132.24"/>
    <n v="51.9"/>
    <n v="150"/>
    <n v="155"/>
    <s v="Truck"/>
    <n v="4"/>
    <s v="Mid-range"/>
    <n v="5462"/>
    <n v="3.44"/>
    <n v="350290294.88"/>
  </r>
  <r>
    <x v="3"/>
    <s v="Dolphin"/>
    <x v="3"/>
    <x v="4"/>
    <n v="65383.31"/>
    <n v="69.599999999999994"/>
    <n v="240"/>
    <n v="161"/>
    <s v="Coupe"/>
    <n v="5"/>
    <s v="Premium"/>
    <n v="171261"/>
    <n v="3.56"/>
    <n v="11197611053.91"/>
  </r>
  <r>
    <x v="2"/>
    <s v="Model 3"/>
    <x v="3"/>
    <x v="2"/>
    <n v="33304.79"/>
    <n v="70.400000000000006"/>
    <n v="262"/>
    <n v="180"/>
    <s v="Van"/>
    <n v="4"/>
    <s v="Budget"/>
    <n v="239021"/>
    <n v="3.85"/>
    <n v="7960544210.5900002"/>
  </r>
  <r>
    <x v="2"/>
    <s v="Model S"/>
    <x v="3"/>
    <x v="0"/>
    <n v="98608.05"/>
    <n v="77.7"/>
    <n v="286"/>
    <n v="183"/>
    <s v="Hatchback"/>
    <n v="4"/>
    <s v="Premium"/>
    <n v="246839"/>
    <n v="3.98"/>
    <n v="24340312453.950001"/>
  </r>
  <r>
    <x v="5"/>
    <s v="Picanto EV"/>
    <x v="3"/>
    <x v="4"/>
    <n v="95598.48"/>
    <n v="63.5"/>
    <n v="202"/>
    <n v="166"/>
    <s v="SUV"/>
    <n v="5"/>
    <s v="Premium"/>
    <n v="107457"/>
    <n v="3.32"/>
    <n v="10272725865.359999"/>
  </r>
  <r>
    <x v="14"/>
    <s v="EC6"/>
    <x v="3"/>
    <x v="0"/>
    <n v="98011.85"/>
    <n v="106.2"/>
    <n v="364"/>
    <n v="171"/>
    <s v="Sedan"/>
    <n v="4"/>
    <s v="Premium"/>
    <n v="12631"/>
    <n v="3.86"/>
    <n v="1237987677.3500001"/>
  </r>
  <r>
    <x v="2"/>
    <s v="Cybertruck"/>
    <x v="3"/>
    <x v="3"/>
    <n v="121896.5"/>
    <n v="64.2"/>
    <n v="216"/>
    <n v="145"/>
    <s v="Truck"/>
    <n v="5"/>
    <s v="Luxury"/>
    <n v="186743"/>
    <n v="3.62"/>
    <n v="22763318099.5"/>
  </r>
  <r>
    <x v="8"/>
    <s v="Explorer EV"/>
    <x v="3"/>
    <x v="2"/>
    <n v="35481.879999999997"/>
    <n v="41"/>
    <n v="173"/>
    <n v="155"/>
    <s v="Hatchback"/>
    <n v="5"/>
    <s v="Mid-range"/>
    <n v="63701"/>
    <n v="3.25"/>
    <n v="2260231237.8799996"/>
  </r>
  <r>
    <x v="3"/>
    <s v="Leaf 50X"/>
    <x v="3"/>
    <x v="0"/>
    <n v="100157.25"/>
    <n v="105.4"/>
    <n v="362"/>
    <n v="177"/>
    <s v="Truck"/>
    <n v="4"/>
    <s v="Luxury"/>
    <n v="107443"/>
    <n v="3.79"/>
    <n v="10761195411.75"/>
  </r>
  <r>
    <x v="2"/>
    <s v="Model Y"/>
    <x v="3"/>
    <x v="2"/>
    <n v="55299.28"/>
    <n v="40.9"/>
    <n v="150"/>
    <n v="151"/>
    <s v="Hatchback"/>
    <n v="5"/>
    <s v="Mid-range"/>
    <n v="449181"/>
    <n v="3.75"/>
    <n v="24839385889.68"/>
  </r>
  <r>
    <x v="8"/>
    <s v="Explorer EV"/>
    <x v="3"/>
    <x v="2"/>
    <n v="52080.38"/>
    <n v="54.7"/>
    <n v="222"/>
    <n v="143"/>
    <s v="Van"/>
    <n v="4"/>
    <s v="Mid-range"/>
    <n v="72053"/>
    <n v="3.42"/>
    <n v="3752547620.1399999"/>
  </r>
  <r>
    <x v="7"/>
    <s v="ID. Buzz"/>
    <x v="3"/>
    <x v="1"/>
    <n v="50097.36"/>
    <n v="93.7"/>
    <n v="319"/>
    <n v="182"/>
    <s v="Van"/>
    <n v="4"/>
    <s v="Mid-range"/>
    <n v="238954"/>
    <n v="3.69"/>
    <n v="11970964561.440001"/>
  </r>
  <r>
    <x v="13"/>
    <s v="EQS"/>
    <x v="3"/>
    <x v="0"/>
    <n v="123138.78"/>
    <n v="81.2"/>
    <n v="263"/>
    <n v="174"/>
    <s v="Truck"/>
    <n v="5"/>
    <s v="Luxury"/>
    <n v="65127"/>
    <n v="3.77"/>
    <n v="8019659325.0599995"/>
  </r>
  <r>
    <x v="2"/>
    <s v="Model S"/>
    <x v="3"/>
    <x v="4"/>
    <n v="131294.35999999999"/>
    <n v="66"/>
    <n v="236"/>
    <n v="159"/>
    <s v="SUV"/>
    <n v="4"/>
    <s v="Luxury"/>
    <n v="154508"/>
    <n v="3.91"/>
    <n v="20286028974.879997"/>
  </r>
  <r>
    <x v="7"/>
    <s v="ID.4"/>
    <x v="3"/>
    <x v="4"/>
    <n v="44868.54"/>
    <n v="71"/>
    <n v="254"/>
    <n v="135"/>
    <s v="Sedan"/>
    <n v="3"/>
    <s v="Mid-range"/>
    <n v="264149"/>
    <n v="3.6"/>
    <n v="11851979972.460001"/>
  </r>
  <r>
    <x v="6"/>
    <s v="Ioniq 5"/>
    <x v="3"/>
    <x v="3"/>
    <n v="68110.080000000002"/>
    <n v="72.3"/>
    <n v="255"/>
    <n v="152"/>
    <s v="Truck"/>
    <n v="4"/>
    <s v="Premium"/>
    <n v="73761"/>
    <n v="3.77"/>
    <n v="5023867610.8800001"/>
  </r>
  <r>
    <x v="2"/>
    <s v="Model Y"/>
    <x v="3"/>
    <x v="2"/>
    <n v="92950.35"/>
    <n v="77.5"/>
    <n v="263"/>
    <n v="166"/>
    <s v="SUV"/>
    <n v="5"/>
    <s v="Premium"/>
    <n v="491547"/>
    <n v="3.57"/>
    <n v="45689465691.450005"/>
  </r>
  <r>
    <x v="8"/>
    <s v="Explorer EV"/>
    <x v="3"/>
    <x v="3"/>
    <n v="73469.820000000007"/>
    <n v="58.2"/>
    <n v="186"/>
    <n v="134"/>
    <s v="Coupe"/>
    <n v="5"/>
    <s v="Premium"/>
    <n v="59218"/>
    <n v="3.38"/>
    <n v="4350735800.7600002"/>
  </r>
  <r>
    <x v="2"/>
    <s v="Model X"/>
    <x v="3"/>
    <x v="1"/>
    <n v="93392.21"/>
    <n v="85.7"/>
    <n v="297"/>
    <n v="200"/>
    <s v="SUV"/>
    <n v="5"/>
    <s v="Premium"/>
    <n v="138082"/>
    <n v="3.74"/>
    <n v="12895783141.220001"/>
  </r>
  <r>
    <x v="2"/>
    <s v="Model S"/>
    <x v="3"/>
    <x v="4"/>
    <n v="109016.04"/>
    <n v="46.6"/>
    <n v="178"/>
    <n v="137"/>
    <s v="Hatchback"/>
    <n v="5"/>
    <s v="Luxury"/>
    <n v="113179"/>
    <n v="3.59"/>
    <n v="12338326391.16"/>
  </r>
  <r>
    <x v="15"/>
    <s v="Taycan"/>
    <x v="3"/>
    <x v="2"/>
    <n v="145262.78"/>
    <n v="70.599999999999994"/>
    <n v="265"/>
    <n v="148"/>
    <s v="Hatchback"/>
    <n v="4"/>
    <s v="Luxury"/>
    <n v="24347"/>
    <n v="3.55"/>
    <n v="3536712904.6599998"/>
  </r>
  <r>
    <x v="8"/>
    <s v="E-Transit"/>
    <x v="3"/>
    <x v="2"/>
    <n v="51056.88"/>
    <n v="78.599999999999994"/>
    <n v="262"/>
    <n v="156"/>
    <s v="Coupe"/>
    <n v="5"/>
    <s v="Mid-range"/>
    <n v="59730"/>
    <n v="3.53"/>
    <n v="3049627442.3999996"/>
  </r>
  <r>
    <x v="2"/>
    <s v="Model S"/>
    <x v="3"/>
    <x v="4"/>
    <n v="137659.6"/>
    <n v="56.7"/>
    <n v="186"/>
    <n v="142"/>
    <s v="Coupe"/>
    <n v="4"/>
    <s v="Luxury"/>
    <n v="167952"/>
    <n v="3.72"/>
    <n v="23120205139.200001"/>
  </r>
  <r>
    <x v="12"/>
    <s v="Equinox EV"/>
    <x v="3"/>
    <x v="2"/>
    <n v="37448.46"/>
    <n v="74.099999999999994"/>
    <n v="275"/>
    <n v="165"/>
    <s v="SUV"/>
    <n v="5"/>
    <s v="Mid-range"/>
    <n v="12182"/>
    <n v="3.71"/>
    <n v="456197139.71999997"/>
  </r>
  <r>
    <x v="5"/>
    <s v="EV9"/>
    <x v="3"/>
    <x v="3"/>
    <n v="55591.96"/>
    <n v="80.5"/>
    <n v="283"/>
    <n v="166"/>
    <s v="SUV"/>
    <n v="4"/>
    <s v="Mid-range"/>
    <n v="113695"/>
    <n v="3.55"/>
    <n v="6320527892.1999998"/>
  </r>
  <r>
    <x v="3"/>
    <s v="Qin"/>
    <x v="3"/>
    <x v="2"/>
    <n v="51321.91"/>
    <n v="45.9"/>
    <n v="150"/>
    <n v="156"/>
    <s v="Hatchback"/>
    <n v="5"/>
    <s v="Mid-range"/>
    <n v="135053"/>
    <n v="3.36"/>
    <n v="6931177911.2300005"/>
  </r>
  <r>
    <x v="9"/>
    <s v="i3"/>
    <x v="3"/>
    <x v="4"/>
    <n v="102426.61"/>
    <n v="53.1"/>
    <n v="197"/>
    <n v="146"/>
    <s v="Truck"/>
    <n v="5"/>
    <s v="Luxury"/>
    <n v="26181"/>
    <n v="3.26"/>
    <n v="2681631076.4099998"/>
  </r>
  <r>
    <x v="2"/>
    <s v="Model S"/>
    <x v="3"/>
    <x v="3"/>
    <n v="44024.89"/>
    <n v="81.599999999999994"/>
    <n v="284"/>
    <n v="143"/>
    <s v="Truck"/>
    <n v="5"/>
    <s v="Mid-range"/>
    <n v="124369"/>
    <n v="3.76"/>
    <n v="5475331544.4099998"/>
  </r>
  <r>
    <x v="9"/>
    <s v="i5"/>
    <x v="3"/>
    <x v="4"/>
    <n v="140938.73000000001"/>
    <n v="59.3"/>
    <n v="195"/>
    <n v="137"/>
    <s v="SUV"/>
    <n v="5"/>
    <s v="Luxury"/>
    <n v="51811"/>
    <n v="3.11"/>
    <n v="7302176540.0300007"/>
  </r>
  <r>
    <x v="5"/>
    <s v="Picanto EV"/>
    <x v="3"/>
    <x v="2"/>
    <n v="42171.81"/>
    <n v="67.099999999999994"/>
    <n v="252"/>
    <n v="155"/>
    <s v="Hatchback"/>
    <n v="4"/>
    <s v="Mid-range"/>
    <n v="135630"/>
    <n v="3.6"/>
    <n v="5719762590.2999992"/>
  </r>
  <r>
    <x v="8"/>
    <s v="Explorer EV"/>
    <x v="3"/>
    <x v="3"/>
    <n v="68553.62"/>
    <n v="71.3"/>
    <n v="243"/>
    <n v="173"/>
    <s v="SUV"/>
    <n v="5"/>
    <s v="Premium"/>
    <n v="60519"/>
    <n v="3.36"/>
    <n v="4148796528.7799997"/>
  </r>
  <r>
    <x v="15"/>
    <s v="Taycan"/>
    <x v="3"/>
    <x v="1"/>
    <n v="254017.08"/>
    <n v="118.1"/>
    <n v="408"/>
    <n v="190"/>
    <s v="Sedan"/>
    <n v="5"/>
    <s v="Luxury"/>
    <n v="26159"/>
    <n v="4.2"/>
    <n v="6644832795.7199993"/>
  </r>
  <r>
    <x v="8"/>
    <s v="Mustang Mach-E"/>
    <x v="3"/>
    <x v="2"/>
    <n v="67976.38"/>
    <n v="49"/>
    <n v="179"/>
    <n v="166"/>
    <s v="SUV"/>
    <n v="4"/>
    <s v="Premium"/>
    <n v="21067"/>
    <n v="3.27"/>
    <n v="1432058397.46"/>
  </r>
  <r>
    <x v="0"/>
    <s v="bZ4X"/>
    <x v="3"/>
    <x v="3"/>
    <n v="69285.919999999998"/>
    <n v="67.099999999999994"/>
    <n v="201"/>
    <n v="168"/>
    <s v="Hatchback"/>
    <n v="5"/>
    <s v="Premium"/>
    <n v="15625"/>
    <n v="3.58"/>
    <n v="1082592500"/>
  </r>
  <r>
    <x v="2"/>
    <s v="Model S"/>
    <x v="3"/>
    <x v="1"/>
    <n v="82511.11"/>
    <n v="85.6"/>
    <n v="289"/>
    <n v="180"/>
    <s v="Coupe"/>
    <n v="4"/>
    <s v="Premium"/>
    <n v="243479"/>
    <n v="3.78"/>
    <n v="20089722551.689999"/>
  </r>
  <r>
    <x v="5"/>
    <s v="Sportage EV"/>
    <x v="3"/>
    <x v="4"/>
    <n v="102070.65"/>
    <n v="49.5"/>
    <n v="174"/>
    <n v="163"/>
    <s v="SUV"/>
    <n v="3"/>
    <s v="Luxury"/>
    <n v="148039"/>
    <n v="3.37"/>
    <n v="15110436955.349998"/>
  </r>
  <r>
    <x v="5"/>
    <s v="Niro EV"/>
    <x v="3"/>
    <x v="4"/>
    <n v="96493.02"/>
    <n v="59.1"/>
    <n v="207"/>
    <n v="146"/>
    <s v="Van"/>
    <n v="5"/>
    <s v="Premium"/>
    <n v="123691"/>
    <n v="3.45"/>
    <n v="11935318136.82"/>
  </r>
  <r>
    <x v="5"/>
    <s v="EV9"/>
    <x v="3"/>
    <x v="2"/>
    <n v="52108.05"/>
    <n v="65.900000000000006"/>
    <n v="230"/>
    <n v="152"/>
    <s v="SUV"/>
    <n v="5"/>
    <s v="Mid-range"/>
    <n v="98868"/>
    <n v="3.23"/>
    <n v="5151818687.4000006"/>
  </r>
  <r>
    <x v="4"/>
    <s v="e-tron"/>
    <x v="3"/>
    <x v="2"/>
    <n v="93510.78"/>
    <n v="53"/>
    <n v="195"/>
    <n v="161"/>
    <s v="Hatchback"/>
    <n v="5"/>
    <s v="Premium"/>
    <n v="70832"/>
    <n v="3.16"/>
    <n v="6623555568.96"/>
  </r>
  <r>
    <x v="7"/>
    <s v="ID.5"/>
    <x v="3"/>
    <x v="4"/>
    <n v="87378.559999999998"/>
    <n v="46.6"/>
    <n v="155"/>
    <n v="162"/>
    <s v="Truck"/>
    <n v="3"/>
    <s v="Premium"/>
    <n v="280958"/>
    <n v="3.26"/>
    <n v="24549705460.48"/>
  </r>
  <r>
    <x v="6"/>
    <s v="Ioniq 5"/>
    <x v="3"/>
    <x v="0"/>
    <n v="51553.1"/>
    <n v="75.3"/>
    <n v="265"/>
    <n v="174"/>
    <s v="Coupe"/>
    <n v="5"/>
    <s v="Mid-range"/>
    <n v="110986"/>
    <n v="3.76"/>
    <n v="5721672356.5999994"/>
  </r>
  <r>
    <x v="3"/>
    <s v="Yuan Plus"/>
    <x v="3"/>
    <x v="3"/>
    <n v="70732.36"/>
    <n v="45.3"/>
    <n v="151"/>
    <n v="161"/>
    <s v="Hatchback"/>
    <n v="4"/>
    <s v="Premium"/>
    <n v="198624"/>
    <n v="3.14"/>
    <n v="14049144272.639999"/>
  </r>
  <r>
    <x v="9"/>
    <s v="i5"/>
    <x v="3"/>
    <x v="3"/>
    <n v="106048.4"/>
    <n v="47.8"/>
    <n v="195"/>
    <n v="167"/>
    <s v="Hatchback"/>
    <n v="5"/>
    <s v="Luxury"/>
    <n v="52016"/>
    <n v="3.3"/>
    <n v="5516213574.3999996"/>
  </r>
  <r>
    <x v="7"/>
    <s v="ID. Aero"/>
    <x v="3"/>
    <x v="1"/>
    <n v="44275.35"/>
    <n v="90.4"/>
    <n v="308"/>
    <n v="180"/>
    <s v="Hatchback"/>
    <n v="5"/>
    <s v="Mid-range"/>
    <n v="209760"/>
    <n v="3.52"/>
    <n v="9287197416"/>
  </r>
  <r>
    <x v="12"/>
    <s v="Bolt EV"/>
    <x v="3"/>
    <x v="2"/>
    <n v="38369.910000000003"/>
    <n v="46.8"/>
    <n v="177"/>
    <n v="139"/>
    <s v="SUV"/>
    <n v="5"/>
    <s v="Mid-range"/>
    <n v="19280"/>
    <n v="3.34"/>
    <n v="739771864.80000007"/>
  </r>
  <r>
    <x v="2"/>
    <s v="Model S"/>
    <x v="3"/>
    <x v="0"/>
    <n v="82872.710000000006"/>
    <n v="88.9"/>
    <n v="322"/>
    <n v="182"/>
    <s v="Coupe"/>
    <n v="5"/>
    <s v="Premium"/>
    <n v="233601"/>
    <n v="3.61"/>
    <n v="19359147928.710003"/>
  </r>
  <r>
    <x v="2"/>
    <s v="Model X"/>
    <x v="3"/>
    <x v="3"/>
    <n v="43959.45"/>
    <n v="63.9"/>
    <n v="211"/>
    <n v="148"/>
    <s v="SUV"/>
    <n v="3"/>
    <s v="Mid-range"/>
    <n v="124556"/>
    <n v="3.97"/>
    <n v="5475413254.1999998"/>
  </r>
  <r>
    <x v="5"/>
    <s v="EV9"/>
    <x v="3"/>
    <x v="2"/>
    <n v="65534.18"/>
    <n v="84.3"/>
    <n v="248"/>
    <n v="176"/>
    <s v="SUV"/>
    <n v="4"/>
    <s v="Premium"/>
    <n v="115671"/>
    <n v="3.43"/>
    <n v="7580404134.7799997"/>
  </r>
  <r>
    <x v="6"/>
    <s v="Ioniq 6"/>
    <x v="3"/>
    <x v="3"/>
    <n v="66319.66"/>
    <n v="72.900000000000006"/>
    <n v="225"/>
    <n v="134"/>
    <s v="Van"/>
    <n v="4"/>
    <s v="Premium"/>
    <n v="139935"/>
    <n v="3.2"/>
    <n v="9280441622.1000004"/>
  </r>
  <r>
    <x v="4"/>
    <s v="e-tron"/>
    <x v="3"/>
    <x v="3"/>
    <n v="63313.85"/>
    <n v="56.2"/>
    <n v="189"/>
    <n v="138"/>
    <s v="Van"/>
    <n v="4"/>
    <s v="Mid-range"/>
    <n v="25175"/>
    <n v="3.27"/>
    <n v="1593926173.75"/>
  </r>
  <r>
    <x v="7"/>
    <s v="ID.5"/>
    <x v="3"/>
    <x v="1"/>
    <n v="62312.34"/>
    <n v="116.7"/>
    <n v="420"/>
    <n v="191"/>
    <s v="Sedan"/>
    <n v="4"/>
    <s v="Mid-range"/>
    <n v="298301"/>
    <n v="3.59"/>
    <n v="18587833334.34"/>
  </r>
  <r>
    <x v="3"/>
    <s v="Atto 3"/>
    <x v="3"/>
    <x v="1"/>
    <n v="62874.95"/>
    <n v="71.7"/>
    <n v="262"/>
    <n v="200"/>
    <s v="Sedan"/>
    <n v="4"/>
    <s v="Mid-range"/>
    <n v="207361"/>
    <n v="3.74"/>
    <n v="13037812506.949999"/>
  </r>
  <r>
    <x v="9"/>
    <s v="iX"/>
    <x v="3"/>
    <x v="2"/>
    <n v="98461.71"/>
    <n v="53"/>
    <n v="185"/>
    <n v="142"/>
    <s v="Sedan"/>
    <n v="5"/>
    <s v="Premium"/>
    <n v="22686"/>
    <n v="3"/>
    <n v="2233702353.0599999"/>
  </r>
  <r>
    <x v="8"/>
    <s v="Mustang Mach-E"/>
    <x v="3"/>
    <x v="4"/>
    <n v="61500.69"/>
    <n v="61.2"/>
    <n v="209"/>
    <n v="154"/>
    <s v="Sedan"/>
    <n v="5"/>
    <s v="Mid-range"/>
    <n v="52208"/>
    <n v="3.39"/>
    <n v="3210828023.52"/>
  </r>
  <r>
    <x v="2"/>
    <s v="Model 3"/>
    <x v="3"/>
    <x v="3"/>
    <n v="123171.93"/>
    <n v="71.8"/>
    <n v="246"/>
    <n v="150"/>
    <s v="Hatchback"/>
    <n v="4"/>
    <s v="Luxury"/>
    <n v="165942"/>
    <n v="3.71"/>
    <n v="20439396408.059998"/>
  </r>
  <r>
    <x v="7"/>
    <s v="ID. Buzz"/>
    <x v="3"/>
    <x v="2"/>
    <n v="31850.78"/>
    <n v="51.4"/>
    <n v="199"/>
    <n v="149"/>
    <s v="Sedan"/>
    <n v="5"/>
    <s v="Budget"/>
    <n v="272903"/>
    <n v="3.24"/>
    <n v="8692173414.3400002"/>
  </r>
  <r>
    <x v="15"/>
    <s v="Macan Electric"/>
    <x v="3"/>
    <x v="0"/>
    <n v="139594.69"/>
    <n v="75.599999999999994"/>
    <n v="252"/>
    <n v="179"/>
    <s v="Hatchback"/>
    <n v="3"/>
    <s v="Luxury"/>
    <n v="9428"/>
    <n v="3.64"/>
    <n v="1316098737.3199999"/>
  </r>
  <r>
    <x v="5"/>
    <s v="Niro EV"/>
    <x v="3"/>
    <x v="3"/>
    <n v="42128.98"/>
    <n v="66.599999999999994"/>
    <n v="226"/>
    <n v="145"/>
    <s v="Hatchback"/>
    <n v="4"/>
    <s v="Mid-range"/>
    <n v="121472"/>
    <n v="3.23"/>
    <n v="5117491458.5600004"/>
  </r>
  <r>
    <x v="3"/>
    <s v="Seagull"/>
    <x v="3"/>
    <x v="2"/>
    <n v="52361.13"/>
    <n v="60"/>
    <n v="186"/>
    <n v="142"/>
    <s v="Hatchback"/>
    <n v="4"/>
    <s v="Mid-range"/>
    <n v="203886"/>
    <n v="3.06"/>
    <n v="10675701351.18"/>
  </r>
  <r>
    <x v="3"/>
    <s v="Dolphin"/>
    <x v="3"/>
    <x v="4"/>
    <n v="78664.3"/>
    <n v="82.8"/>
    <n v="301"/>
    <n v="137"/>
    <s v="Truck"/>
    <n v="5"/>
    <s v="Premium"/>
    <n v="238674"/>
    <n v="3.59"/>
    <n v="18775123138.200001"/>
  </r>
  <r>
    <x v="2"/>
    <s v="Model X"/>
    <x v="3"/>
    <x v="1"/>
    <n v="84447.94"/>
    <n v="72.5"/>
    <n v="255"/>
    <n v="200"/>
    <s v="Sedan"/>
    <n v="4"/>
    <s v="Premium"/>
    <n v="103295"/>
    <n v="3.51"/>
    <n v="8723049962.3000011"/>
  </r>
  <r>
    <x v="8"/>
    <s v="E-Transit"/>
    <x v="3"/>
    <x v="3"/>
    <n v="38404.42"/>
    <n v="49.1"/>
    <n v="193"/>
    <n v="148"/>
    <s v="Truck"/>
    <n v="3"/>
    <s v="Mid-range"/>
    <n v="49683"/>
    <n v="3.43"/>
    <n v="1908046798.8599999"/>
  </r>
  <r>
    <x v="3"/>
    <s v="Dolphin"/>
    <x v="3"/>
    <x v="0"/>
    <n v="77360.56"/>
    <n v="106.1"/>
    <n v="386"/>
    <n v="176"/>
    <s v="Truck"/>
    <n v="5"/>
    <s v="Premium"/>
    <n v="154361"/>
    <n v="3.89"/>
    <n v="11941453402.16"/>
  </r>
  <r>
    <x v="3"/>
    <s v="Atto 3"/>
    <x v="3"/>
    <x v="0"/>
    <n v="48954.46"/>
    <n v="94.7"/>
    <n v="326"/>
    <n v="184"/>
    <s v="Van"/>
    <n v="5"/>
    <s v="Mid-range"/>
    <n v="200483"/>
    <n v="3.75"/>
    <n v="9814537004.1800003"/>
  </r>
  <r>
    <x v="3"/>
    <s v="Atto 3"/>
    <x v="3"/>
    <x v="2"/>
    <n v="53518.98"/>
    <n v="71.2"/>
    <n v="260"/>
    <n v="153"/>
    <s v="Hatchback"/>
    <n v="4"/>
    <s v="Mid-range"/>
    <n v="222794"/>
    <n v="3.15"/>
    <n v="11923707630.120001"/>
  </r>
  <r>
    <x v="13"/>
    <s v="EQG"/>
    <x v="3"/>
    <x v="0"/>
    <n v="133058.62"/>
    <n v="89.4"/>
    <n v="309"/>
    <n v="158"/>
    <s v="Truck"/>
    <n v="5"/>
    <s v="Luxury"/>
    <n v="29039"/>
    <n v="3.99"/>
    <n v="3863889266.1799998"/>
  </r>
  <r>
    <x v="2"/>
    <s v="Model Y"/>
    <x v="3"/>
    <x v="3"/>
    <n v="53432.36"/>
    <n v="79.599999999999994"/>
    <n v="289"/>
    <n v="146"/>
    <s v="Coupe"/>
    <n v="5"/>
    <s v="Mid-range"/>
    <n v="490497"/>
    <n v="3.93"/>
    <n v="26208412282.920002"/>
  </r>
  <r>
    <x v="6"/>
    <s v="Kona Electric"/>
    <x v="3"/>
    <x v="0"/>
    <n v="40702.92"/>
    <n v="77.5"/>
    <n v="277"/>
    <n v="183"/>
    <s v="SUV"/>
    <n v="4"/>
    <s v="Mid-range"/>
    <n v="128695"/>
    <n v="3.64"/>
    <n v="5238262289.3999996"/>
  </r>
  <r>
    <x v="4"/>
    <s v="e-tron GT"/>
    <x v="3"/>
    <x v="2"/>
    <n v="67690.27"/>
    <n v="64.3"/>
    <n v="232"/>
    <n v="158"/>
    <s v="Sedan"/>
    <n v="4"/>
    <s v="Premium"/>
    <n v="63429"/>
    <n v="3.38"/>
    <n v="4293526135.8300004"/>
  </r>
  <r>
    <x v="4"/>
    <s v="Q6 e-tron"/>
    <x v="3"/>
    <x v="2"/>
    <n v="103373.32"/>
    <n v="48"/>
    <n v="165"/>
    <n v="147"/>
    <s v="Sedan"/>
    <n v="4"/>
    <s v="Luxury"/>
    <n v="46342"/>
    <n v="3.62"/>
    <n v="4790526395.4400005"/>
  </r>
  <r>
    <x v="4"/>
    <s v="Q6 e-tron"/>
    <x v="3"/>
    <x v="4"/>
    <n v="94046.97"/>
    <n v="47.5"/>
    <n v="160"/>
    <n v="155"/>
    <s v="Truck"/>
    <n v="5"/>
    <s v="Premium"/>
    <n v="36637"/>
    <n v="3.22"/>
    <n v="3445598839.8899999"/>
  </r>
  <r>
    <x v="14"/>
    <s v="EL8"/>
    <x v="3"/>
    <x v="3"/>
    <n v="65637.97"/>
    <n v="69.5"/>
    <n v="270"/>
    <n v="162"/>
    <s v="Hatchback"/>
    <n v="5"/>
    <s v="Premium"/>
    <n v="24026"/>
    <n v="3.35"/>
    <n v="1577017867.22"/>
  </r>
  <r>
    <x v="9"/>
    <s v="i3"/>
    <x v="3"/>
    <x v="4"/>
    <n v="86679.02"/>
    <n v="53.8"/>
    <n v="171"/>
    <n v="146"/>
    <s v="Truck"/>
    <n v="5"/>
    <s v="Premium"/>
    <n v="68670"/>
    <n v="3.23"/>
    <n v="5952248303.4000006"/>
  </r>
  <r>
    <x v="8"/>
    <s v="Explorer EV"/>
    <x v="3"/>
    <x v="3"/>
    <n v="42429.66"/>
    <n v="63.3"/>
    <n v="218"/>
    <n v="140"/>
    <s v="Sedan"/>
    <n v="3"/>
    <s v="Mid-range"/>
    <n v="37998"/>
    <n v="3.47"/>
    <n v="1612242220.6800001"/>
  </r>
  <r>
    <x v="5"/>
    <s v="Sportage EV"/>
    <x v="3"/>
    <x v="4"/>
    <n v="59926.46"/>
    <n v="66.3"/>
    <n v="219"/>
    <n v="162"/>
    <s v="SUV"/>
    <n v="5"/>
    <s v="Mid-range"/>
    <n v="144832"/>
    <n v="3.14"/>
    <n v="8679269054.7199993"/>
  </r>
  <r>
    <x v="2"/>
    <s v="Model 3"/>
    <x v="3"/>
    <x v="3"/>
    <n v="106795.24"/>
    <n v="45.7"/>
    <n v="163"/>
    <n v="178"/>
    <s v="Van"/>
    <n v="5"/>
    <s v="Luxury"/>
    <n v="212365"/>
    <n v="3.61"/>
    <n v="22679571142.600002"/>
  </r>
  <r>
    <x v="2"/>
    <s v="Model S"/>
    <x v="3"/>
    <x v="4"/>
    <n v="64307.39"/>
    <n v="44.8"/>
    <n v="171"/>
    <n v="147"/>
    <s v="Hatchback"/>
    <n v="4"/>
    <s v="Mid-range"/>
    <n v="138801"/>
    <n v="3.7"/>
    <n v="8925930039.3899994"/>
  </r>
  <r>
    <x v="3"/>
    <s v="Max"/>
    <x v="3"/>
    <x v="0"/>
    <n v="99850.08"/>
    <n v="105.9"/>
    <n v="400"/>
    <n v="171"/>
    <s v="Truck"/>
    <n v="5"/>
    <s v="Premium"/>
    <n v="207644"/>
    <n v="3.65"/>
    <n v="20733270011.52"/>
  </r>
  <r>
    <x v="12"/>
    <s v="Bolt EV"/>
    <x v="3"/>
    <x v="2"/>
    <n v="59074.75"/>
    <n v="54.5"/>
    <n v="198"/>
    <n v="163"/>
    <s v="Coupe"/>
    <n v="4"/>
    <s v="Mid-range"/>
    <n v="15584"/>
    <n v="3.31"/>
    <n v="920620904"/>
  </r>
  <r>
    <x v="2"/>
    <s v="Model Y"/>
    <x v="3"/>
    <x v="3"/>
    <n v="100758.31"/>
    <n v="46"/>
    <n v="171"/>
    <n v="175"/>
    <s v="SUV"/>
    <n v="5"/>
    <s v="Luxury"/>
    <n v="472436"/>
    <n v="3.4"/>
    <n v="47601852943.159996"/>
  </r>
  <r>
    <x v="8"/>
    <s v="Explorer EV"/>
    <x v="3"/>
    <x v="1"/>
    <n v="78508.55"/>
    <n v="73"/>
    <n v="274"/>
    <n v="200"/>
    <s v="Van"/>
    <n v="4"/>
    <s v="Premium"/>
    <n v="51688"/>
    <n v="3.3"/>
    <n v="4057949932.4000001"/>
  </r>
  <r>
    <x v="3"/>
    <s v="Yuan Plus"/>
    <x v="3"/>
    <x v="0"/>
    <n v="44084.51"/>
    <n v="94"/>
    <n v="330"/>
    <n v="179"/>
    <s v="Coupe"/>
    <n v="4"/>
    <s v="Mid-range"/>
    <n v="187463"/>
    <n v="3.67"/>
    <n v="8264214498.1300001"/>
  </r>
  <r>
    <x v="7"/>
    <s v="ID.5"/>
    <x v="3"/>
    <x v="1"/>
    <n v="64071.199999999997"/>
    <n v="77.7"/>
    <n v="297"/>
    <n v="191"/>
    <s v="Coupe"/>
    <n v="3"/>
    <s v="Mid-range"/>
    <n v="290103"/>
    <n v="3.66"/>
    <n v="18587247333.599998"/>
  </r>
  <r>
    <x v="9"/>
    <s v="i7"/>
    <x v="3"/>
    <x v="2"/>
    <n v="89651.14"/>
    <n v="73.099999999999994"/>
    <n v="249"/>
    <n v="165"/>
    <s v="Truck"/>
    <n v="4"/>
    <s v="Premium"/>
    <n v="72062"/>
    <n v="3.37"/>
    <n v="6460440450.6800003"/>
  </r>
  <r>
    <x v="2"/>
    <s v="Model 3"/>
    <x v="3"/>
    <x v="1"/>
    <n v="125634.38"/>
    <n v="79.599999999999994"/>
    <n v="268"/>
    <n v="195"/>
    <s v="Hatchback"/>
    <n v="5"/>
    <s v="Luxury"/>
    <n v="223587"/>
    <n v="3.94"/>
    <n v="28090214121.060001"/>
  </r>
  <r>
    <x v="0"/>
    <s v="bZ Compact SUV"/>
    <x v="3"/>
    <x v="4"/>
    <n v="52160.99"/>
    <n v="69.400000000000006"/>
    <n v="234"/>
    <n v="169"/>
    <s v="SUV"/>
    <n v="5"/>
    <s v="Mid-range"/>
    <n v="7110"/>
    <n v="3.56"/>
    <n v="370864638.89999998"/>
  </r>
  <r>
    <x v="2"/>
    <s v="Cybertruck"/>
    <x v="3"/>
    <x v="3"/>
    <n v="35071.56"/>
    <n v="52.4"/>
    <n v="192"/>
    <n v="168"/>
    <s v="Truck"/>
    <n v="5"/>
    <s v="Mid-range"/>
    <n v="139628"/>
    <n v="3.17"/>
    <n v="4896971779.6799994"/>
  </r>
  <r>
    <x v="2"/>
    <s v="Cybertruck"/>
    <x v="3"/>
    <x v="4"/>
    <n v="118800.8"/>
    <n v="54.2"/>
    <n v="203"/>
    <n v="162"/>
    <s v="Truck"/>
    <n v="4"/>
    <s v="Luxury"/>
    <n v="197139"/>
    <n v="3.38"/>
    <n v="23420270911.200001"/>
  </r>
  <r>
    <x v="7"/>
    <s v="ID. Aero"/>
    <x v="3"/>
    <x v="3"/>
    <n v="51298.81"/>
    <n v="63.2"/>
    <n v="237"/>
    <n v="162"/>
    <s v="Coupe"/>
    <n v="5"/>
    <s v="Mid-range"/>
    <n v="222298"/>
    <n v="3.5"/>
    <n v="11403622865.379999"/>
  </r>
  <r>
    <x v="9"/>
    <s v="i4"/>
    <x v="3"/>
    <x v="1"/>
    <n v="130983.67"/>
    <n v="110.9"/>
    <n v="390"/>
    <n v="200"/>
    <s v="Van"/>
    <n v="5"/>
    <s v="Luxury"/>
    <n v="64205"/>
    <n v="3.82"/>
    <n v="8409806532.3499994"/>
  </r>
  <r>
    <x v="2"/>
    <s v="Model X"/>
    <x v="3"/>
    <x v="4"/>
    <n v="53973.57"/>
    <n v="82.6"/>
    <n v="301"/>
    <n v="143"/>
    <s v="Sedan"/>
    <n v="5"/>
    <s v="Mid-range"/>
    <n v="206669"/>
    <n v="3.87"/>
    <n v="11154663738.33"/>
  </r>
  <r>
    <x v="9"/>
    <s v="i3"/>
    <x v="3"/>
    <x v="4"/>
    <n v="81481.72"/>
    <n v="64.8"/>
    <n v="209"/>
    <n v="180"/>
    <s v="Sedan"/>
    <n v="4"/>
    <s v="Premium"/>
    <n v="60859"/>
    <n v="3.29"/>
    <n v="4958895997.4800005"/>
  </r>
  <r>
    <x v="13"/>
    <s v="EQE"/>
    <x v="3"/>
    <x v="0"/>
    <n v="142535.28"/>
    <n v="94.3"/>
    <n v="305"/>
    <n v="169"/>
    <s v="Sedan"/>
    <n v="4"/>
    <s v="Luxury"/>
    <n v="32410"/>
    <n v="3.94"/>
    <n v="4619568424.8000002"/>
  </r>
  <r>
    <x v="3"/>
    <s v="Qin"/>
    <x v="3"/>
    <x v="1"/>
    <n v="54457.48"/>
    <n v="80.599999999999994"/>
    <n v="251"/>
    <n v="193"/>
    <s v="Truck"/>
    <n v="4"/>
    <s v="Mid-range"/>
    <n v="205191"/>
    <n v="3.38"/>
    <n v="11174184778.68"/>
  </r>
  <r>
    <x v="3"/>
    <s v="Max"/>
    <x v="3"/>
    <x v="0"/>
    <n v="35900.230000000003"/>
    <n v="88"/>
    <n v="302"/>
    <n v="198"/>
    <s v="SUV"/>
    <n v="5"/>
    <s v="Mid-range"/>
    <n v="176515"/>
    <n v="3.84"/>
    <n v="6336929098.4500008"/>
  </r>
  <r>
    <x v="3"/>
    <s v="Dolphin"/>
    <x v="3"/>
    <x v="4"/>
    <n v="25794.27"/>
    <n v="50.1"/>
    <n v="188"/>
    <n v="135"/>
    <s v="Truck"/>
    <n v="3"/>
    <s v="Budget"/>
    <n v="112218"/>
    <n v="3.59"/>
    <n v="2894581390.8600001"/>
  </r>
  <r>
    <x v="13"/>
    <s v="EQG"/>
    <x v="3"/>
    <x v="2"/>
    <n v="82191.199999999997"/>
    <n v="71.099999999999994"/>
    <n v="281"/>
    <n v="154"/>
    <s v="Sedan"/>
    <n v="4"/>
    <s v="Premium"/>
    <n v="59566"/>
    <n v="3.91"/>
    <n v="4895801019.1999998"/>
  </r>
  <r>
    <x v="5"/>
    <s v="EV6"/>
    <x v="3"/>
    <x v="2"/>
    <n v="37474.58"/>
    <n v="58.6"/>
    <n v="209"/>
    <n v="141"/>
    <s v="Truck"/>
    <n v="5"/>
    <s v="Mid-range"/>
    <n v="67143"/>
    <n v="3.33"/>
    <n v="2516155724.9400001"/>
  </r>
  <r>
    <x v="6"/>
    <s v="i30"/>
    <x v="3"/>
    <x v="2"/>
    <n v="37474.79"/>
    <n v="56.5"/>
    <n v="218"/>
    <n v="134"/>
    <s v="Van"/>
    <n v="4"/>
    <s v="Mid-range"/>
    <n v="129662"/>
    <n v="3.46"/>
    <n v="4859056220.9800005"/>
  </r>
  <r>
    <x v="7"/>
    <s v="ID.4"/>
    <x v="3"/>
    <x v="4"/>
    <n v="69215.27"/>
    <n v="62"/>
    <n v="197"/>
    <n v="136"/>
    <s v="Truck"/>
    <n v="5"/>
    <s v="Premium"/>
    <n v="211559"/>
    <n v="3.61"/>
    <n v="14643113305.93"/>
  </r>
  <r>
    <x v="6"/>
    <s v="Ioniq 6"/>
    <x v="3"/>
    <x v="2"/>
    <n v="41678.26"/>
    <n v="66.400000000000006"/>
    <n v="252"/>
    <n v="155"/>
    <s v="Van"/>
    <n v="4"/>
    <s v="Mid-range"/>
    <n v="52756"/>
    <n v="3.29"/>
    <n v="2198778284.5599999"/>
  </r>
  <r>
    <x v="12"/>
    <s v="Blazer EV"/>
    <x v="3"/>
    <x v="1"/>
    <n v="60380.4"/>
    <n v="91.2"/>
    <n v="308"/>
    <n v="199"/>
    <s v="Van"/>
    <n v="3"/>
    <s v="Mid-range"/>
    <n v="8909"/>
    <n v="3.76"/>
    <n v="537928983.60000002"/>
  </r>
  <r>
    <x v="9"/>
    <s v="i4"/>
    <x v="3"/>
    <x v="3"/>
    <n v="101992.19"/>
    <n v="49.3"/>
    <n v="168"/>
    <n v="165"/>
    <s v="Sedan"/>
    <n v="5"/>
    <s v="Luxury"/>
    <n v="24913"/>
    <n v="3.34"/>
    <n v="2540931429.4700003"/>
  </r>
  <r>
    <x v="12"/>
    <s v="Blazer EV"/>
    <x v="3"/>
    <x v="1"/>
    <n v="77802.210000000006"/>
    <n v="81.5"/>
    <n v="300"/>
    <n v="195"/>
    <s v="Truck"/>
    <n v="5"/>
    <s v="Premium"/>
    <n v="18415"/>
    <n v="3.87"/>
    <n v="1432727697.1500001"/>
  </r>
  <r>
    <x v="3"/>
    <s v="Qin"/>
    <x v="3"/>
    <x v="2"/>
    <n v="40160.18"/>
    <n v="61.8"/>
    <n v="214"/>
    <n v="164"/>
    <s v="Hatchback"/>
    <n v="5"/>
    <s v="Mid-range"/>
    <n v="234883"/>
    <n v="3.4"/>
    <n v="9432943558.9400005"/>
  </r>
  <r>
    <x v="5"/>
    <s v="Picanto EV"/>
    <x v="3"/>
    <x v="3"/>
    <n v="66396.28"/>
    <n v="40.4"/>
    <n v="150"/>
    <n v="172"/>
    <s v="Sedan"/>
    <n v="4"/>
    <s v="Premium"/>
    <n v="93251"/>
    <n v="3.17"/>
    <n v="6191519506.2799997"/>
  </r>
  <r>
    <x v="2"/>
    <s v="Model 3"/>
    <x v="3"/>
    <x v="2"/>
    <n v="50661.72"/>
    <n v="45"/>
    <n v="150"/>
    <n v="132"/>
    <s v="Truck"/>
    <n v="5"/>
    <s v="Mid-range"/>
    <n v="240645"/>
    <n v="3.26"/>
    <n v="12191489609.4"/>
  </r>
  <r>
    <x v="11"/>
    <s v="R1S"/>
    <x v="3"/>
    <x v="2"/>
    <n v="71764.23"/>
    <n v="63.3"/>
    <n v="216"/>
    <n v="179"/>
    <s v="Coupe"/>
    <n v="4"/>
    <s v="Premium"/>
    <n v="16601"/>
    <n v="3.25"/>
    <n v="1191357982.23"/>
  </r>
  <r>
    <x v="7"/>
    <s v="ID. Buzz"/>
    <x v="3"/>
    <x v="4"/>
    <n v="99863.63"/>
    <n v="66.5"/>
    <n v="227"/>
    <n v="134"/>
    <s v="Truck"/>
    <n v="5"/>
    <s v="Premium"/>
    <n v="237739"/>
    <n v="3.79"/>
    <n v="23741479532.57"/>
  </r>
  <r>
    <x v="12"/>
    <s v="Equinox EV"/>
    <x v="3"/>
    <x v="0"/>
    <n v="33127.160000000003"/>
    <n v="87.4"/>
    <n v="303"/>
    <n v="160"/>
    <s v="SUV"/>
    <n v="4"/>
    <s v="Budget"/>
    <n v="19880"/>
    <n v="3.66"/>
    <n v="658567940.80000007"/>
  </r>
  <r>
    <x v="8"/>
    <s v="Explorer EV"/>
    <x v="3"/>
    <x v="1"/>
    <n v="66131.67"/>
    <n v="96.5"/>
    <n v="322"/>
    <n v="200"/>
    <s v="Truck"/>
    <n v="5"/>
    <s v="Premium"/>
    <n v="34351"/>
    <n v="3.53"/>
    <n v="2271688996.1700001"/>
  </r>
  <r>
    <x v="3"/>
    <s v="Leaf 50X"/>
    <x v="3"/>
    <x v="1"/>
    <n v="25921.47"/>
    <n v="101.8"/>
    <n v="344"/>
    <n v="188"/>
    <s v="Truck"/>
    <n v="5"/>
    <s v="Budget"/>
    <n v="110847"/>
    <n v="3.94"/>
    <n v="2873317185.0900002"/>
  </r>
  <r>
    <x v="6"/>
    <s v="Ioniq 6"/>
    <x v="3"/>
    <x v="3"/>
    <n v="53342.39"/>
    <n v="42.5"/>
    <n v="150"/>
    <n v="179"/>
    <s v="Sedan"/>
    <n v="4"/>
    <s v="Mid-range"/>
    <n v="142003"/>
    <n v="3.16"/>
    <n v="7574779407.1700001"/>
  </r>
  <r>
    <x v="5"/>
    <s v="EV9"/>
    <x v="3"/>
    <x v="3"/>
    <n v="33510.99"/>
    <n v="40.1"/>
    <n v="152"/>
    <n v="135"/>
    <s v="SUV"/>
    <n v="4"/>
    <s v="Budget"/>
    <n v="137108"/>
    <n v="3.43"/>
    <n v="4594624816.9200001"/>
  </r>
  <r>
    <x v="3"/>
    <s v="Seagull"/>
    <x v="3"/>
    <x v="3"/>
    <n v="84139.98"/>
    <n v="72.3"/>
    <n v="261"/>
    <n v="130"/>
    <s v="Truck"/>
    <n v="5"/>
    <s v="Premium"/>
    <n v="236926"/>
    <n v="3.41"/>
    <n v="19934948901.48"/>
  </r>
  <r>
    <x v="14"/>
    <s v="ET5"/>
    <x v="3"/>
    <x v="4"/>
    <n v="114240.51"/>
    <n v="65.599999999999994"/>
    <n v="218"/>
    <n v="162"/>
    <s v="Truck"/>
    <n v="5"/>
    <s v="Luxury"/>
    <n v="26747"/>
    <n v="3.64"/>
    <n v="3055590920.9699998"/>
  </r>
  <r>
    <x v="12"/>
    <s v="Silverado EV"/>
    <x v="3"/>
    <x v="4"/>
    <n v="41711.199999999997"/>
    <n v="58.9"/>
    <n v="204"/>
    <n v="135"/>
    <s v="Hatchback"/>
    <n v="4"/>
    <s v="Mid-range"/>
    <n v="776"/>
    <n v="3.17"/>
    <n v="32367891.199999999"/>
  </r>
  <r>
    <x v="7"/>
    <s v="ID. Aero"/>
    <x v="3"/>
    <x v="4"/>
    <n v="60337.62"/>
    <n v="44.2"/>
    <n v="158"/>
    <n v="175"/>
    <s v="Hatchback"/>
    <n v="5"/>
    <s v="Mid-range"/>
    <n v="201954"/>
    <n v="3.3"/>
    <n v="12185423709.480001"/>
  </r>
  <r>
    <x v="7"/>
    <s v="ID.3"/>
    <x v="3"/>
    <x v="4"/>
    <n v="53064.54"/>
    <n v="68.099999999999994"/>
    <n v="226"/>
    <n v="141"/>
    <s v="Truck"/>
    <n v="3"/>
    <s v="Mid-range"/>
    <n v="243991"/>
    <n v="3.26"/>
    <n v="12947270179.139999"/>
  </r>
  <r>
    <x v="8"/>
    <s v="F-150 Lightning"/>
    <x v="3"/>
    <x v="1"/>
    <n v="69526.3"/>
    <n v="114.5"/>
    <n v="415"/>
    <n v="200"/>
    <s v="Truck"/>
    <n v="5"/>
    <s v="Premium"/>
    <n v="23821"/>
    <n v="3.84"/>
    <n v="1656185992.3"/>
  </r>
  <r>
    <x v="6"/>
    <s v="Ioniq"/>
    <x v="3"/>
    <x v="3"/>
    <n v="73470.2"/>
    <n v="61.6"/>
    <n v="217"/>
    <n v="167"/>
    <s v="Truck"/>
    <n v="5"/>
    <s v="Premium"/>
    <n v="142666"/>
    <n v="3.15"/>
    <n v="10481699553.199999"/>
  </r>
  <r>
    <x v="2"/>
    <s v="Model S"/>
    <x v="3"/>
    <x v="1"/>
    <n v="105706.18"/>
    <n v="114.7"/>
    <n v="391"/>
    <n v="200"/>
    <s v="Coupe"/>
    <n v="3"/>
    <s v="Luxury"/>
    <n v="247669"/>
    <n v="4.2"/>
    <n v="26180143894.419998"/>
  </r>
  <r>
    <x v="2"/>
    <s v="Model S"/>
    <x v="3"/>
    <x v="3"/>
    <n v="95125.11"/>
    <n v="45.3"/>
    <n v="150"/>
    <n v="135"/>
    <s v="Hatchback"/>
    <n v="3"/>
    <s v="Premium"/>
    <n v="116755"/>
    <n v="3.27"/>
    <n v="11106332218.049999"/>
  </r>
  <r>
    <x v="4"/>
    <s v="e-tron GT"/>
    <x v="3"/>
    <x v="0"/>
    <n v="64643.29"/>
    <n v="83.8"/>
    <n v="293"/>
    <n v="173"/>
    <s v="SUV"/>
    <n v="5"/>
    <s v="Mid-range"/>
    <n v="67458"/>
    <n v="3.6"/>
    <n v="4360707056.8199997"/>
  </r>
  <r>
    <x v="12"/>
    <s v="Silverado EV"/>
    <x v="3"/>
    <x v="4"/>
    <n v="73891.199999999997"/>
    <n v="45"/>
    <n v="150"/>
    <n v="134"/>
    <s v="SUV"/>
    <n v="5"/>
    <s v="Premium"/>
    <n v="7223"/>
    <n v="3.41"/>
    <n v="533716137.59999996"/>
  </r>
  <r>
    <x v="3"/>
    <s v="Yuan Plus"/>
    <x v="3"/>
    <x v="2"/>
    <n v="36015.660000000003"/>
    <n v="52.4"/>
    <n v="178"/>
    <n v="160"/>
    <s v="SUV"/>
    <n v="5"/>
    <s v="Mid-range"/>
    <n v="143487"/>
    <n v="3.37"/>
    <n v="5167779006.4200001"/>
  </r>
  <r>
    <x v="5"/>
    <s v="EV9"/>
    <x v="3"/>
    <x v="3"/>
    <n v="63386.57"/>
    <n v="61.3"/>
    <n v="218"/>
    <n v="167"/>
    <s v="SUV"/>
    <n v="5"/>
    <s v="Mid-range"/>
    <n v="97503"/>
    <n v="3.22"/>
    <n v="6180380734.71"/>
  </r>
  <r>
    <x v="9"/>
    <s v="iX"/>
    <x v="3"/>
    <x v="1"/>
    <n v="101590.86"/>
    <n v="116.4"/>
    <n v="426"/>
    <n v="174"/>
    <s v="Van"/>
    <n v="5"/>
    <s v="Luxury"/>
    <n v="73116"/>
    <n v="3.97"/>
    <n v="7427917319.7600002"/>
  </r>
  <r>
    <x v="2"/>
    <s v="Model 3"/>
    <x v="3"/>
    <x v="4"/>
    <n v="67810.929999999993"/>
    <n v="55.5"/>
    <n v="175"/>
    <n v="166"/>
    <s v="Sedan"/>
    <n v="5"/>
    <s v="Premium"/>
    <n v="194039"/>
    <n v="3.62"/>
    <n v="13157965046.269999"/>
  </r>
  <r>
    <x v="8"/>
    <s v="Explorer EV"/>
    <x v="3"/>
    <x v="3"/>
    <n v="37298.339999999997"/>
    <n v="72.7"/>
    <n v="262"/>
    <n v="154"/>
    <s v="SUV"/>
    <n v="4"/>
    <s v="Mid-range"/>
    <n v="60230"/>
    <n v="3.57"/>
    <n v="2246479018.1999998"/>
  </r>
  <r>
    <x v="3"/>
    <s v="Seagull"/>
    <x v="3"/>
    <x v="3"/>
    <n v="62912.21"/>
    <n v="54"/>
    <n v="188"/>
    <n v="142"/>
    <s v="Hatchback"/>
    <n v="5"/>
    <s v="Mid-range"/>
    <n v="196923"/>
    <n v="3.56"/>
    <n v="12388861129.83"/>
  </r>
  <r>
    <x v="9"/>
    <s v="i4"/>
    <x v="3"/>
    <x v="2"/>
    <n v="63735.58"/>
    <n v="75.400000000000006"/>
    <n v="276"/>
    <n v="154"/>
    <s v="Sedan"/>
    <n v="5"/>
    <s v="Mid-range"/>
    <n v="28907"/>
    <n v="3.44"/>
    <n v="1842404411.0599999"/>
  </r>
  <r>
    <x v="2"/>
    <s v="Model Y"/>
    <x v="3"/>
    <x v="4"/>
    <n v="144885.91"/>
    <n v="67.7"/>
    <n v="230"/>
    <n v="156"/>
    <s v="Hatchback"/>
    <n v="5"/>
    <s v="Luxury"/>
    <n v="416711"/>
    <n v="3.88"/>
    <n v="60375552442.010002"/>
  </r>
  <r>
    <x v="12"/>
    <s v="Blazer EV"/>
    <x v="3"/>
    <x v="3"/>
    <n v="62461.41"/>
    <n v="54"/>
    <n v="168"/>
    <n v="138"/>
    <s v="Hatchback"/>
    <n v="4"/>
    <s v="Mid-range"/>
    <n v="6024"/>
    <n v="3.32"/>
    <n v="376267533.84000003"/>
  </r>
  <r>
    <x v="3"/>
    <s v="Dolphin"/>
    <x v="3"/>
    <x v="3"/>
    <n v="23505.59"/>
    <n v="75.5"/>
    <n v="261"/>
    <n v="166"/>
    <s v="Hatchback"/>
    <n v="3"/>
    <s v="Budget"/>
    <n v="178149"/>
    <n v="3.42"/>
    <n v="4187497352.9099998"/>
  </r>
  <r>
    <x v="8"/>
    <s v="E-Transit"/>
    <x v="3"/>
    <x v="1"/>
    <n v="78714.850000000006"/>
    <n v="111.5"/>
    <n v="393"/>
    <n v="184"/>
    <s v="Coupe"/>
    <n v="4"/>
    <s v="Premium"/>
    <n v="41203"/>
    <n v="3.73"/>
    <n v="3243287964.5500002"/>
  </r>
  <r>
    <x v="13"/>
    <s v="EQE"/>
    <x v="3"/>
    <x v="3"/>
    <n v="142019.75"/>
    <n v="58.7"/>
    <n v="200"/>
    <n v="166"/>
    <s v="Hatchback"/>
    <n v="5"/>
    <s v="Luxury"/>
    <n v="57178"/>
    <n v="3.68"/>
    <n v="8120405265.5"/>
  </r>
  <r>
    <x v="6"/>
    <s v="Ioniq"/>
    <x v="3"/>
    <x v="0"/>
    <n v="48459.839999999997"/>
    <n v="100"/>
    <n v="358"/>
    <n v="175"/>
    <s v="Van"/>
    <n v="4"/>
    <s v="Mid-range"/>
    <n v="128198"/>
    <n v="3.66"/>
    <n v="6212454568.3199997"/>
  </r>
  <r>
    <x v="9"/>
    <s v="i7"/>
    <x v="3"/>
    <x v="1"/>
    <n v="121734.94"/>
    <n v="72.7"/>
    <n v="249"/>
    <n v="200"/>
    <s v="Coupe"/>
    <n v="5"/>
    <s v="Luxury"/>
    <n v="71997"/>
    <n v="3.55"/>
    <n v="8764550475.1800003"/>
  </r>
  <r>
    <x v="3"/>
    <s v="Qin"/>
    <x v="3"/>
    <x v="0"/>
    <n v="82830.36"/>
    <n v="90.4"/>
    <n v="294"/>
    <n v="175"/>
    <s v="Van"/>
    <n v="5"/>
    <s v="Premium"/>
    <n v="213531"/>
    <n v="3.84"/>
    <n v="17686849601.16"/>
  </r>
  <r>
    <x v="2"/>
    <s v="Model S"/>
    <x v="3"/>
    <x v="1"/>
    <n v="170972.65"/>
    <n v="105.1"/>
    <n v="373"/>
    <n v="200"/>
    <s v="Van"/>
    <n v="3"/>
    <s v="Luxury"/>
    <n v="177006"/>
    <n v="3.89"/>
    <n v="30263184885.899998"/>
  </r>
  <r>
    <x v="2"/>
    <s v="Cybertruck"/>
    <x v="3"/>
    <x v="4"/>
    <n v="172193.15"/>
    <n v="58.2"/>
    <n v="181"/>
    <n v="147"/>
    <s v="Truck"/>
    <n v="5"/>
    <s v="Luxury"/>
    <n v="199763"/>
    <n v="3.42"/>
    <n v="34397820223.449997"/>
  </r>
  <r>
    <x v="6"/>
    <s v="Ioniq 5"/>
    <x v="3"/>
    <x v="4"/>
    <n v="42532.36"/>
    <n v="70.099999999999994"/>
    <n v="253"/>
    <n v="167"/>
    <s v="Hatchback"/>
    <n v="5"/>
    <s v="Mid-range"/>
    <n v="118099"/>
    <n v="3.33"/>
    <n v="5023029183.6400003"/>
  </r>
  <r>
    <x v="2"/>
    <s v="Model S"/>
    <x v="3"/>
    <x v="2"/>
    <n v="29555.66"/>
    <n v="54.9"/>
    <n v="182"/>
    <n v="163"/>
    <s v="Truck"/>
    <n v="4"/>
    <s v="Budget"/>
    <n v="119019"/>
    <n v="3.56"/>
    <n v="3517685097.54"/>
  </r>
  <r>
    <x v="3"/>
    <s v="Yuan Plus"/>
    <x v="3"/>
    <x v="4"/>
    <n v="62695.67"/>
    <n v="55.1"/>
    <n v="191"/>
    <n v="143"/>
    <s v="Truck"/>
    <n v="3"/>
    <s v="Mid-range"/>
    <n v="249959"/>
    <n v="3.49"/>
    <n v="15671346977.529999"/>
  </r>
  <r>
    <x v="2"/>
    <s v="Model S"/>
    <x v="3"/>
    <x v="0"/>
    <n v="41849.58"/>
    <n v="96.1"/>
    <n v="319"/>
    <n v="174"/>
    <s v="Van"/>
    <n v="5"/>
    <s v="Mid-range"/>
    <n v="211387"/>
    <n v="4"/>
    <n v="8846457167.460001"/>
  </r>
  <r>
    <x v="9"/>
    <s v="i3"/>
    <x v="3"/>
    <x v="0"/>
    <n v="113237.82"/>
    <n v="108.8"/>
    <n v="398"/>
    <n v="174"/>
    <s v="Hatchback"/>
    <n v="4"/>
    <s v="Luxury"/>
    <n v="31347"/>
    <n v="3.49"/>
    <n v="3549665943.5400004"/>
  </r>
  <r>
    <x v="12"/>
    <s v="Equinox EV"/>
    <x v="3"/>
    <x v="0"/>
    <n v="53068.74"/>
    <n v="78.7"/>
    <n v="273"/>
    <n v="184"/>
    <s v="SUV"/>
    <n v="5"/>
    <s v="Mid-range"/>
    <n v="9605"/>
    <n v="3.25"/>
    <n v="509725247.69999999"/>
  </r>
  <r>
    <x v="4"/>
    <s v="Q4 e-tron"/>
    <x v="3"/>
    <x v="2"/>
    <n v="76292.22"/>
    <n v="51.4"/>
    <n v="180"/>
    <n v="174"/>
    <s v="Truck"/>
    <n v="5"/>
    <s v="Premium"/>
    <n v="57167"/>
    <n v="3.32"/>
    <n v="4361397340.7399998"/>
  </r>
  <r>
    <x v="13"/>
    <s v="EQS"/>
    <x v="3"/>
    <x v="2"/>
    <n v="129584.74"/>
    <n v="64.2"/>
    <n v="260"/>
    <n v="126"/>
    <s v="Hatchback"/>
    <n v="5"/>
    <s v="Luxury"/>
    <n v="24901"/>
    <n v="3.81"/>
    <n v="3226789610.7400002"/>
  </r>
  <r>
    <x v="2"/>
    <s v="Model Y"/>
    <x v="3"/>
    <x v="2"/>
    <n v="112472.41"/>
    <n v="74.3"/>
    <n v="238"/>
    <n v="142"/>
    <s v="Van"/>
    <n v="5"/>
    <s v="Luxury"/>
    <n v="485203"/>
    <n v="3.66"/>
    <n v="54571950749.230003"/>
  </r>
  <r>
    <x v="6"/>
    <s v="Ioniq 5"/>
    <x v="3"/>
    <x v="1"/>
    <n v="107017.27"/>
    <n v="75.2"/>
    <n v="259"/>
    <n v="184"/>
    <s v="SUV"/>
    <n v="5"/>
    <s v="Luxury"/>
    <n v="67872"/>
    <n v="3.44"/>
    <n v="7263476149.4400005"/>
  </r>
  <r>
    <x v="12"/>
    <s v="Equinox EV"/>
    <x v="3"/>
    <x v="0"/>
    <n v="65559.399999999994"/>
    <n v="97.3"/>
    <n v="331"/>
    <n v="177"/>
    <s v="SUV"/>
    <n v="4"/>
    <s v="Premium"/>
    <n v="6658"/>
    <n v="3.7"/>
    <n v="436494485.19999999"/>
  </r>
  <r>
    <x v="7"/>
    <s v="ID.3"/>
    <x v="3"/>
    <x v="3"/>
    <n v="32332.16"/>
    <n v="53.1"/>
    <n v="184"/>
    <n v="170"/>
    <s v="Hatchback"/>
    <n v="5"/>
    <s v="Budget"/>
    <n v="283336"/>
    <n v="3.52"/>
    <n v="9160864885.7600002"/>
  </r>
  <r>
    <x v="7"/>
    <s v="ID. Buzz"/>
    <x v="3"/>
    <x v="1"/>
    <n v="114648.63"/>
    <n v="104.8"/>
    <n v="352"/>
    <n v="197"/>
    <s v="SUV"/>
    <n v="4"/>
    <s v="Luxury"/>
    <n v="297615"/>
    <n v="3.66"/>
    <n v="34121152017.450001"/>
  </r>
  <r>
    <x v="5"/>
    <s v="EV9"/>
    <x v="3"/>
    <x v="1"/>
    <n v="76777.22"/>
    <n v="72.5"/>
    <n v="254"/>
    <n v="200"/>
    <s v="SUV"/>
    <n v="4"/>
    <s v="Premium"/>
    <n v="99948"/>
    <n v="3.66"/>
    <n v="7673729584.5600004"/>
  </r>
  <r>
    <x v="9"/>
    <s v="i3"/>
    <x v="3"/>
    <x v="1"/>
    <n v="111495.73"/>
    <n v="82.7"/>
    <n v="283"/>
    <n v="188"/>
    <s v="Coupe"/>
    <n v="4"/>
    <s v="Luxury"/>
    <n v="41408"/>
    <n v="3.72"/>
    <n v="4616815187.8400002"/>
  </r>
  <r>
    <x v="2"/>
    <s v="Model S"/>
    <x v="3"/>
    <x v="4"/>
    <n v="163320.60999999999"/>
    <n v="72.8"/>
    <n v="240"/>
    <n v="147"/>
    <s v="Hatchback"/>
    <n v="4"/>
    <s v="Luxury"/>
    <n v="220716"/>
    <n v="3.73"/>
    <n v="36047471756.759995"/>
  </r>
  <r>
    <x v="3"/>
    <s v="Qin"/>
    <x v="3"/>
    <x v="1"/>
    <n v="89614.35"/>
    <n v="100.7"/>
    <n v="334"/>
    <n v="192"/>
    <s v="Hatchback"/>
    <n v="5"/>
    <s v="Premium"/>
    <n v="198687"/>
    <n v="4"/>
    <n v="17805206358.450001"/>
  </r>
  <r>
    <x v="3"/>
    <s v="Max"/>
    <x v="3"/>
    <x v="1"/>
    <n v="102394.49"/>
    <n v="115.2"/>
    <n v="421"/>
    <n v="174"/>
    <s v="Truck"/>
    <n v="5"/>
    <s v="Luxury"/>
    <n v="226612"/>
    <n v="3.99"/>
    <n v="23203820167.880001"/>
  </r>
  <r>
    <x v="7"/>
    <s v="ID.4"/>
    <x v="3"/>
    <x v="4"/>
    <n v="78484.960000000006"/>
    <n v="48.2"/>
    <n v="168"/>
    <n v="144"/>
    <s v="Sedan"/>
    <n v="4"/>
    <s v="Premium"/>
    <n v="208905"/>
    <n v="3.41"/>
    <n v="16395900568.800001"/>
  </r>
  <r>
    <x v="3"/>
    <s v="Max"/>
    <x v="3"/>
    <x v="0"/>
    <n v="30609.19"/>
    <n v="78.599999999999994"/>
    <n v="268"/>
    <n v="184"/>
    <s v="Hatchback"/>
    <n v="5"/>
    <s v="Budget"/>
    <n v="111239"/>
    <n v="3.49"/>
    <n v="3404935686.4099998"/>
  </r>
  <r>
    <x v="12"/>
    <s v="Bolt EUV"/>
    <x v="3"/>
    <x v="1"/>
    <n v="73854.22"/>
    <n v="104.5"/>
    <n v="365"/>
    <n v="200"/>
    <s v="Coupe"/>
    <n v="4"/>
    <s v="Premium"/>
    <n v="27191"/>
    <n v="3.61"/>
    <n v="2008170096.02"/>
  </r>
  <r>
    <x v="13"/>
    <s v="EQE"/>
    <x v="3"/>
    <x v="1"/>
    <n v="91688.58"/>
    <n v="90.5"/>
    <n v="311"/>
    <n v="192"/>
    <s v="Van"/>
    <n v="5"/>
    <s v="Premium"/>
    <n v="45385"/>
    <n v="4.0599999999999996"/>
    <n v="4161286203.3000002"/>
  </r>
  <r>
    <x v="3"/>
    <s v="Atto 3"/>
    <x v="3"/>
    <x v="4"/>
    <n v="72252.78"/>
    <n v="40.799999999999997"/>
    <n v="150"/>
    <n v="162"/>
    <s v="Hatchback"/>
    <n v="4"/>
    <s v="Premium"/>
    <n v="245833"/>
    <n v="3.12"/>
    <n v="17762117665.739998"/>
  </r>
  <r>
    <x v="3"/>
    <s v="Max"/>
    <x v="3"/>
    <x v="2"/>
    <n v="20788.8"/>
    <n v="46.9"/>
    <n v="161"/>
    <n v="150"/>
    <s v="Van"/>
    <n v="4"/>
    <s v="Budget"/>
    <n v="208014"/>
    <n v="3.15"/>
    <n v="4324361443.1999998"/>
  </r>
  <r>
    <x v="15"/>
    <s v="Macan Electric"/>
    <x v="3"/>
    <x v="3"/>
    <n v="107490.34"/>
    <n v="61.7"/>
    <n v="224"/>
    <n v="161"/>
    <s v="SUV"/>
    <n v="4"/>
    <s v="Luxury"/>
    <n v="2249"/>
    <n v="3.5"/>
    <n v="241745774.66"/>
  </r>
  <r>
    <x v="1"/>
    <s v="Ocean"/>
    <x v="3"/>
    <x v="4"/>
    <n v="100837.22"/>
    <n v="71.599999999999994"/>
    <n v="259"/>
    <n v="163"/>
    <s v="Sedan"/>
    <n v="5"/>
    <s v="Luxury"/>
    <n v="27700"/>
    <n v="3.3"/>
    <n v="2793190994"/>
  </r>
  <r>
    <x v="6"/>
    <s v="Ioniq"/>
    <x v="3"/>
    <x v="1"/>
    <n v="69817.039999999994"/>
    <n v="113.2"/>
    <n v="415"/>
    <n v="198"/>
    <s v="Van"/>
    <n v="5"/>
    <s v="Premium"/>
    <n v="127527"/>
    <n v="3.55"/>
    <n v="8903557660.0799999"/>
  </r>
  <r>
    <x v="2"/>
    <s v="Model S"/>
    <x v="3"/>
    <x v="0"/>
    <n v="122960.47"/>
    <n v="98.5"/>
    <n v="350"/>
    <n v="178"/>
    <s v="SUV"/>
    <n v="4"/>
    <s v="Luxury"/>
    <n v="114585"/>
    <n v="4.09"/>
    <n v="14089425454.950001"/>
  </r>
  <r>
    <x v="12"/>
    <s v="Silverado EV"/>
    <x v="3"/>
    <x v="1"/>
    <n v="42948.13"/>
    <n v="93.8"/>
    <n v="328"/>
    <n v="200"/>
    <s v="Sedan"/>
    <n v="4"/>
    <s v="Mid-range"/>
    <n v="14040"/>
    <n v="3.76"/>
    <n v="602991745.19999993"/>
  </r>
  <r>
    <x v="2"/>
    <s v="Model 3"/>
    <x v="3"/>
    <x v="3"/>
    <n v="128698.36"/>
    <n v="60.8"/>
    <n v="240"/>
    <n v="154"/>
    <s v="Truck"/>
    <n v="5"/>
    <s v="Luxury"/>
    <n v="132614"/>
    <n v="3.6"/>
    <n v="17067204313.040001"/>
  </r>
  <r>
    <x v="2"/>
    <s v="Model 3"/>
    <x v="3"/>
    <x v="3"/>
    <n v="68205.179999999993"/>
    <n v="50.5"/>
    <n v="178"/>
    <n v="121"/>
    <s v="Van"/>
    <n v="4"/>
    <s v="Premium"/>
    <n v="179048"/>
    <n v="3.64"/>
    <n v="12212001068.639999"/>
  </r>
  <r>
    <x v="7"/>
    <s v="ID. Aero"/>
    <x v="3"/>
    <x v="4"/>
    <n v="107650.74"/>
    <n v="66"/>
    <n v="238"/>
    <n v="169"/>
    <s v="Hatchback"/>
    <n v="4"/>
    <s v="Luxury"/>
    <n v="215531"/>
    <n v="3.43"/>
    <n v="23202071642.940002"/>
  </r>
  <r>
    <x v="6"/>
    <s v="Ioniq"/>
    <x v="3"/>
    <x v="0"/>
    <n v="85387.82"/>
    <n v="78.5"/>
    <n v="251"/>
    <n v="178"/>
    <s v="Sedan"/>
    <n v="4"/>
    <s v="Premium"/>
    <n v="131774"/>
    <n v="3.48"/>
    <n v="11251894592.68"/>
  </r>
  <r>
    <x v="2"/>
    <s v="Model S"/>
    <x v="3"/>
    <x v="4"/>
    <n v="84622.11"/>
    <n v="73.7"/>
    <n v="264"/>
    <n v="143"/>
    <s v="SUV"/>
    <n v="4"/>
    <s v="Premium"/>
    <n v="193331"/>
    <n v="3.64"/>
    <n v="16360077148.41"/>
  </r>
  <r>
    <x v="5"/>
    <s v="EV6"/>
    <x v="3"/>
    <x v="0"/>
    <n v="68881.259999999995"/>
    <n v="85.2"/>
    <n v="297"/>
    <n v="172"/>
    <s v="SUV"/>
    <n v="4"/>
    <s v="Premium"/>
    <n v="85490"/>
    <n v="3.48"/>
    <n v="5888658917.3999996"/>
  </r>
  <r>
    <x v="5"/>
    <s v="Niro EV"/>
    <x v="3"/>
    <x v="2"/>
    <n v="53627.18"/>
    <n v="75.2"/>
    <n v="266"/>
    <n v="154"/>
    <s v="Sedan"/>
    <n v="3"/>
    <s v="Mid-range"/>
    <n v="65815"/>
    <n v="3.66"/>
    <n v="3529472851.6999998"/>
  </r>
  <r>
    <x v="0"/>
    <s v="bZ Compact SUV"/>
    <x v="3"/>
    <x v="0"/>
    <n v="79916.17"/>
    <n v="85.7"/>
    <n v="295"/>
    <n v="176"/>
    <s v="SUV"/>
    <n v="4"/>
    <s v="Premium"/>
    <n v="29619"/>
    <n v="3.47"/>
    <n v="2367037039.23"/>
  </r>
  <r>
    <x v="3"/>
    <s v="Max"/>
    <x v="3"/>
    <x v="1"/>
    <n v="93434.880000000005"/>
    <n v="89.1"/>
    <n v="321"/>
    <n v="200"/>
    <s v="Van"/>
    <n v="5"/>
    <s v="Premium"/>
    <n v="220329"/>
    <n v="3.35"/>
    <n v="20586413675.52"/>
  </r>
  <r>
    <x v="3"/>
    <s v="Qin"/>
    <x v="3"/>
    <x v="0"/>
    <n v="27057.77"/>
    <n v="108.5"/>
    <n v="385"/>
    <n v="162"/>
    <s v="Sedan"/>
    <n v="4"/>
    <s v="Budget"/>
    <n v="176350"/>
    <n v="3.6"/>
    <n v="4771637739.5"/>
  </r>
  <r>
    <x v="2"/>
    <s v="Cybertruck"/>
    <x v="3"/>
    <x v="1"/>
    <n v="56003.28"/>
    <n v="108.7"/>
    <n v="392"/>
    <n v="192"/>
    <s v="Truck"/>
    <n v="4"/>
    <s v="Mid-range"/>
    <n v="102435"/>
    <n v="4.04"/>
    <n v="5736695986.8000002"/>
  </r>
  <r>
    <x v="5"/>
    <s v="EV9"/>
    <x v="3"/>
    <x v="0"/>
    <n v="62846.87"/>
    <n v="96.2"/>
    <n v="339"/>
    <n v="186"/>
    <s v="SUV"/>
    <n v="5"/>
    <s v="Mid-range"/>
    <n v="73090"/>
    <n v="3.76"/>
    <n v="4593477728.3000002"/>
  </r>
  <r>
    <x v="3"/>
    <s v="Yuan Plus"/>
    <x v="3"/>
    <x v="4"/>
    <n v="44973.03"/>
    <n v="70.2"/>
    <n v="272"/>
    <n v="156"/>
    <s v="Hatchback"/>
    <n v="4"/>
    <s v="Mid-range"/>
    <n v="163237"/>
    <n v="3.63"/>
    <n v="7341262498.1099997"/>
  </r>
  <r>
    <x v="5"/>
    <s v="Picanto EV"/>
    <x v="3"/>
    <x v="1"/>
    <n v="84710.91"/>
    <n v="95.4"/>
    <n v="364"/>
    <n v="192"/>
    <s v="Sedan"/>
    <n v="4"/>
    <s v="Premium"/>
    <n v="109134"/>
    <n v="3.67"/>
    <n v="9244840451.9400005"/>
  </r>
  <r>
    <x v="8"/>
    <s v="Mustang Mach-E"/>
    <x v="3"/>
    <x v="3"/>
    <n v="61247.58"/>
    <n v="43"/>
    <n v="150"/>
    <n v="145"/>
    <s v="Hatchback"/>
    <n v="4"/>
    <s v="Mid-range"/>
    <n v="76286"/>
    <n v="3.13"/>
    <n v="4672332887.8800001"/>
  </r>
  <r>
    <x v="3"/>
    <s v="Max"/>
    <x v="3"/>
    <x v="3"/>
    <n v="26581.17"/>
    <n v="76.3"/>
    <n v="257"/>
    <n v="143"/>
    <s v="SUV"/>
    <n v="5"/>
    <s v="Budget"/>
    <n v="206659"/>
    <n v="3.36"/>
    <n v="5493238011.0299997"/>
  </r>
  <r>
    <x v="5"/>
    <s v="Sportage EV"/>
    <x v="3"/>
    <x v="1"/>
    <n v="92527.86"/>
    <n v="110.6"/>
    <n v="404"/>
    <n v="200"/>
    <s v="SUV"/>
    <n v="4"/>
    <s v="Premium"/>
    <n v="118664"/>
    <n v="3.6"/>
    <n v="10979725979.040001"/>
  </r>
  <r>
    <x v="2"/>
    <s v="Model Y"/>
    <x v="3"/>
    <x v="2"/>
    <n v="106611.48"/>
    <n v="81.099999999999994"/>
    <n v="298"/>
    <n v="153"/>
    <s v="Hatchback"/>
    <n v="5"/>
    <s v="Luxury"/>
    <n v="481578"/>
    <n v="4.09"/>
    <n v="51341743315.439995"/>
  </r>
  <r>
    <x v="3"/>
    <s v="Qin"/>
    <x v="3"/>
    <x v="4"/>
    <n v="33832.39"/>
    <n v="82.8"/>
    <n v="276"/>
    <n v="128"/>
    <s v="SUV"/>
    <n v="4"/>
    <s v="Budget"/>
    <n v="177176"/>
    <n v="3.68"/>
    <n v="5994287530.6400003"/>
  </r>
  <r>
    <x v="7"/>
    <s v="ID.3"/>
    <x v="3"/>
    <x v="4"/>
    <n v="92433.279999999999"/>
    <n v="70.099999999999994"/>
    <n v="250"/>
    <n v="162"/>
    <s v="Coupe"/>
    <n v="4"/>
    <s v="Premium"/>
    <n v="212147"/>
    <n v="3.39"/>
    <n v="19609443052.16"/>
  </r>
  <r>
    <x v="2"/>
    <s v="Model X"/>
    <x v="3"/>
    <x v="2"/>
    <n v="55932.63"/>
    <n v="59.8"/>
    <n v="209"/>
    <n v="155"/>
    <s v="SUV"/>
    <n v="3"/>
    <s v="Mid-range"/>
    <n v="183636"/>
    <n v="3.65"/>
    <n v="10271244442.68"/>
  </r>
  <r>
    <x v="9"/>
    <s v="i7"/>
    <x v="3"/>
    <x v="0"/>
    <n v="131127.44"/>
    <n v="88.4"/>
    <n v="275"/>
    <n v="175"/>
    <s v="Van"/>
    <n v="4"/>
    <s v="Luxury"/>
    <n v="49932"/>
    <n v="3.32"/>
    <n v="6547455334.0799999"/>
  </r>
  <r>
    <x v="2"/>
    <s v="Model Y"/>
    <x v="3"/>
    <x v="0"/>
    <n v="63692.69"/>
    <n v="107.7"/>
    <n v="357"/>
    <n v="188"/>
    <s v="Van"/>
    <n v="3"/>
    <s v="Mid-range"/>
    <n v="462962"/>
    <n v="4.05"/>
    <n v="29487295147.780003"/>
  </r>
  <r>
    <x v="7"/>
    <s v="ID. Aero"/>
    <x v="3"/>
    <x v="1"/>
    <n v="82345.289999999994"/>
    <n v="78.400000000000006"/>
    <n v="276"/>
    <n v="200"/>
    <s v="Hatchback"/>
    <n v="4"/>
    <s v="Premium"/>
    <n v="291745"/>
    <n v="3.72"/>
    <n v="24023826631.049999"/>
  </r>
  <r>
    <x v="5"/>
    <s v="Niro EV"/>
    <x v="3"/>
    <x v="1"/>
    <n v="59632.87"/>
    <n v="90.3"/>
    <n v="325"/>
    <n v="196"/>
    <s v="Coupe"/>
    <n v="5"/>
    <s v="Mid-range"/>
    <n v="97616"/>
    <n v="3.74"/>
    <n v="5821122237.9200001"/>
  </r>
  <r>
    <x v="12"/>
    <s v="Bolt EV"/>
    <x v="3"/>
    <x v="1"/>
    <n v="39441.22"/>
    <n v="70.400000000000006"/>
    <n v="238"/>
    <n v="192"/>
    <s v="Coupe"/>
    <n v="3"/>
    <s v="Mid-range"/>
    <n v="9783"/>
    <n v="3.17"/>
    <n v="385853455.25999999"/>
  </r>
  <r>
    <x v="5"/>
    <s v="Sportage EV"/>
    <x v="3"/>
    <x v="2"/>
    <n v="47384.85"/>
    <n v="55.2"/>
    <n v="193"/>
    <n v="168"/>
    <s v="SUV"/>
    <n v="4"/>
    <s v="Mid-range"/>
    <n v="57685"/>
    <n v="3.6"/>
    <n v="2733395072.25"/>
  </r>
  <r>
    <x v="2"/>
    <s v="Model X"/>
    <x v="3"/>
    <x v="1"/>
    <n v="111766.84"/>
    <n v="104.9"/>
    <n v="361"/>
    <n v="200"/>
    <s v="Hatchback"/>
    <n v="4"/>
    <s v="Luxury"/>
    <n v="176852"/>
    <n v="4.05"/>
    <n v="19766189187.68"/>
  </r>
  <r>
    <x v="5"/>
    <s v="EV6"/>
    <x v="3"/>
    <x v="4"/>
    <n v="82403.5"/>
    <n v="78.599999999999994"/>
    <n v="288"/>
    <n v="151"/>
    <s v="Van"/>
    <n v="4"/>
    <s v="Premium"/>
    <n v="95064"/>
    <n v="3.74"/>
    <n v="7833606324"/>
  </r>
  <r>
    <x v="9"/>
    <s v="i5"/>
    <x v="3"/>
    <x v="4"/>
    <n v="104739.58"/>
    <n v="54.5"/>
    <n v="189"/>
    <n v="151"/>
    <s v="Coupe"/>
    <n v="5"/>
    <s v="Luxury"/>
    <n v="58894"/>
    <n v="3.16"/>
    <n v="6168532824.5200005"/>
  </r>
  <r>
    <x v="2"/>
    <s v="Cybertruck"/>
    <x v="3"/>
    <x v="0"/>
    <n v="40789.910000000003"/>
    <n v="106.8"/>
    <n v="379"/>
    <n v="177"/>
    <s v="Truck"/>
    <n v="5"/>
    <s v="Mid-range"/>
    <n v="187262"/>
    <n v="4.38"/>
    <n v="7638400126.420001"/>
  </r>
  <r>
    <x v="10"/>
    <n v="4"/>
    <x v="3"/>
    <x v="1"/>
    <n v="90903.84"/>
    <n v="95"/>
    <n v="337"/>
    <n v="185"/>
    <s v="Coupe"/>
    <n v="5"/>
    <s v="Premium"/>
    <n v="18672"/>
    <n v="3.64"/>
    <n v="1697356500.48"/>
  </r>
  <r>
    <x v="3"/>
    <s v="Max"/>
    <x v="3"/>
    <x v="0"/>
    <n v="98961.38"/>
    <n v="90.2"/>
    <n v="294"/>
    <n v="171"/>
    <s v="Van"/>
    <n v="4"/>
    <s v="Premium"/>
    <n v="230275"/>
    <n v="3.52"/>
    <n v="22788331779.5"/>
  </r>
  <r>
    <x v="3"/>
    <s v="Qin"/>
    <x v="3"/>
    <x v="0"/>
    <n v="52355.75"/>
    <n v="87.1"/>
    <n v="286"/>
    <n v="184"/>
    <s v="Sedan"/>
    <n v="5"/>
    <s v="Mid-range"/>
    <n v="146928"/>
    <n v="3.27"/>
    <n v="7692525636"/>
  </r>
  <r>
    <x v="4"/>
    <s v="e-tron GT"/>
    <x v="3"/>
    <x v="4"/>
    <n v="88280.78"/>
    <n v="42.7"/>
    <n v="156"/>
    <n v="173"/>
    <s v="Coupe"/>
    <n v="4"/>
    <s v="Premium"/>
    <n v="66857"/>
    <n v="3.24"/>
    <n v="5902188108.46"/>
  </r>
  <r>
    <x v="2"/>
    <s v="Model S"/>
    <x v="3"/>
    <x v="2"/>
    <n v="45116.56"/>
    <n v="45.3"/>
    <n v="169"/>
    <n v="158"/>
    <s v="Sedan"/>
    <n v="3"/>
    <s v="Mid-range"/>
    <n v="116884"/>
    <n v="3.58"/>
    <n v="5273403999.04"/>
  </r>
  <r>
    <x v="7"/>
    <s v="ID.4"/>
    <x v="3"/>
    <x v="0"/>
    <n v="49537.91"/>
    <n v="82.9"/>
    <n v="278"/>
    <n v="191"/>
    <s v="Coupe"/>
    <n v="5"/>
    <s v="Mid-range"/>
    <n v="250021"/>
    <n v="3.64"/>
    <n v="12385517796.110001"/>
  </r>
  <r>
    <x v="2"/>
    <s v="Model 3"/>
    <x v="3"/>
    <x v="1"/>
    <n v="53096.09"/>
    <n v="113.8"/>
    <n v="404"/>
    <n v="200"/>
    <s v="Van"/>
    <n v="4"/>
    <s v="Mid-range"/>
    <n v="123687"/>
    <n v="4.34"/>
    <n v="6567296083.8299999"/>
  </r>
  <r>
    <x v="6"/>
    <s v="Ioniq 5"/>
    <x v="3"/>
    <x v="2"/>
    <n v="40063.519999999997"/>
    <n v="83"/>
    <n v="298"/>
    <n v="134"/>
    <s v="Van"/>
    <n v="5"/>
    <s v="Mid-range"/>
    <n v="95016"/>
    <n v="3.55"/>
    <n v="3806675416.3199997"/>
  </r>
  <r>
    <x v="3"/>
    <s v="Seagull"/>
    <x v="3"/>
    <x v="2"/>
    <n v="72565.72"/>
    <n v="43.8"/>
    <n v="153"/>
    <n v="175"/>
    <s v="Hatchback"/>
    <n v="5"/>
    <s v="Premium"/>
    <n v="193019"/>
    <n v="3.17"/>
    <n v="14006562708.68"/>
  </r>
  <r>
    <x v="2"/>
    <s v="Model S"/>
    <x v="3"/>
    <x v="4"/>
    <n v="90489.19"/>
    <n v="66.8"/>
    <n v="227"/>
    <n v="144"/>
    <s v="Van"/>
    <n v="4"/>
    <s v="Premium"/>
    <n v="231411"/>
    <n v="3.84"/>
    <n v="20940193947.09"/>
  </r>
  <r>
    <x v="6"/>
    <s v="Ioniq 6"/>
    <x v="3"/>
    <x v="0"/>
    <n v="79421.070000000007"/>
    <n v="79.2"/>
    <n v="250"/>
    <n v="164"/>
    <s v="Van"/>
    <n v="5"/>
    <s v="Premium"/>
    <n v="120050"/>
    <n v="3.41"/>
    <n v="9534499453.5"/>
  </r>
  <r>
    <x v="6"/>
    <s v="Kona Electric"/>
    <x v="3"/>
    <x v="0"/>
    <n v="89541.119999999995"/>
    <n v="95.4"/>
    <n v="330"/>
    <n v="179"/>
    <s v="SUV"/>
    <n v="5"/>
    <s v="Premium"/>
    <n v="122583"/>
    <n v="3.74"/>
    <n v="10976219112.959999"/>
  </r>
  <r>
    <x v="9"/>
    <s v="i3"/>
    <x v="3"/>
    <x v="2"/>
    <n v="89086.86"/>
    <n v="79.5"/>
    <n v="279"/>
    <n v="179"/>
    <s v="Truck"/>
    <n v="4"/>
    <s v="Premium"/>
    <n v="63501"/>
    <n v="3.78"/>
    <n v="5657104696.8599997"/>
  </r>
  <r>
    <x v="13"/>
    <s v="EQS"/>
    <x v="3"/>
    <x v="4"/>
    <n v="111693.41"/>
    <n v="44.9"/>
    <n v="154"/>
    <n v="144"/>
    <s v="Hatchback"/>
    <n v="4"/>
    <s v="Luxury"/>
    <n v="72096"/>
    <n v="3.64"/>
    <n v="8052648087.3600006"/>
  </r>
  <r>
    <x v="9"/>
    <s v="iX"/>
    <x v="3"/>
    <x v="0"/>
    <n v="130324.5"/>
    <n v="105"/>
    <n v="370"/>
    <n v="186"/>
    <s v="Sedan"/>
    <n v="5"/>
    <s v="Luxury"/>
    <n v="62481"/>
    <n v="3.82"/>
    <n v="8142805084.5"/>
  </r>
  <r>
    <x v="2"/>
    <s v="Model 3"/>
    <x v="3"/>
    <x v="4"/>
    <n v="98229.28"/>
    <n v="82.6"/>
    <n v="290"/>
    <n v="142"/>
    <s v="Sedan"/>
    <n v="4"/>
    <s v="Premium"/>
    <n v="151125"/>
    <n v="4.05"/>
    <n v="14844899940"/>
  </r>
  <r>
    <x v="9"/>
    <s v="i3"/>
    <x v="3"/>
    <x v="4"/>
    <n v="126296.04"/>
    <n v="69.400000000000006"/>
    <n v="238"/>
    <n v="158"/>
    <s v="Truck"/>
    <n v="4"/>
    <s v="Luxury"/>
    <n v="27018"/>
    <n v="3.73"/>
    <n v="3412266408.7199998"/>
  </r>
  <r>
    <x v="2"/>
    <s v="Cybertruck"/>
    <x v="3"/>
    <x v="1"/>
    <n v="182463.57"/>
    <n v="109.2"/>
    <n v="389"/>
    <n v="200"/>
    <s v="Truck"/>
    <n v="5"/>
    <s v="Luxury"/>
    <n v="202403"/>
    <n v="3.98"/>
    <n v="36931173958.709999"/>
  </r>
  <r>
    <x v="2"/>
    <s v="Model X"/>
    <x v="3"/>
    <x v="4"/>
    <n v="43481.03"/>
    <n v="65.2"/>
    <n v="217"/>
    <n v="143"/>
    <s v="SUV"/>
    <n v="5"/>
    <s v="Mid-range"/>
    <n v="134257"/>
    <n v="3.73"/>
    <n v="5837632644.71"/>
  </r>
  <r>
    <x v="3"/>
    <s v="Atto 3"/>
    <x v="3"/>
    <x v="2"/>
    <n v="73542.570000000007"/>
    <n v="52.6"/>
    <n v="178"/>
    <n v="142"/>
    <s v="Hatchback"/>
    <n v="5"/>
    <s v="Premium"/>
    <n v="164917"/>
    <n v="3"/>
    <n v="12128420016.690001"/>
  </r>
  <r>
    <x v="2"/>
    <s v="Model S"/>
    <x v="3"/>
    <x v="4"/>
    <n v="51643.69"/>
    <n v="41.7"/>
    <n v="150"/>
    <n v="153"/>
    <s v="Truck"/>
    <n v="5"/>
    <s v="Mid-range"/>
    <n v="247691"/>
    <n v="3.41"/>
    <n v="12791677219.790001"/>
  </r>
  <r>
    <x v="8"/>
    <s v="E-Transit"/>
    <x v="3"/>
    <x v="3"/>
    <n v="53190.35"/>
    <n v="62.2"/>
    <n v="200"/>
    <n v="148"/>
    <s v="Hatchback"/>
    <n v="4"/>
    <s v="Mid-range"/>
    <n v="73417"/>
    <n v="3.13"/>
    <n v="3905075925.9499998"/>
  </r>
  <r>
    <x v="6"/>
    <s v="Kona Electric"/>
    <x v="3"/>
    <x v="0"/>
    <n v="49376.97"/>
    <n v="105.9"/>
    <n v="348"/>
    <n v="175"/>
    <s v="Hatchback"/>
    <n v="5"/>
    <s v="Mid-range"/>
    <n v="113770"/>
    <n v="3.51"/>
    <n v="5617617876.9000006"/>
  </r>
  <r>
    <x v="1"/>
    <s v="Ocean"/>
    <x v="3"/>
    <x v="2"/>
    <n v="81514.31"/>
    <n v="48.1"/>
    <n v="186"/>
    <n v="157"/>
    <s v="Hatchback"/>
    <n v="4"/>
    <s v="Premium"/>
    <n v="16427"/>
    <n v="3.38"/>
    <n v="1339035570.3699999"/>
  </r>
  <r>
    <x v="10"/>
    <n v="3"/>
    <x v="3"/>
    <x v="0"/>
    <n v="77182.19"/>
    <n v="88.8"/>
    <n v="337"/>
    <n v="160"/>
    <s v="Hatchback"/>
    <n v="5"/>
    <s v="Premium"/>
    <n v="5412"/>
    <n v="3.55"/>
    <n v="417710012.28000003"/>
  </r>
  <r>
    <x v="8"/>
    <s v="Explorer EV"/>
    <x v="3"/>
    <x v="3"/>
    <n v="38433.81"/>
    <n v="45.5"/>
    <n v="152"/>
    <n v="137"/>
    <s v="Truck"/>
    <n v="4"/>
    <s v="Mid-range"/>
    <n v="31451"/>
    <n v="3.08"/>
    <n v="1208781758.3099999"/>
  </r>
  <r>
    <x v="7"/>
    <s v="ID.3"/>
    <x v="3"/>
    <x v="4"/>
    <n v="99609.58"/>
    <n v="83.8"/>
    <n v="287"/>
    <n v="141"/>
    <s v="Coupe"/>
    <n v="4"/>
    <s v="Premium"/>
    <n v="245824"/>
    <n v="3.56"/>
    <n v="24486425393.920002"/>
  </r>
  <r>
    <x v="3"/>
    <s v="Max"/>
    <x v="3"/>
    <x v="0"/>
    <n v="94064.69"/>
    <n v="95.8"/>
    <n v="342"/>
    <n v="180"/>
    <s v="Hatchback"/>
    <n v="5"/>
    <s v="Premium"/>
    <n v="117049"/>
    <n v="3.64"/>
    <n v="11010177899.809999"/>
  </r>
  <r>
    <x v="5"/>
    <s v="Sportage EV"/>
    <x v="3"/>
    <x v="2"/>
    <n v="31014.43"/>
    <n v="43.7"/>
    <n v="167"/>
    <n v="149"/>
    <s v="SUV"/>
    <n v="5"/>
    <s v="Budget"/>
    <n v="68930"/>
    <n v="3.05"/>
    <n v="2137824659.9000001"/>
  </r>
  <r>
    <x v="12"/>
    <s v="Blazer EV"/>
    <x v="3"/>
    <x v="3"/>
    <n v="45534.53"/>
    <n v="61.3"/>
    <n v="201"/>
    <n v="130"/>
    <s v="Sedan"/>
    <n v="5"/>
    <s v="Mid-range"/>
    <n v="7422"/>
    <n v="3.31"/>
    <n v="337957281.65999997"/>
  </r>
  <r>
    <x v="12"/>
    <s v="Blazer EV"/>
    <x v="3"/>
    <x v="2"/>
    <n v="30572.73"/>
    <n v="55.2"/>
    <n v="208"/>
    <n v="134"/>
    <s v="Coupe"/>
    <n v="4"/>
    <s v="Budget"/>
    <n v="13459"/>
    <n v="3.31"/>
    <n v="411478373.06999999"/>
  </r>
  <r>
    <x v="2"/>
    <s v="Model S"/>
    <x v="3"/>
    <x v="2"/>
    <n v="41460.269999999997"/>
    <n v="53.8"/>
    <n v="191"/>
    <n v="155"/>
    <s v="Van"/>
    <n v="4"/>
    <s v="Mid-range"/>
    <n v="119951"/>
    <n v="3.56"/>
    <n v="4973200846.7699995"/>
  </r>
  <r>
    <x v="7"/>
    <s v="ID.3"/>
    <x v="3"/>
    <x v="1"/>
    <n v="70444.740000000005"/>
    <n v="90.5"/>
    <n v="338"/>
    <n v="185"/>
    <s v="Truck"/>
    <n v="4"/>
    <s v="Premium"/>
    <n v="214221"/>
    <n v="3.69"/>
    <n v="15090742647.540001"/>
  </r>
  <r>
    <x v="4"/>
    <s v="Q4 e-tron"/>
    <x v="3"/>
    <x v="2"/>
    <n v="48523.32"/>
    <n v="82.6"/>
    <n v="283"/>
    <n v="137"/>
    <s v="SUV"/>
    <n v="5"/>
    <s v="Mid-range"/>
    <n v="57366"/>
    <n v="3.57"/>
    <n v="2783588775.1199999"/>
  </r>
  <r>
    <x v="7"/>
    <s v="ID.3"/>
    <x v="3"/>
    <x v="4"/>
    <n v="57817.4"/>
    <n v="40.4"/>
    <n v="167"/>
    <n v="156"/>
    <s v="Truck"/>
    <n v="5"/>
    <s v="Mid-range"/>
    <n v="227778"/>
    <n v="3.41"/>
    <n v="13169531737.200001"/>
  </r>
  <r>
    <x v="4"/>
    <s v="e-tron"/>
    <x v="3"/>
    <x v="0"/>
    <n v="82135.990000000005"/>
    <n v="78.3"/>
    <n v="272"/>
    <n v="170"/>
    <s v="Sedan"/>
    <n v="4"/>
    <s v="Premium"/>
    <n v="56851"/>
    <n v="3.65"/>
    <n v="4669513167.4900007"/>
  </r>
  <r>
    <x v="13"/>
    <s v="EQE"/>
    <x v="3"/>
    <x v="3"/>
    <n v="112177.54"/>
    <n v="67.5"/>
    <n v="236"/>
    <n v="128"/>
    <s v="Van"/>
    <n v="4"/>
    <s v="Luxury"/>
    <n v="38676"/>
    <n v="3.75"/>
    <n v="4338578537.04"/>
  </r>
  <r>
    <x v="6"/>
    <s v="i30"/>
    <x v="3"/>
    <x v="3"/>
    <n v="33062.26"/>
    <n v="78.5"/>
    <n v="266"/>
    <n v="128"/>
    <s v="Van"/>
    <n v="5"/>
    <s v="Budget"/>
    <n v="88310"/>
    <n v="3.39"/>
    <n v="2919728180.6000004"/>
  </r>
  <r>
    <x v="7"/>
    <s v="ID. Buzz"/>
    <x v="3"/>
    <x v="1"/>
    <n v="110994.9"/>
    <n v="76.8"/>
    <n v="250"/>
    <n v="198"/>
    <s v="SUV"/>
    <n v="5"/>
    <s v="Luxury"/>
    <n v="225518"/>
    <n v="3.24"/>
    <n v="25031347858.199997"/>
  </r>
  <r>
    <x v="12"/>
    <s v="Silverado EV"/>
    <x v="3"/>
    <x v="1"/>
    <n v="95648.05"/>
    <n v="112.2"/>
    <n v="409"/>
    <n v="200"/>
    <s v="Truck"/>
    <n v="4"/>
    <s v="Premium"/>
    <n v="20948"/>
    <n v="3.66"/>
    <n v="2003635351.4000001"/>
  </r>
  <r>
    <x v="7"/>
    <s v="ID. Aero"/>
    <x v="3"/>
    <x v="2"/>
    <n v="44658.67"/>
    <n v="73.2"/>
    <n v="219"/>
    <n v="140"/>
    <s v="Sedan"/>
    <n v="5"/>
    <s v="Mid-range"/>
    <n v="256210"/>
    <n v="3.39"/>
    <n v="11441997840.699999"/>
  </r>
  <r>
    <x v="7"/>
    <s v="ID.4"/>
    <x v="3"/>
    <x v="0"/>
    <n v="78653.83"/>
    <n v="94.4"/>
    <n v="350"/>
    <n v="189"/>
    <s v="Coupe"/>
    <n v="5"/>
    <s v="Premium"/>
    <n v="204287"/>
    <n v="3.97"/>
    <n v="16067954969.210001"/>
  </r>
  <r>
    <x v="3"/>
    <s v="Leaf 50X"/>
    <x v="3"/>
    <x v="3"/>
    <n v="74284.45"/>
    <n v="84.2"/>
    <n v="286"/>
    <n v="162"/>
    <s v="Truck"/>
    <n v="5"/>
    <s v="Premium"/>
    <n v="128075"/>
    <n v="3.77"/>
    <n v="9513980933.75"/>
  </r>
  <r>
    <x v="3"/>
    <s v="Seagull"/>
    <x v="3"/>
    <x v="4"/>
    <n v="109450.6"/>
    <n v="64.2"/>
    <n v="232"/>
    <n v="143"/>
    <s v="Sedan"/>
    <n v="5"/>
    <s v="Luxury"/>
    <n v="128508"/>
    <n v="3.59"/>
    <n v="14065277704.800001"/>
  </r>
  <r>
    <x v="2"/>
    <s v="Model X"/>
    <x v="3"/>
    <x v="1"/>
    <n v="164467.67000000001"/>
    <n v="113.9"/>
    <n v="371"/>
    <n v="200"/>
    <s v="Van"/>
    <n v="5"/>
    <s v="Luxury"/>
    <n v="146842"/>
    <n v="3.92"/>
    <n v="24150761598.140003"/>
  </r>
  <r>
    <x v="6"/>
    <s v="Ioniq 5"/>
    <x v="3"/>
    <x v="3"/>
    <n v="55335.519999999997"/>
    <n v="51.9"/>
    <n v="156"/>
    <n v="176"/>
    <s v="Van"/>
    <n v="3"/>
    <s v="Mid-range"/>
    <n v="84896"/>
    <n v="3.28"/>
    <n v="4697764305.9200001"/>
  </r>
  <r>
    <x v="6"/>
    <s v="Ioniq 5"/>
    <x v="3"/>
    <x v="0"/>
    <n v="41738.1"/>
    <n v="88.1"/>
    <n v="330"/>
    <n v="167"/>
    <s v="Hatchback"/>
    <n v="5"/>
    <s v="Mid-range"/>
    <n v="92151"/>
    <n v="3.69"/>
    <n v="3846207653.0999999"/>
  </r>
  <r>
    <x v="9"/>
    <s v="i3"/>
    <x v="3"/>
    <x v="0"/>
    <n v="122665.71"/>
    <n v="102.1"/>
    <n v="360"/>
    <n v="190"/>
    <s v="Hatchback"/>
    <n v="5"/>
    <s v="Luxury"/>
    <n v="66187"/>
    <n v="3.78"/>
    <n v="8118875347.7700005"/>
  </r>
  <r>
    <x v="12"/>
    <s v="Bolt EV"/>
    <x v="4"/>
    <x v="4"/>
    <n v="49651.12"/>
    <n v="58.2"/>
    <n v="225"/>
    <n v="148"/>
    <s v="Van"/>
    <n v="4"/>
    <s v="Mid-range"/>
    <n v="16590"/>
    <n v="3.7"/>
    <n v="823712080.80000007"/>
  </r>
  <r>
    <x v="5"/>
    <s v="Sportage EV"/>
    <x v="4"/>
    <x v="0"/>
    <n v="38131.56"/>
    <n v="102.5"/>
    <n v="349"/>
    <n v="176"/>
    <s v="SUV"/>
    <n v="4"/>
    <s v="Mid-range"/>
    <n v="127201"/>
    <n v="3.81"/>
    <n v="4850372563.5599995"/>
  </r>
  <r>
    <x v="2"/>
    <s v="Model 3"/>
    <x v="4"/>
    <x v="4"/>
    <n v="128427.66"/>
    <n v="68.599999999999994"/>
    <n v="222"/>
    <n v="149"/>
    <s v="Coupe"/>
    <n v="5"/>
    <s v="Luxury"/>
    <n v="213937"/>
    <n v="3.54"/>
    <n v="27475428297.420002"/>
  </r>
  <r>
    <x v="2"/>
    <s v="Model 3"/>
    <x v="4"/>
    <x v="4"/>
    <n v="95912.83"/>
    <n v="49.8"/>
    <n v="167"/>
    <n v="138"/>
    <s v="Sedan"/>
    <n v="4"/>
    <s v="Premium"/>
    <n v="124780"/>
    <n v="3.56"/>
    <n v="11968002927.4"/>
  </r>
  <r>
    <x v="2"/>
    <s v="Model S"/>
    <x v="4"/>
    <x v="4"/>
    <n v="134964.13"/>
    <n v="67.400000000000006"/>
    <n v="250"/>
    <n v="135"/>
    <s v="Van"/>
    <n v="5"/>
    <s v="Luxury"/>
    <n v="235048"/>
    <n v="3.81"/>
    <n v="31723048828.240002"/>
  </r>
  <r>
    <x v="3"/>
    <s v="Atto 3"/>
    <x v="4"/>
    <x v="3"/>
    <n v="64427.02"/>
    <n v="70.5"/>
    <n v="265"/>
    <n v="138"/>
    <s v="Truck"/>
    <n v="5"/>
    <s v="Mid-range"/>
    <n v="204232"/>
    <n v="3.52"/>
    <n v="13158059148.639999"/>
  </r>
  <r>
    <x v="6"/>
    <s v="Kona Electric"/>
    <x v="4"/>
    <x v="4"/>
    <n v="63139.95"/>
    <n v="81"/>
    <n v="275"/>
    <n v="141"/>
    <s v="Coupe"/>
    <n v="4"/>
    <s v="Mid-range"/>
    <n v="132242"/>
    <n v="3.43"/>
    <n v="8349753267.8999996"/>
  </r>
  <r>
    <x v="7"/>
    <s v="ID.4"/>
    <x v="4"/>
    <x v="0"/>
    <n v="77030"/>
    <n v="88"/>
    <n v="332"/>
    <n v="183"/>
    <s v="Sedan"/>
    <n v="4"/>
    <s v="Premium"/>
    <n v="238587"/>
    <n v="3.37"/>
    <n v="18378356610"/>
  </r>
  <r>
    <x v="3"/>
    <s v="Atto 3"/>
    <x v="4"/>
    <x v="4"/>
    <n v="72336.67"/>
    <n v="77.900000000000006"/>
    <n v="295"/>
    <n v="178"/>
    <s v="Van"/>
    <n v="3"/>
    <s v="Premium"/>
    <n v="168778"/>
    <n v="3.53"/>
    <n v="12208838489.26"/>
  </r>
  <r>
    <x v="3"/>
    <s v="Yuan Plus"/>
    <x v="4"/>
    <x v="1"/>
    <n v="114839.62"/>
    <n v="76.599999999999994"/>
    <n v="293"/>
    <n v="200"/>
    <s v="SUV"/>
    <n v="5"/>
    <s v="Luxury"/>
    <n v="229532"/>
    <n v="3.41"/>
    <n v="26359367657.84"/>
  </r>
  <r>
    <x v="7"/>
    <s v="ID.5"/>
    <x v="4"/>
    <x v="0"/>
    <n v="51142.17"/>
    <n v="101.7"/>
    <n v="359"/>
    <n v="161"/>
    <s v="Coupe"/>
    <n v="4"/>
    <s v="Mid-range"/>
    <n v="203079"/>
    <n v="3.64"/>
    <n v="10385900741.43"/>
  </r>
  <r>
    <x v="5"/>
    <s v="EV9"/>
    <x v="4"/>
    <x v="3"/>
    <n v="66876.75"/>
    <n v="66.7"/>
    <n v="236"/>
    <n v="164"/>
    <s v="SUV"/>
    <n v="4"/>
    <s v="Premium"/>
    <n v="117514"/>
    <n v="3.53"/>
    <n v="7858954399.5"/>
  </r>
  <r>
    <x v="5"/>
    <s v="Niro EV"/>
    <x v="4"/>
    <x v="1"/>
    <n v="105946.66"/>
    <n v="79.3"/>
    <n v="245"/>
    <n v="200"/>
    <s v="Coupe"/>
    <n v="4"/>
    <s v="Luxury"/>
    <n v="147459"/>
    <n v="3.43"/>
    <n v="15622788536.940001"/>
  </r>
  <r>
    <x v="2"/>
    <s v="Cybertruck"/>
    <x v="4"/>
    <x v="1"/>
    <n v="42827.24"/>
    <n v="89.9"/>
    <n v="311"/>
    <n v="200"/>
    <s v="Truck"/>
    <n v="4"/>
    <s v="Mid-range"/>
    <n v="133489"/>
    <n v="3.82"/>
    <n v="5716965440.3599997"/>
  </r>
  <r>
    <x v="2"/>
    <s v="Cybertruck"/>
    <x v="4"/>
    <x v="3"/>
    <n v="121805.3"/>
    <n v="58.9"/>
    <n v="204"/>
    <n v="173"/>
    <s v="Truck"/>
    <n v="4"/>
    <s v="Luxury"/>
    <n v="225373"/>
    <n v="3.75"/>
    <n v="27451625876.900002"/>
  </r>
  <r>
    <x v="2"/>
    <s v="Model X"/>
    <x v="4"/>
    <x v="0"/>
    <n v="117517.98"/>
    <n v="101"/>
    <n v="350"/>
    <n v="186"/>
    <s v="Truck"/>
    <n v="5"/>
    <s v="Luxury"/>
    <n v="122440"/>
    <n v="3.96"/>
    <n v="14388901471.199999"/>
  </r>
  <r>
    <x v="3"/>
    <s v="Max"/>
    <x v="4"/>
    <x v="2"/>
    <n v="24029.61"/>
    <n v="45.6"/>
    <n v="153"/>
    <n v="177"/>
    <s v="Sedan"/>
    <n v="5"/>
    <s v="Budget"/>
    <n v="157077"/>
    <n v="3.46"/>
    <n v="3774499049.9700003"/>
  </r>
  <r>
    <x v="9"/>
    <s v="i3"/>
    <x v="4"/>
    <x v="0"/>
    <n v="120387.4"/>
    <n v="79.400000000000006"/>
    <n v="285"/>
    <n v="193"/>
    <s v="Truck"/>
    <n v="4"/>
    <s v="Luxury"/>
    <n v="62864"/>
    <n v="3.27"/>
    <n v="7568033513.5999994"/>
  </r>
  <r>
    <x v="5"/>
    <s v="Sportage EV"/>
    <x v="4"/>
    <x v="0"/>
    <n v="95244.75"/>
    <n v="77.2"/>
    <n v="262"/>
    <n v="194"/>
    <s v="SUV"/>
    <n v="4"/>
    <s v="Premium"/>
    <n v="76023"/>
    <n v="3.44"/>
    <n v="7240791629.25"/>
  </r>
  <r>
    <x v="11"/>
    <s v="R3"/>
    <x v="4"/>
    <x v="2"/>
    <n v="66816.36"/>
    <n v="69.900000000000006"/>
    <n v="247"/>
    <n v="171"/>
    <s v="Sedan"/>
    <n v="5"/>
    <s v="Premium"/>
    <n v="27456"/>
    <n v="3.39"/>
    <n v="1834509980.1600001"/>
  </r>
  <r>
    <x v="7"/>
    <s v="ID. Aero"/>
    <x v="4"/>
    <x v="0"/>
    <n v="42431.05"/>
    <n v="88.6"/>
    <n v="306"/>
    <n v="166"/>
    <s v="Coupe"/>
    <n v="3"/>
    <s v="Mid-range"/>
    <n v="260840"/>
    <n v="3.53"/>
    <n v="11067715082"/>
  </r>
  <r>
    <x v="3"/>
    <s v="Dolphin"/>
    <x v="4"/>
    <x v="1"/>
    <n v="30671.06"/>
    <n v="87.5"/>
    <n v="303"/>
    <n v="190"/>
    <s v="Sedan"/>
    <n v="5"/>
    <s v="Budget"/>
    <n v="201621"/>
    <n v="3.28"/>
    <n v="6183929788.2600002"/>
  </r>
  <r>
    <x v="3"/>
    <s v="Dolphin"/>
    <x v="4"/>
    <x v="4"/>
    <n v="83518.44"/>
    <n v="77.099999999999994"/>
    <n v="267"/>
    <n v="146"/>
    <s v="Coupe"/>
    <n v="3"/>
    <s v="Premium"/>
    <n v="148454"/>
    <n v="3.28"/>
    <n v="12398646491.76"/>
  </r>
  <r>
    <x v="5"/>
    <s v="Niro EV"/>
    <x v="4"/>
    <x v="4"/>
    <n v="68436.66"/>
    <n v="70"/>
    <n v="249"/>
    <n v="141"/>
    <s v="Coupe"/>
    <n v="3"/>
    <s v="Premium"/>
    <n v="81219"/>
    <n v="3.63"/>
    <n v="5558357088.54"/>
  </r>
  <r>
    <x v="8"/>
    <s v="Explorer EV"/>
    <x v="4"/>
    <x v="0"/>
    <n v="66402.61"/>
    <n v="90.5"/>
    <n v="334"/>
    <n v="162"/>
    <s v="Van"/>
    <n v="5"/>
    <s v="Premium"/>
    <n v="36517"/>
    <n v="3.69"/>
    <n v="2424824109.3699999"/>
  </r>
  <r>
    <x v="2"/>
    <s v="Model X"/>
    <x v="4"/>
    <x v="1"/>
    <n v="42932.18"/>
    <n v="99"/>
    <n v="356"/>
    <n v="192"/>
    <s v="Hatchback"/>
    <n v="5"/>
    <s v="Mid-range"/>
    <n v="238196"/>
    <n v="4"/>
    <n v="10226273547.280001"/>
  </r>
  <r>
    <x v="2"/>
    <s v="Model S"/>
    <x v="4"/>
    <x v="4"/>
    <n v="66707.72"/>
    <n v="45.8"/>
    <n v="150"/>
    <n v="166"/>
    <s v="Van"/>
    <n v="5"/>
    <s v="Premium"/>
    <n v="187104"/>
    <n v="3.23"/>
    <n v="12481281242.880001"/>
  </r>
  <r>
    <x v="8"/>
    <s v="Explorer EV"/>
    <x v="4"/>
    <x v="0"/>
    <n v="69723.399999999994"/>
    <n v="91.5"/>
    <n v="331"/>
    <n v="180"/>
    <s v="Truck"/>
    <n v="5"/>
    <s v="Premium"/>
    <n v="54063"/>
    <n v="3.64"/>
    <n v="3769456174.1999998"/>
  </r>
  <r>
    <x v="12"/>
    <s v="Equinox EV"/>
    <x v="4"/>
    <x v="0"/>
    <n v="78668.52"/>
    <n v="102.9"/>
    <n v="368"/>
    <n v="179"/>
    <s v="SUV"/>
    <n v="5"/>
    <s v="Premium"/>
    <n v="14020"/>
    <n v="3.97"/>
    <n v="1102932650.4000001"/>
  </r>
  <r>
    <x v="8"/>
    <s v="Mustang Mach-E"/>
    <x v="4"/>
    <x v="3"/>
    <n v="79438.2"/>
    <n v="82.5"/>
    <n v="299"/>
    <n v="149"/>
    <s v="Van"/>
    <n v="5"/>
    <s v="Premium"/>
    <n v="21827"/>
    <n v="3.81"/>
    <n v="1733897591.3999999"/>
  </r>
  <r>
    <x v="2"/>
    <s v="Model 3"/>
    <x v="4"/>
    <x v="1"/>
    <n v="139025.28"/>
    <n v="93.4"/>
    <n v="320"/>
    <n v="200"/>
    <s v="Coupe"/>
    <n v="4"/>
    <s v="Luxury"/>
    <n v="220216"/>
    <n v="4.07"/>
    <n v="30615591060.48"/>
  </r>
  <r>
    <x v="2"/>
    <s v="Cybertruck"/>
    <x v="4"/>
    <x v="0"/>
    <n v="158925.9"/>
    <n v="82.5"/>
    <n v="291"/>
    <n v="186"/>
    <s v="Truck"/>
    <n v="5"/>
    <s v="Luxury"/>
    <n v="138950"/>
    <n v="3.85"/>
    <n v="22082753805"/>
  </r>
  <r>
    <x v="3"/>
    <s v="Leaf 50X"/>
    <x v="4"/>
    <x v="4"/>
    <n v="100360.19"/>
    <n v="50"/>
    <n v="193"/>
    <n v="155"/>
    <s v="Van"/>
    <n v="5"/>
    <s v="Luxury"/>
    <n v="137465"/>
    <n v="3.1"/>
    <n v="13796013518.35"/>
  </r>
  <r>
    <x v="9"/>
    <s v="i3"/>
    <x v="4"/>
    <x v="3"/>
    <n v="84405.92"/>
    <n v="52.5"/>
    <n v="173"/>
    <n v="169"/>
    <s v="Truck"/>
    <n v="3"/>
    <s v="Premium"/>
    <n v="42777"/>
    <n v="3.19"/>
    <n v="3610632039.8400002"/>
  </r>
  <r>
    <x v="4"/>
    <s v="Q6 e-tron"/>
    <x v="4"/>
    <x v="3"/>
    <n v="73910.789999999994"/>
    <n v="41.9"/>
    <n v="150"/>
    <n v="142"/>
    <s v="SUV"/>
    <n v="4"/>
    <s v="Premium"/>
    <n v="36319"/>
    <n v="3"/>
    <n v="2684365982.0099998"/>
  </r>
  <r>
    <x v="2"/>
    <s v="Cybertruck"/>
    <x v="4"/>
    <x v="2"/>
    <n v="38394.15"/>
    <n v="47.7"/>
    <n v="189"/>
    <n v="169"/>
    <s v="Truck"/>
    <n v="3"/>
    <s v="Mid-range"/>
    <n v="246203"/>
    <n v="3.51"/>
    <n v="9452754912.4500008"/>
  </r>
  <r>
    <x v="12"/>
    <s v="Blazer EV"/>
    <x v="4"/>
    <x v="0"/>
    <n v="76560.479999999996"/>
    <n v="82.9"/>
    <n v="300"/>
    <n v="184"/>
    <s v="Van"/>
    <n v="4"/>
    <s v="Premium"/>
    <n v="12139"/>
    <n v="3.5"/>
    <n v="929367666.71999991"/>
  </r>
  <r>
    <x v="6"/>
    <s v="Ioniq"/>
    <x v="4"/>
    <x v="3"/>
    <n v="44654.99"/>
    <n v="65.400000000000006"/>
    <n v="223"/>
    <n v="146"/>
    <s v="SUV"/>
    <n v="4"/>
    <s v="Mid-range"/>
    <n v="128091"/>
    <n v="3"/>
    <n v="5719902324.0900002"/>
  </r>
  <r>
    <x v="2"/>
    <s v="Cybertruck"/>
    <x v="4"/>
    <x v="1"/>
    <n v="177944.09"/>
    <n v="93"/>
    <n v="295"/>
    <n v="193"/>
    <s v="Truck"/>
    <n v="3"/>
    <s v="Luxury"/>
    <n v="234160"/>
    <n v="3.91"/>
    <n v="41667388114.400002"/>
  </r>
  <r>
    <x v="2"/>
    <s v="Cybertruck"/>
    <x v="4"/>
    <x v="2"/>
    <n v="59967.87"/>
    <n v="70"/>
    <n v="238"/>
    <n v="159"/>
    <s v="Truck"/>
    <n v="4"/>
    <s v="Mid-range"/>
    <n v="228933"/>
    <n v="3.44"/>
    <n v="13728624382.710001"/>
  </r>
  <r>
    <x v="9"/>
    <s v="iX"/>
    <x v="4"/>
    <x v="1"/>
    <n v="84125.95"/>
    <n v="98.9"/>
    <n v="363"/>
    <n v="192"/>
    <s v="Hatchback"/>
    <n v="5"/>
    <s v="Premium"/>
    <n v="33561"/>
    <n v="3.47"/>
    <n v="2823351007.9499998"/>
  </r>
  <r>
    <x v="7"/>
    <s v="ID.3"/>
    <x v="4"/>
    <x v="1"/>
    <n v="50097.49"/>
    <n v="98.3"/>
    <n v="341"/>
    <n v="200"/>
    <s v="Van"/>
    <n v="3"/>
    <s v="Mid-range"/>
    <n v="263009"/>
    <n v="3.76"/>
    <n v="13176090747.41"/>
  </r>
  <r>
    <x v="12"/>
    <s v="Bolt EUV"/>
    <x v="4"/>
    <x v="4"/>
    <n v="43668.28"/>
    <n v="79.400000000000006"/>
    <n v="284"/>
    <n v="120"/>
    <s v="Truck"/>
    <n v="4"/>
    <s v="Mid-range"/>
    <n v="1211"/>
    <n v="3.34"/>
    <n v="52882287.079999998"/>
  </r>
  <r>
    <x v="8"/>
    <s v="F-150 Lightning"/>
    <x v="4"/>
    <x v="0"/>
    <n v="54997.37"/>
    <n v="100.7"/>
    <n v="353"/>
    <n v="183"/>
    <s v="Truck"/>
    <n v="5"/>
    <s v="Mid-range"/>
    <n v="49671"/>
    <n v="3.66"/>
    <n v="2731774365.27"/>
  </r>
  <r>
    <x v="4"/>
    <s v="Q6 e-tron"/>
    <x v="4"/>
    <x v="0"/>
    <n v="130606.12"/>
    <n v="106.6"/>
    <n v="385"/>
    <n v="169"/>
    <s v="SUV"/>
    <n v="5"/>
    <s v="Luxury"/>
    <n v="39897"/>
    <n v="3.7"/>
    <n v="5210792369.6399994"/>
  </r>
  <r>
    <x v="3"/>
    <s v="Atto 3"/>
    <x v="4"/>
    <x v="0"/>
    <n v="47823.41"/>
    <n v="77.2"/>
    <n v="258"/>
    <n v="182"/>
    <s v="Coupe"/>
    <n v="5"/>
    <s v="Mid-range"/>
    <n v="108045"/>
    <n v="3.61"/>
    <n v="5167080333.4500008"/>
  </r>
  <r>
    <x v="3"/>
    <s v="Qin"/>
    <x v="4"/>
    <x v="3"/>
    <n v="21712.400000000001"/>
    <n v="83.3"/>
    <n v="307"/>
    <n v="171"/>
    <s v="Van"/>
    <n v="4"/>
    <s v="Budget"/>
    <n v="169389"/>
    <n v="3.37"/>
    <n v="3677841723.6000004"/>
  </r>
  <r>
    <x v="7"/>
    <s v="ID. Aero"/>
    <x v="4"/>
    <x v="0"/>
    <n v="54335.65"/>
    <n v="77.599999999999994"/>
    <n v="286"/>
    <n v="186"/>
    <s v="Sedan"/>
    <n v="5"/>
    <s v="Mid-range"/>
    <n v="284565"/>
    <n v="3.65"/>
    <n v="15462024242.25"/>
  </r>
  <r>
    <x v="8"/>
    <s v="Explorer EV"/>
    <x v="4"/>
    <x v="2"/>
    <n v="53737.95"/>
    <n v="61.5"/>
    <n v="226"/>
    <n v="152"/>
    <s v="Sedan"/>
    <n v="3"/>
    <s v="Mid-range"/>
    <n v="62660"/>
    <n v="3.28"/>
    <n v="3367219947"/>
  </r>
  <r>
    <x v="2"/>
    <s v="Model Y"/>
    <x v="4"/>
    <x v="2"/>
    <n v="105607.38"/>
    <n v="44.4"/>
    <n v="150"/>
    <n v="163"/>
    <s v="Van"/>
    <n v="4"/>
    <s v="Luxury"/>
    <n v="422392"/>
    <n v="3.52"/>
    <n v="44607712452.959999"/>
  </r>
  <r>
    <x v="2"/>
    <s v="Model 3"/>
    <x v="4"/>
    <x v="0"/>
    <n v="138760.95999999999"/>
    <n v="99.4"/>
    <n v="376"/>
    <n v="175"/>
    <s v="Sedan"/>
    <n v="5"/>
    <s v="Luxury"/>
    <n v="204411"/>
    <n v="3.95"/>
    <n v="28364266594.559998"/>
  </r>
  <r>
    <x v="3"/>
    <s v="Dolphin"/>
    <x v="4"/>
    <x v="4"/>
    <n v="89340.39"/>
    <n v="64.599999999999994"/>
    <n v="223"/>
    <n v="132"/>
    <s v="Van"/>
    <n v="5"/>
    <s v="Premium"/>
    <n v="229760"/>
    <n v="3.35"/>
    <n v="20526848006.400002"/>
  </r>
  <r>
    <x v="6"/>
    <s v="Ioniq"/>
    <x v="4"/>
    <x v="2"/>
    <n v="29445.040000000001"/>
    <n v="64.2"/>
    <n v="222"/>
    <n v="173"/>
    <s v="Hatchback"/>
    <n v="5"/>
    <s v="Budget"/>
    <n v="53245"/>
    <n v="3.2"/>
    <n v="1567801154.8"/>
  </r>
  <r>
    <x v="2"/>
    <s v="Cybertruck"/>
    <x v="4"/>
    <x v="0"/>
    <n v="57586.87"/>
    <n v="108.4"/>
    <n v="364"/>
    <n v="163"/>
    <s v="Truck"/>
    <n v="4"/>
    <s v="Mid-range"/>
    <n v="136381"/>
    <n v="3.84"/>
    <n v="7853754917.4700003"/>
  </r>
  <r>
    <x v="4"/>
    <s v="Q6 e-tron"/>
    <x v="4"/>
    <x v="3"/>
    <n v="112837.91"/>
    <n v="61"/>
    <n v="222"/>
    <n v="144"/>
    <s v="Sedan"/>
    <n v="3"/>
    <s v="Luxury"/>
    <n v="45029"/>
    <n v="3.56"/>
    <n v="5080978249.3900003"/>
  </r>
  <r>
    <x v="2"/>
    <s v="Model Y"/>
    <x v="4"/>
    <x v="2"/>
    <n v="40219.61"/>
    <n v="80.099999999999994"/>
    <n v="308"/>
    <n v="171"/>
    <s v="Coupe"/>
    <n v="5"/>
    <s v="Mid-range"/>
    <n v="429025"/>
    <n v="3.73"/>
    <n v="17255218180.25"/>
  </r>
  <r>
    <x v="15"/>
    <s v="Taycan"/>
    <x v="4"/>
    <x v="4"/>
    <n v="142936.98000000001"/>
    <n v="54.2"/>
    <n v="186"/>
    <n v="130"/>
    <s v="SUV"/>
    <n v="5"/>
    <s v="Luxury"/>
    <n v="23751"/>
    <n v="3.87"/>
    <n v="3394896211.98"/>
  </r>
  <r>
    <x v="3"/>
    <s v="Qin"/>
    <x v="4"/>
    <x v="1"/>
    <n v="99381.36"/>
    <n v="80.7"/>
    <n v="289"/>
    <n v="200"/>
    <s v="Truck"/>
    <n v="4"/>
    <s v="Premium"/>
    <n v="152043"/>
    <n v="3.48"/>
    <n v="15110240118.48"/>
  </r>
  <r>
    <x v="9"/>
    <s v="i3"/>
    <x v="4"/>
    <x v="4"/>
    <n v="109123.19"/>
    <n v="75.8"/>
    <n v="284"/>
    <n v="136"/>
    <s v="Van"/>
    <n v="5"/>
    <s v="Luxury"/>
    <n v="54152"/>
    <n v="3.63"/>
    <n v="5909238984.8800001"/>
  </r>
  <r>
    <x v="3"/>
    <s v="Seagull"/>
    <x v="4"/>
    <x v="2"/>
    <n v="19470.990000000002"/>
    <n v="82.7"/>
    <n v="291"/>
    <n v="159"/>
    <s v="Truck"/>
    <n v="3"/>
    <s v="Budget"/>
    <n v="210937"/>
    <n v="3.48"/>
    <n v="4107152217.6300001"/>
  </r>
  <r>
    <x v="13"/>
    <s v="GLE EV"/>
    <x v="4"/>
    <x v="4"/>
    <n v="194076.68"/>
    <n v="41.1"/>
    <n v="160"/>
    <n v="136"/>
    <s v="Hatchback"/>
    <n v="3"/>
    <s v="Luxury"/>
    <n v="69583"/>
    <n v="3.65"/>
    <n v="13504437624.439999"/>
  </r>
  <r>
    <x v="2"/>
    <s v="Model Y"/>
    <x v="4"/>
    <x v="3"/>
    <n v="31623.119999999999"/>
    <n v="77.5"/>
    <n v="246"/>
    <n v="165"/>
    <s v="Hatchback"/>
    <n v="5"/>
    <s v="Budget"/>
    <n v="457458"/>
    <n v="3.75"/>
    <n v="14466249228.959999"/>
  </r>
  <r>
    <x v="3"/>
    <s v="Leaf 50X"/>
    <x v="4"/>
    <x v="2"/>
    <n v="77144.36"/>
    <n v="70.900000000000006"/>
    <n v="259"/>
    <n v="137"/>
    <s v="Hatchback"/>
    <n v="4"/>
    <s v="Premium"/>
    <n v="140199"/>
    <n v="3.58"/>
    <n v="10815562127.639999"/>
  </r>
  <r>
    <x v="3"/>
    <s v="Leaf 50X"/>
    <x v="4"/>
    <x v="3"/>
    <n v="55111.29"/>
    <n v="68.400000000000006"/>
    <n v="223"/>
    <n v="171"/>
    <s v="Hatchback"/>
    <n v="4"/>
    <s v="Mid-range"/>
    <n v="112631"/>
    <n v="3.46"/>
    <n v="6207239703.9899998"/>
  </r>
  <r>
    <x v="5"/>
    <s v="EV9"/>
    <x v="4"/>
    <x v="4"/>
    <n v="65472.17"/>
    <n v="78.2"/>
    <n v="224"/>
    <n v="133"/>
    <s v="SUV"/>
    <n v="4"/>
    <s v="Premium"/>
    <n v="60682"/>
    <n v="3.3"/>
    <n v="3972982219.9400001"/>
  </r>
  <r>
    <x v="2"/>
    <s v="Model S"/>
    <x v="4"/>
    <x v="1"/>
    <n v="119857.21"/>
    <n v="83.5"/>
    <n v="307"/>
    <n v="200"/>
    <s v="Truck"/>
    <n v="4"/>
    <s v="Luxury"/>
    <n v="142701"/>
    <n v="4.1399999999999997"/>
    <n v="17103743724.210001"/>
  </r>
  <r>
    <x v="8"/>
    <s v="Explorer EV"/>
    <x v="4"/>
    <x v="1"/>
    <n v="105603.42"/>
    <n v="114.4"/>
    <n v="427"/>
    <n v="200"/>
    <s v="Van"/>
    <n v="4"/>
    <s v="Luxury"/>
    <n v="31600"/>
    <n v="4.03"/>
    <n v="3337068072"/>
  </r>
  <r>
    <x v="9"/>
    <s v="i7"/>
    <x v="4"/>
    <x v="0"/>
    <n v="93724.2"/>
    <n v="100"/>
    <n v="326"/>
    <n v="188"/>
    <s v="Van"/>
    <n v="4"/>
    <s v="Premium"/>
    <n v="36760"/>
    <n v="3.63"/>
    <n v="3445301592"/>
  </r>
  <r>
    <x v="3"/>
    <s v="Seagull"/>
    <x v="4"/>
    <x v="3"/>
    <n v="32276.7"/>
    <n v="53.8"/>
    <n v="220"/>
    <n v="142"/>
    <s v="Hatchback"/>
    <n v="5"/>
    <s v="Budget"/>
    <n v="236029"/>
    <n v="3.7"/>
    <n v="7618237224.3000002"/>
  </r>
  <r>
    <x v="12"/>
    <s v="Bolt EV"/>
    <x v="4"/>
    <x v="3"/>
    <n v="61070.92"/>
    <n v="75.7"/>
    <n v="280"/>
    <n v="156"/>
    <s v="Hatchback"/>
    <n v="5"/>
    <s v="Mid-range"/>
    <n v="2434"/>
    <n v="3.31"/>
    <n v="148646619.28"/>
  </r>
  <r>
    <x v="12"/>
    <s v="Bolt EV"/>
    <x v="4"/>
    <x v="2"/>
    <n v="56305.37"/>
    <n v="52"/>
    <n v="170"/>
    <n v="149"/>
    <s v="Van"/>
    <n v="4"/>
    <s v="Mid-range"/>
    <n v="2728"/>
    <n v="3.2"/>
    <n v="153601049.36000001"/>
  </r>
  <r>
    <x v="5"/>
    <s v="EV6"/>
    <x v="4"/>
    <x v="3"/>
    <n v="44920.54"/>
    <n v="57.9"/>
    <n v="198"/>
    <n v="122"/>
    <s v="Truck"/>
    <n v="5"/>
    <s v="Mid-range"/>
    <n v="145791"/>
    <n v="3"/>
    <n v="6549010447.1400003"/>
  </r>
  <r>
    <x v="2"/>
    <s v="Cybertruck"/>
    <x v="4"/>
    <x v="4"/>
    <n v="47891.48"/>
    <n v="42.5"/>
    <n v="164"/>
    <n v="175"/>
    <s v="Truck"/>
    <n v="3"/>
    <s v="Mid-range"/>
    <n v="118665"/>
    <n v="3.65"/>
    <n v="5683042474.2000008"/>
  </r>
  <r>
    <x v="1"/>
    <s v="Ronin"/>
    <x v="4"/>
    <x v="4"/>
    <n v="67456.63"/>
    <n v="41.7"/>
    <n v="150"/>
    <n v="169"/>
    <s v="Coupe"/>
    <n v="4"/>
    <s v="Premium"/>
    <n v="20333"/>
    <n v="3.29"/>
    <n v="1371595657.7900002"/>
  </r>
  <r>
    <x v="6"/>
    <s v="Ioniq 5"/>
    <x v="4"/>
    <x v="0"/>
    <n v="83570.149999999994"/>
    <n v="78.5"/>
    <n v="258"/>
    <n v="189"/>
    <s v="Coupe"/>
    <n v="5"/>
    <s v="Premium"/>
    <n v="145959"/>
    <n v="3.37"/>
    <n v="12197815523.849998"/>
  </r>
  <r>
    <x v="3"/>
    <s v="Yuan Plus"/>
    <x v="4"/>
    <x v="4"/>
    <n v="107358.88"/>
    <n v="58.4"/>
    <n v="205"/>
    <n v="132"/>
    <s v="Coupe"/>
    <n v="3"/>
    <s v="Luxury"/>
    <n v="110469"/>
    <n v="3.56"/>
    <n v="11859828114.720001"/>
  </r>
  <r>
    <x v="7"/>
    <s v="ID. Aero"/>
    <x v="4"/>
    <x v="0"/>
    <n v="59514"/>
    <n v="103.6"/>
    <n v="337"/>
    <n v="183"/>
    <s v="SUV"/>
    <n v="4"/>
    <s v="Mid-range"/>
    <n v="230145"/>
    <n v="3.7"/>
    <n v="13696849530"/>
  </r>
  <r>
    <x v="11"/>
    <s v="R2"/>
    <x v="4"/>
    <x v="3"/>
    <n v="84156.92"/>
    <n v="68.400000000000006"/>
    <n v="226"/>
    <n v="165"/>
    <s v="Coupe"/>
    <n v="4"/>
    <s v="Premium"/>
    <n v="29685"/>
    <n v="3.44"/>
    <n v="2498198170.1999998"/>
  </r>
  <r>
    <x v="7"/>
    <s v="ID.5"/>
    <x v="4"/>
    <x v="2"/>
    <n v="39960.53"/>
    <n v="63.9"/>
    <n v="252"/>
    <n v="165"/>
    <s v="Sedan"/>
    <n v="4"/>
    <s v="Mid-range"/>
    <n v="212818"/>
    <n v="3.48"/>
    <n v="8504320073.54"/>
  </r>
  <r>
    <x v="1"/>
    <s v="Ronin"/>
    <x v="4"/>
    <x v="0"/>
    <n v="115878.52"/>
    <n v="94.5"/>
    <n v="334"/>
    <n v="166"/>
    <s v="Truck"/>
    <n v="4"/>
    <s v="Luxury"/>
    <n v="6077"/>
    <n v="3.64"/>
    <n v="704193766.04000008"/>
  </r>
  <r>
    <x v="0"/>
    <s v="bZ Compact SUV"/>
    <x v="4"/>
    <x v="0"/>
    <n v="64461.760000000002"/>
    <n v="85.4"/>
    <n v="288"/>
    <n v="180"/>
    <s v="SUV"/>
    <n v="4"/>
    <s v="Mid-range"/>
    <n v="1214"/>
    <n v="3.76"/>
    <n v="78256576.640000001"/>
  </r>
  <r>
    <x v="6"/>
    <s v="Ioniq"/>
    <x v="4"/>
    <x v="2"/>
    <n v="50276.57"/>
    <n v="73.2"/>
    <n v="241"/>
    <n v="138"/>
    <s v="Van"/>
    <n v="3"/>
    <s v="Mid-range"/>
    <n v="126203"/>
    <n v="3.42"/>
    <n v="6345053963.71"/>
  </r>
  <r>
    <x v="3"/>
    <s v="Leaf 50X"/>
    <x v="4"/>
    <x v="1"/>
    <n v="118468.84"/>
    <n v="86.8"/>
    <n v="291"/>
    <n v="200"/>
    <s v="Coupe"/>
    <n v="4"/>
    <s v="Luxury"/>
    <n v="209498"/>
    <n v="3.76"/>
    <n v="24818985042.32"/>
  </r>
  <r>
    <x v="8"/>
    <s v="Mustang Mach-E"/>
    <x v="4"/>
    <x v="2"/>
    <n v="52120.46"/>
    <n v="64.5"/>
    <n v="208"/>
    <n v="181"/>
    <s v="Coupe"/>
    <n v="4"/>
    <s v="Mid-range"/>
    <n v="29029"/>
    <n v="3.16"/>
    <n v="1513004833.3399999"/>
  </r>
  <r>
    <x v="13"/>
    <s v="EQC"/>
    <x v="4"/>
    <x v="0"/>
    <n v="169395.24"/>
    <n v="99.7"/>
    <n v="323"/>
    <n v="172"/>
    <s v="Truck"/>
    <n v="3"/>
    <s v="Luxury"/>
    <n v="60151"/>
    <n v="3.87"/>
    <n v="10189293081.24"/>
  </r>
  <r>
    <x v="6"/>
    <s v="Ioniq"/>
    <x v="4"/>
    <x v="1"/>
    <n v="50087.55"/>
    <n v="104.8"/>
    <n v="362"/>
    <n v="188"/>
    <s v="Truck"/>
    <n v="5"/>
    <s v="Mid-range"/>
    <n v="62703"/>
    <n v="3.86"/>
    <n v="3140639647.6500001"/>
  </r>
  <r>
    <x v="3"/>
    <s v="Max"/>
    <x v="4"/>
    <x v="2"/>
    <n v="36467.370000000003"/>
    <n v="45"/>
    <n v="150"/>
    <n v="169"/>
    <s v="Coupe"/>
    <n v="4"/>
    <s v="Mid-range"/>
    <n v="220450"/>
    <n v="3.22"/>
    <n v="8039231716.500001"/>
  </r>
  <r>
    <x v="13"/>
    <s v="GLE EV"/>
    <x v="4"/>
    <x v="2"/>
    <n v="116775.93"/>
    <n v="78.599999999999994"/>
    <n v="259"/>
    <n v="166"/>
    <s v="Hatchback"/>
    <n v="4"/>
    <s v="Luxury"/>
    <n v="43904"/>
    <n v="3.6"/>
    <n v="5126930430.7199993"/>
  </r>
  <r>
    <x v="7"/>
    <s v="ID.3"/>
    <x v="4"/>
    <x v="4"/>
    <n v="98791.59"/>
    <n v="77"/>
    <n v="250"/>
    <n v="133"/>
    <s v="Hatchback"/>
    <n v="5"/>
    <s v="Premium"/>
    <n v="289215"/>
    <n v="3.46"/>
    <n v="28572009701.849998"/>
  </r>
  <r>
    <x v="6"/>
    <s v="Kona Electric"/>
    <x v="4"/>
    <x v="4"/>
    <n v="75053.58"/>
    <n v="43"/>
    <n v="154"/>
    <n v="150"/>
    <s v="Truck"/>
    <n v="4"/>
    <s v="Premium"/>
    <n v="86699"/>
    <n v="3.36"/>
    <n v="6507070332.4200001"/>
  </r>
  <r>
    <x v="3"/>
    <s v="Max"/>
    <x v="4"/>
    <x v="3"/>
    <n v="39727.71"/>
    <n v="45.3"/>
    <n v="154"/>
    <n v="170"/>
    <s v="Van"/>
    <n v="4"/>
    <s v="Mid-range"/>
    <n v="139199"/>
    <n v="3.11"/>
    <n v="5530057504.29"/>
  </r>
  <r>
    <x v="6"/>
    <s v="Ioniq 5"/>
    <x v="4"/>
    <x v="4"/>
    <n v="80948.92"/>
    <n v="68.599999999999994"/>
    <n v="262"/>
    <n v="162"/>
    <s v="Van"/>
    <n v="5"/>
    <s v="Premium"/>
    <n v="134570"/>
    <n v="3.64"/>
    <n v="10893296164.4"/>
  </r>
  <r>
    <x v="3"/>
    <s v="Qin"/>
    <x v="4"/>
    <x v="4"/>
    <n v="67622.89"/>
    <n v="80.400000000000006"/>
    <n v="289"/>
    <n v="131"/>
    <s v="Hatchback"/>
    <n v="4"/>
    <s v="Premium"/>
    <n v="235660"/>
    <n v="3.57"/>
    <n v="15936010257.4"/>
  </r>
  <r>
    <x v="3"/>
    <s v="Leaf 50X"/>
    <x v="4"/>
    <x v="2"/>
    <n v="56388.91"/>
    <n v="73.7"/>
    <n v="242"/>
    <n v="156"/>
    <s v="Sedan"/>
    <n v="5"/>
    <s v="Mid-range"/>
    <n v="205113"/>
    <n v="3.4"/>
    <n v="11566098496.83"/>
  </r>
  <r>
    <x v="2"/>
    <s v="Cybertruck"/>
    <x v="4"/>
    <x v="2"/>
    <n v="37365.06"/>
    <n v="44.7"/>
    <n v="150"/>
    <n v="169"/>
    <s v="Truck"/>
    <n v="5"/>
    <s v="Mid-range"/>
    <n v="220616"/>
    <n v="3.81"/>
    <n v="8243330076.9599991"/>
  </r>
  <r>
    <x v="3"/>
    <s v="Leaf 50X"/>
    <x v="4"/>
    <x v="2"/>
    <n v="76472.570000000007"/>
    <n v="67.2"/>
    <n v="227"/>
    <n v="139"/>
    <s v="Van"/>
    <n v="4"/>
    <s v="Premium"/>
    <n v="191416"/>
    <n v="3.33"/>
    <n v="14638073459.120001"/>
  </r>
  <r>
    <x v="3"/>
    <s v="Seagull"/>
    <x v="4"/>
    <x v="1"/>
    <n v="117281.9"/>
    <n v="115.7"/>
    <n v="431"/>
    <n v="195"/>
    <s v="Sedan"/>
    <n v="3"/>
    <s v="Luxury"/>
    <n v="111137"/>
    <n v="3.92"/>
    <n v="13034358520.299999"/>
  </r>
  <r>
    <x v="6"/>
    <s v="Kona Electric"/>
    <x v="4"/>
    <x v="2"/>
    <n v="52223.31"/>
    <n v="42.1"/>
    <n v="150"/>
    <n v="161"/>
    <s v="Van"/>
    <n v="4"/>
    <s v="Mid-range"/>
    <n v="89573"/>
    <n v="3.43"/>
    <n v="4677798546.6300001"/>
  </r>
  <r>
    <x v="9"/>
    <s v="i5"/>
    <x v="4"/>
    <x v="1"/>
    <n v="76696.39"/>
    <n v="87.4"/>
    <n v="313"/>
    <n v="192"/>
    <s v="SUV"/>
    <n v="5"/>
    <s v="Premium"/>
    <n v="21525"/>
    <n v="3.69"/>
    <n v="1650889794.75"/>
  </r>
  <r>
    <x v="13"/>
    <s v="EQS"/>
    <x v="4"/>
    <x v="4"/>
    <n v="99625.48"/>
    <n v="81.2"/>
    <n v="306"/>
    <n v="153"/>
    <s v="SUV"/>
    <n v="4"/>
    <s v="Premium"/>
    <n v="71016"/>
    <n v="3.79"/>
    <n v="7075003087.6799994"/>
  </r>
  <r>
    <x v="2"/>
    <s v="Model Y"/>
    <x v="4"/>
    <x v="3"/>
    <n v="110939.31"/>
    <n v="48.7"/>
    <n v="160"/>
    <n v="169"/>
    <s v="Coupe"/>
    <n v="4"/>
    <s v="Luxury"/>
    <n v="456268"/>
    <n v="3.43"/>
    <n v="50618057095.080002"/>
  </r>
  <r>
    <x v="9"/>
    <s v="i3"/>
    <x v="4"/>
    <x v="4"/>
    <n v="69442.009999999995"/>
    <n v="54.1"/>
    <n v="193"/>
    <n v="169"/>
    <s v="Van"/>
    <n v="4"/>
    <s v="Premium"/>
    <n v="51378"/>
    <n v="3.2"/>
    <n v="3567791589.7799997"/>
  </r>
  <r>
    <x v="5"/>
    <s v="Picanto EV"/>
    <x v="4"/>
    <x v="4"/>
    <n v="56096.47"/>
    <n v="47.3"/>
    <n v="176"/>
    <n v="159"/>
    <s v="Coupe"/>
    <n v="3"/>
    <s v="Mid-range"/>
    <n v="113782"/>
    <n v="3.4"/>
    <n v="6382768549.54"/>
  </r>
  <r>
    <x v="14"/>
    <s v="EL8"/>
    <x v="4"/>
    <x v="2"/>
    <n v="82536.87"/>
    <n v="69.7"/>
    <n v="264"/>
    <n v="127"/>
    <s v="Truck"/>
    <n v="5"/>
    <s v="Premium"/>
    <n v="17477"/>
    <n v="3.38"/>
    <n v="1442496876.99"/>
  </r>
  <r>
    <x v="6"/>
    <s v="Ioniq 6"/>
    <x v="4"/>
    <x v="2"/>
    <n v="54234.95"/>
    <n v="58.4"/>
    <n v="217"/>
    <n v="132"/>
    <s v="Truck"/>
    <n v="5"/>
    <s v="Mid-range"/>
    <n v="136935"/>
    <n v="3.41"/>
    <n v="7426662878.25"/>
  </r>
  <r>
    <x v="0"/>
    <s v="bZ Compact SUV"/>
    <x v="4"/>
    <x v="2"/>
    <n v="62799.62"/>
    <n v="80.2"/>
    <n v="271"/>
    <n v="143"/>
    <s v="SUV"/>
    <n v="4"/>
    <s v="Mid-range"/>
    <n v="8458"/>
    <n v="3.67"/>
    <n v="531159185.96000004"/>
  </r>
  <r>
    <x v="2"/>
    <s v="Cybertruck"/>
    <x v="4"/>
    <x v="3"/>
    <n v="130803.06"/>
    <n v="83.1"/>
    <n v="289"/>
    <n v="150"/>
    <s v="Truck"/>
    <n v="4"/>
    <s v="Luxury"/>
    <n v="105012"/>
    <n v="4.03"/>
    <n v="13735890936.719999"/>
  </r>
  <r>
    <x v="2"/>
    <s v="Model Y"/>
    <x v="4"/>
    <x v="0"/>
    <n v="85409.4"/>
    <n v="94.6"/>
    <n v="338"/>
    <n v="167"/>
    <s v="Sedan"/>
    <n v="4"/>
    <s v="Premium"/>
    <n v="497556"/>
    <n v="4.0599999999999996"/>
    <n v="42495959426.399994"/>
  </r>
  <r>
    <x v="2"/>
    <s v="Model Y"/>
    <x v="4"/>
    <x v="2"/>
    <n v="43315.76"/>
    <n v="61.7"/>
    <n v="224"/>
    <n v="136"/>
    <s v="Sedan"/>
    <n v="5"/>
    <s v="Mid-range"/>
    <n v="424937"/>
    <n v="3.73"/>
    <n v="18406469107.120003"/>
  </r>
  <r>
    <x v="2"/>
    <s v="Model X"/>
    <x v="4"/>
    <x v="3"/>
    <n v="79315.78"/>
    <n v="60.6"/>
    <n v="195"/>
    <n v="164"/>
    <s v="Truck"/>
    <n v="5"/>
    <s v="Premium"/>
    <n v="122128"/>
    <n v="3.66"/>
    <n v="9686677579.8400002"/>
  </r>
  <r>
    <x v="4"/>
    <s v="e-tron"/>
    <x v="4"/>
    <x v="0"/>
    <n v="130131.59"/>
    <n v="94"/>
    <n v="322"/>
    <n v="163"/>
    <s v="Sedan"/>
    <n v="4"/>
    <s v="Luxury"/>
    <n v="36875"/>
    <n v="3.63"/>
    <n v="4798602381.25"/>
  </r>
  <r>
    <x v="12"/>
    <s v="Bolt EV"/>
    <x v="4"/>
    <x v="0"/>
    <n v="56344.05"/>
    <n v="94.4"/>
    <n v="351"/>
    <n v="176"/>
    <s v="Coupe"/>
    <n v="5"/>
    <s v="Mid-range"/>
    <n v="12802"/>
    <n v="3.81"/>
    <n v="721316528.10000002"/>
  </r>
  <r>
    <x v="8"/>
    <s v="F-150 Lightning"/>
    <x v="4"/>
    <x v="3"/>
    <n v="59797.58"/>
    <n v="46.4"/>
    <n v="171"/>
    <n v="154"/>
    <s v="Truck"/>
    <n v="4"/>
    <s v="Mid-range"/>
    <n v="57357"/>
    <n v="3.14"/>
    <n v="3429809796.0599999"/>
  </r>
  <r>
    <x v="8"/>
    <s v="E-Transit"/>
    <x v="4"/>
    <x v="1"/>
    <n v="98104.320000000007"/>
    <n v="80.3"/>
    <n v="266"/>
    <n v="181"/>
    <s v="Van"/>
    <n v="4"/>
    <s v="Premium"/>
    <n v="47356"/>
    <n v="3.62"/>
    <n v="4645828177.9200001"/>
  </r>
  <r>
    <x v="7"/>
    <s v="ID.3"/>
    <x v="4"/>
    <x v="2"/>
    <n v="32753.54"/>
    <n v="42.3"/>
    <n v="178"/>
    <n v="139"/>
    <s v="Truck"/>
    <n v="5"/>
    <s v="Budget"/>
    <n v="224478"/>
    <n v="3.16"/>
    <n v="7352449152.1199999"/>
  </r>
  <r>
    <x v="11"/>
    <s v="R1S"/>
    <x v="4"/>
    <x v="0"/>
    <n v="99040.38"/>
    <n v="77.599999999999994"/>
    <n v="294"/>
    <n v="169"/>
    <s v="Coupe"/>
    <n v="5"/>
    <s v="Premium"/>
    <n v="10950"/>
    <n v="3.77"/>
    <n v="1084492161"/>
  </r>
  <r>
    <x v="4"/>
    <s v="e-tron"/>
    <x v="4"/>
    <x v="0"/>
    <n v="92779.16"/>
    <n v="80"/>
    <n v="260"/>
    <n v="178"/>
    <s v="Hatchback"/>
    <n v="4"/>
    <s v="Premium"/>
    <n v="22988"/>
    <n v="3.55"/>
    <n v="2132807330.0800002"/>
  </r>
  <r>
    <x v="7"/>
    <s v="ID.4"/>
    <x v="4"/>
    <x v="4"/>
    <n v="93014.64"/>
    <n v="70.2"/>
    <n v="255"/>
    <n v="169"/>
    <s v="Truck"/>
    <n v="5"/>
    <s v="Premium"/>
    <n v="264436"/>
    <n v="3.26"/>
    <n v="24596419343.040001"/>
  </r>
  <r>
    <x v="0"/>
    <s v="bZ Compact SUV"/>
    <x v="4"/>
    <x v="3"/>
    <n v="62299.25"/>
    <n v="60.9"/>
    <n v="213"/>
    <n v="169"/>
    <s v="SUV"/>
    <n v="3"/>
    <s v="Mid-range"/>
    <n v="25820"/>
    <n v="3.36"/>
    <n v="1608566635"/>
  </r>
  <r>
    <x v="4"/>
    <s v="Q4 e-tron"/>
    <x v="4"/>
    <x v="2"/>
    <n v="108294.87"/>
    <n v="84.2"/>
    <n v="297"/>
    <n v="142"/>
    <s v="Truck"/>
    <n v="5"/>
    <s v="Luxury"/>
    <n v="75960"/>
    <n v="3.64"/>
    <n v="8226078325.1999998"/>
  </r>
  <r>
    <x v="12"/>
    <s v="Bolt EV"/>
    <x v="4"/>
    <x v="3"/>
    <n v="40534.339999999997"/>
    <n v="52"/>
    <n v="170"/>
    <n v="148"/>
    <s v="Coupe"/>
    <n v="5"/>
    <s v="Mid-range"/>
    <n v="24616"/>
    <n v="3.08"/>
    <n v="997793313.43999994"/>
  </r>
  <r>
    <x v="2"/>
    <s v="Model Y"/>
    <x v="4"/>
    <x v="4"/>
    <n v="47765.25"/>
    <n v="45.3"/>
    <n v="171"/>
    <n v="167"/>
    <s v="Sedan"/>
    <n v="5"/>
    <s v="Mid-range"/>
    <n v="423769"/>
    <n v="3.45"/>
    <n v="20241432227.25"/>
  </r>
  <r>
    <x v="8"/>
    <s v="Mustang Mach-E"/>
    <x v="4"/>
    <x v="1"/>
    <n v="92734.95"/>
    <n v="71.599999999999994"/>
    <n v="257"/>
    <n v="183"/>
    <s v="Van"/>
    <n v="4"/>
    <s v="Premium"/>
    <n v="52532"/>
    <n v="3.34"/>
    <n v="4871552393.3999996"/>
  </r>
  <r>
    <x v="12"/>
    <s v="Bolt EUV"/>
    <x v="4"/>
    <x v="3"/>
    <n v="53007.41"/>
    <n v="82.4"/>
    <n v="303"/>
    <n v="145"/>
    <s v="SUV"/>
    <n v="4"/>
    <s v="Mid-range"/>
    <n v="25295"/>
    <n v="3.72"/>
    <n v="1340822435.95"/>
  </r>
  <r>
    <x v="2"/>
    <s v="Model 3"/>
    <x v="4"/>
    <x v="0"/>
    <n v="74766.45"/>
    <n v="76.5"/>
    <n v="284"/>
    <n v="169"/>
    <s v="Sedan"/>
    <n v="5"/>
    <s v="Premium"/>
    <n v="155185"/>
    <n v="4.1399999999999997"/>
    <n v="11602631543.25"/>
  </r>
  <r>
    <x v="0"/>
    <s v="bZ Compact SUV"/>
    <x v="4"/>
    <x v="0"/>
    <n v="87515.62"/>
    <n v="75.8"/>
    <n v="273"/>
    <n v="170"/>
    <s v="SUV"/>
    <n v="4"/>
    <s v="Premium"/>
    <n v="24507"/>
    <n v="3.51"/>
    <n v="2144745299.3399999"/>
  </r>
  <r>
    <x v="7"/>
    <s v="ID.4"/>
    <x v="4"/>
    <x v="4"/>
    <n v="114364.87"/>
    <n v="45.2"/>
    <n v="151"/>
    <n v="150"/>
    <s v="Hatchback"/>
    <n v="5"/>
    <s v="Luxury"/>
    <n v="233971"/>
    <n v="3.16"/>
    <n v="26758062998.77"/>
  </r>
  <r>
    <x v="2"/>
    <s v="Model 3"/>
    <x v="4"/>
    <x v="2"/>
    <n v="32105.759999999998"/>
    <n v="54.4"/>
    <n v="214"/>
    <n v="129"/>
    <s v="Coupe"/>
    <n v="4"/>
    <s v="Budget"/>
    <n v="245170"/>
    <n v="3.53"/>
    <n v="7871369179.1999998"/>
  </r>
  <r>
    <x v="0"/>
    <s v="bZ4X"/>
    <x v="4"/>
    <x v="0"/>
    <n v="55686.21"/>
    <n v="91.7"/>
    <n v="324"/>
    <n v="179"/>
    <s v="Van"/>
    <n v="5"/>
    <s v="Mid-range"/>
    <n v="18558"/>
    <n v="3.6"/>
    <n v="1033424685.1799999"/>
  </r>
  <r>
    <x v="0"/>
    <s v="bZ4X"/>
    <x v="4"/>
    <x v="2"/>
    <n v="36014.199999999997"/>
    <n v="52.5"/>
    <n v="186"/>
    <n v="177"/>
    <s v="Coupe"/>
    <n v="4"/>
    <s v="Mid-range"/>
    <n v="5267"/>
    <n v="3.41"/>
    <n v="189686791.39999998"/>
  </r>
  <r>
    <x v="1"/>
    <s v="Ronin"/>
    <x v="4"/>
    <x v="2"/>
    <n v="65556.39"/>
    <n v="55.1"/>
    <n v="194"/>
    <n v="143"/>
    <s v="Van"/>
    <n v="5"/>
    <s v="Premium"/>
    <n v="2927"/>
    <n v="3.38"/>
    <n v="191883553.53"/>
  </r>
  <r>
    <x v="5"/>
    <s v="EV9"/>
    <x v="4"/>
    <x v="3"/>
    <n v="70066.61"/>
    <n v="55.2"/>
    <n v="186"/>
    <n v="169"/>
    <s v="SUV"/>
    <n v="4"/>
    <s v="Premium"/>
    <n v="125092"/>
    <n v="3.1"/>
    <n v="8764772378.1200008"/>
  </r>
  <r>
    <x v="9"/>
    <s v="i7"/>
    <x v="4"/>
    <x v="3"/>
    <n v="64827.83"/>
    <n v="42.9"/>
    <n v="150"/>
    <n v="176"/>
    <s v="SUV"/>
    <n v="4"/>
    <s v="Mid-range"/>
    <n v="69279"/>
    <n v="3.23"/>
    <n v="4491207234.5699997"/>
  </r>
  <r>
    <x v="0"/>
    <s v="bZ4X"/>
    <x v="4"/>
    <x v="3"/>
    <n v="61582.84"/>
    <n v="62.3"/>
    <n v="215"/>
    <n v="130"/>
    <s v="Hatchback"/>
    <n v="5"/>
    <s v="Mid-range"/>
    <n v="26767"/>
    <n v="3.22"/>
    <n v="1648387878.28"/>
  </r>
  <r>
    <x v="6"/>
    <s v="Ioniq 6"/>
    <x v="4"/>
    <x v="4"/>
    <n v="45546.32"/>
    <n v="45.1"/>
    <n v="160"/>
    <n v="171"/>
    <s v="Sedan"/>
    <n v="4"/>
    <s v="Mid-range"/>
    <n v="71807"/>
    <n v="3.28"/>
    <n v="3270544600.2399998"/>
  </r>
  <r>
    <x v="1"/>
    <s v="Ocean"/>
    <x v="4"/>
    <x v="0"/>
    <n v="113331.61"/>
    <n v="84.6"/>
    <n v="274"/>
    <n v="170"/>
    <s v="Truck"/>
    <n v="5"/>
    <s v="Luxury"/>
    <n v="17978"/>
    <n v="3.23"/>
    <n v="2037475684.5799999"/>
  </r>
  <r>
    <x v="15"/>
    <s v="Taycan"/>
    <x v="4"/>
    <x v="0"/>
    <n v="111922.96"/>
    <n v="102.7"/>
    <n v="358"/>
    <n v="188"/>
    <s v="Hatchback"/>
    <n v="5"/>
    <s v="Luxury"/>
    <n v="28429"/>
    <n v="3.99"/>
    <n v="3181857829.8400002"/>
  </r>
  <r>
    <x v="12"/>
    <s v="Silverado EV"/>
    <x v="4"/>
    <x v="1"/>
    <n v="74262.98"/>
    <n v="80.7"/>
    <n v="285"/>
    <n v="197"/>
    <s v="Sedan"/>
    <n v="5"/>
    <s v="Premium"/>
    <n v="24171"/>
    <n v="3.38"/>
    <n v="1795010489.5799999"/>
  </r>
  <r>
    <x v="6"/>
    <s v="Ioniq 5"/>
    <x v="4"/>
    <x v="0"/>
    <n v="41621.620000000003"/>
    <n v="97.9"/>
    <n v="365"/>
    <n v="162"/>
    <s v="Hatchback"/>
    <n v="5"/>
    <s v="Mid-range"/>
    <n v="70525"/>
    <n v="3.62"/>
    <n v="2935364750.5"/>
  </r>
  <r>
    <x v="13"/>
    <s v="EQS"/>
    <x v="4"/>
    <x v="1"/>
    <n v="114049.24"/>
    <n v="103.4"/>
    <n v="368"/>
    <n v="187"/>
    <s v="Van"/>
    <n v="5"/>
    <s v="Luxury"/>
    <n v="68987"/>
    <n v="3.92"/>
    <n v="7867914919.8800001"/>
  </r>
  <r>
    <x v="2"/>
    <s v="Model 3"/>
    <x v="4"/>
    <x v="3"/>
    <n v="36657.019999999997"/>
    <n v="61.2"/>
    <n v="188"/>
    <n v="144"/>
    <s v="Coupe"/>
    <n v="5"/>
    <s v="Mid-range"/>
    <n v="208877"/>
    <n v="3.91"/>
    <n v="7656808366.539999"/>
  </r>
  <r>
    <x v="5"/>
    <s v="Niro EV"/>
    <x v="4"/>
    <x v="1"/>
    <n v="51697.58"/>
    <n v="115.1"/>
    <n v="396"/>
    <n v="194"/>
    <s v="Truck"/>
    <n v="5"/>
    <s v="Mid-range"/>
    <n v="56242"/>
    <n v="3.84"/>
    <n v="2907575294.3600001"/>
  </r>
  <r>
    <x v="7"/>
    <s v="ID.4"/>
    <x v="4"/>
    <x v="3"/>
    <n v="36019.25"/>
    <n v="63.3"/>
    <n v="224"/>
    <n v="140"/>
    <s v="Hatchback"/>
    <n v="4"/>
    <s v="Mid-range"/>
    <n v="209890"/>
    <n v="3.52"/>
    <n v="7560080382.5"/>
  </r>
  <r>
    <x v="1"/>
    <s v="Ocean"/>
    <x v="4"/>
    <x v="4"/>
    <n v="121374.95"/>
    <n v="70.8"/>
    <n v="262"/>
    <n v="153"/>
    <s v="Van"/>
    <n v="3"/>
    <s v="Luxury"/>
    <n v="26859"/>
    <n v="3.7"/>
    <n v="3260009782.0499997"/>
  </r>
  <r>
    <x v="3"/>
    <s v="Yuan Plus"/>
    <x v="4"/>
    <x v="2"/>
    <n v="40390.03"/>
    <n v="62.1"/>
    <n v="232"/>
    <n v="138"/>
    <s v="Coupe"/>
    <n v="5"/>
    <s v="Mid-range"/>
    <n v="138054"/>
    <n v="3.39"/>
    <n v="5576005201.6199999"/>
  </r>
  <r>
    <x v="2"/>
    <s v="Cybertruck"/>
    <x v="4"/>
    <x v="0"/>
    <n v="45682.18"/>
    <n v="109.7"/>
    <n v="377"/>
    <n v="165"/>
    <s v="Truck"/>
    <n v="4"/>
    <s v="Mid-range"/>
    <n v="170687"/>
    <n v="3.94"/>
    <n v="7797354257.6599998"/>
  </r>
  <r>
    <x v="16"/>
    <s v="SU7"/>
    <x v="4"/>
    <x v="1"/>
    <n v="102584.09"/>
    <n v="74.5"/>
    <n v="250"/>
    <n v="195"/>
    <s v="Hatchback"/>
    <n v="5"/>
    <s v="Luxury"/>
    <n v="19780"/>
    <n v="3.36"/>
    <n v="2029113300.2"/>
  </r>
  <r>
    <x v="5"/>
    <s v="Sportage EV"/>
    <x v="4"/>
    <x v="0"/>
    <n v="99048.18"/>
    <n v="89"/>
    <n v="324"/>
    <n v="168"/>
    <s v="SUV"/>
    <n v="5"/>
    <s v="Premium"/>
    <n v="55742"/>
    <n v="3.56"/>
    <n v="5521143649.5599995"/>
  </r>
  <r>
    <x v="13"/>
    <s v="EQC"/>
    <x v="4"/>
    <x v="1"/>
    <n v="167898.8"/>
    <n v="106"/>
    <n v="375"/>
    <n v="200"/>
    <s v="Coupe"/>
    <n v="4"/>
    <s v="Luxury"/>
    <n v="20936"/>
    <n v="4.04"/>
    <n v="3515129276.7999997"/>
  </r>
  <r>
    <x v="5"/>
    <s v="EV6"/>
    <x v="4"/>
    <x v="2"/>
    <n v="30277.360000000001"/>
    <n v="62.3"/>
    <n v="226"/>
    <n v="172"/>
    <s v="Van"/>
    <n v="5"/>
    <s v="Budget"/>
    <n v="130299"/>
    <n v="3.2"/>
    <n v="3945109730.6399999"/>
  </r>
  <r>
    <x v="3"/>
    <s v="Qin"/>
    <x v="4"/>
    <x v="1"/>
    <n v="103480.37"/>
    <n v="104.9"/>
    <n v="347"/>
    <n v="200"/>
    <s v="SUV"/>
    <n v="4"/>
    <s v="Luxury"/>
    <n v="211837"/>
    <n v="3.58"/>
    <n v="21920971139.689999"/>
  </r>
  <r>
    <x v="6"/>
    <s v="Ioniq 6"/>
    <x v="4"/>
    <x v="0"/>
    <n v="84751.75"/>
    <n v="83.1"/>
    <n v="305"/>
    <n v="169"/>
    <s v="Van"/>
    <n v="5"/>
    <s v="Premium"/>
    <n v="53893"/>
    <n v="3.55"/>
    <n v="4567526062.75"/>
  </r>
  <r>
    <x v="7"/>
    <s v="ID.4"/>
    <x v="4"/>
    <x v="3"/>
    <n v="78233.39"/>
    <n v="46.6"/>
    <n v="161"/>
    <n v="139"/>
    <s v="Coupe"/>
    <n v="4"/>
    <s v="Premium"/>
    <n v="259295"/>
    <n v="3.2"/>
    <n v="20285526860.049999"/>
  </r>
  <r>
    <x v="2"/>
    <s v="Model Y"/>
    <x v="4"/>
    <x v="3"/>
    <n v="110000.94"/>
    <n v="53.4"/>
    <n v="163"/>
    <n v="172"/>
    <s v="Sedan"/>
    <n v="4"/>
    <s v="Luxury"/>
    <n v="414109"/>
    <n v="3.55"/>
    <n v="45552379262.459999"/>
  </r>
  <r>
    <x v="7"/>
    <s v="ID.4"/>
    <x v="4"/>
    <x v="0"/>
    <n v="67460.11"/>
    <n v="97.9"/>
    <n v="324"/>
    <n v="180"/>
    <s v="Truck"/>
    <n v="4"/>
    <s v="Premium"/>
    <n v="219503"/>
    <n v="3.66"/>
    <n v="14807696525.33"/>
  </r>
  <r>
    <x v="13"/>
    <s v="EQS"/>
    <x v="4"/>
    <x v="1"/>
    <n v="175695.73"/>
    <n v="119.3"/>
    <n v="421"/>
    <n v="200"/>
    <s v="Truck"/>
    <n v="4"/>
    <s v="Luxury"/>
    <n v="47072"/>
    <n v="4.1399999999999997"/>
    <n v="8270349402.5600004"/>
  </r>
  <r>
    <x v="2"/>
    <s v="Cybertruck"/>
    <x v="4"/>
    <x v="1"/>
    <n v="68394.929999999993"/>
    <n v="94.8"/>
    <n v="315"/>
    <n v="179"/>
    <s v="Truck"/>
    <n v="5"/>
    <s v="Premium"/>
    <n v="230110"/>
    <n v="4"/>
    <n v="15738357342.299999"/>
  </r>
  <r>
    <x v="10"/>
    <n v="3"/>
    <x v="4"/>
    <x v="4"/>
    <n v="98223.61"/>
    <n v="58.4"/>
    <n v="219"/>
    <n v="147"/>
    <s v="Coupe"/>
    <n v="4"/>
    <s v="Premium"/>
    <n v="3904"/>
    <n v="3.65"/>
    <n v="383464973.44"/>
  </r>
  <r>
    <x v="6"/>
    <s v="Ioniq"/>
    <x v="4"/>
    <x v="4"/>
    <n v="39646.49"/>
    <n v="41"/>
    <n v="150"/>
    <n v="174"/>
    <s v="Hatchback"/>
    <n v="5"/>
    <s v="Mid-range"/>
    <n v="129173"/>
    <n v="3"/>
    <n v="5121256052.7699995"/>
  </r>
  <r>
    <x v="2"/>
    <s v="Model 3"/>
    <x v="4"/>
    <x v="4"/>
    <n v="164903.76"/>
    <n v="51.1"/>
    <n v="184"/>
    <n v="159"/>
    <s v="Coupe"/>
    <n v="3"/>
    <s v="Luxury"/>
    <n v="238934"/>
    <n v="3.62"/>
    <n v="39401114991.840004"/>
  </r>
  <r>
    <x v="2"/>
    <s v="Model S"/>
    <x v="4"/>
    <x v="3"/>
    <n v="132957.6"/>
    <n v="57.4"/>
    <n v="197"/>
    <n v="168"/>
    <s v="Sedan"/>
    <n v="5"/>
    <s v="Luxury"/>
    <n v="220563"/>
    <n v="3.46"/>
    <n v="29325527128.800003"/>
  </r>
  <r>
    <x v="9"/>
    <s v="i7"/>
    <x v="4"/>
    <x v="0"/>
    <n v="126323.43"/>
    <n v="92.6"/>
    <n v="337"/>
    <n v="190"/>
    <s v="Hatchback"/>
    <n v="5"/>
    <s v="Luxury"/>
    <n v="51591"/>
    <n v="3.87"/>
    <n v="6517152077.1300001"/>
  </r>
  <r>
    <x v="3"/>
    <s v="Dolphin"/>
    <x v="4"/>
    <x v="0"/>
    <n v="38014.51"/>
    <n v="86.6"/>
    <n v="325"/>
    <n v="169"/>
    <s v="SUV"/>
    <n v="5"/>
    <s v="Mid-range"/>
    <n v="241420"/>
    <n v="3.72"/>
    <n v="9177463004.2000008"/>
  </r>
  <r>
    <x v="8"/>
    <s v="Mustang Mach-E"/>
    <x v="4"/>
    <x v="4"/>
    <n v="96727.35"/>
    <n v="71.400000000000006"/>
    <n v="233"/>
    <n v="140"/>
    <s v="Hatchback"/>
    <n v="3"/>
    <s v="Premium"/>
    <n v="75873"/>
    <n v="3.24"/>
    <n v="7338994226.5500002"/>
  </r>
  <r>
    <x v="9"/>
    <s v="i7"/>
    <x v="4"/>
    <x v="2"/>
    <n v="84385.88"/>
    <n v="47.3"/>
    <n v="177"/>
    <n v="136"/>
    <s v="Sedan"/>
    <n v="5"/>
    <s v="Premium"/>
    <n v="74771"/>
    <n v="3.09"/>
    <n v="6309616633.4800005"/>
  </r>
  <r>
    <x v="3"/>
    <s v="Qin"/>
    <x v="4"/>
    <x v="1"/>
    <n v="54577.89"/>
    <n v="119.6"/>
    <n v="427"/>
    <n v="190"/>
    <s v="Hatchback"/>
    <n v="5"/>
    <s v="Mid-range"/>
    <n v="139526"/>
    <n v="3.84"/>
    <n v="7615034680.1400003"/>
  </r>
  <r>
    <x v="6"/>
    <s v="Kona Electric"/>
    <x v="4"/>
    <x v="0"/>
    <n v="90974.8"/>
    <n v="80.400000000000006"/>
    <n v="296"/>
    <n v="179"/>
    <s v="Van"/>
    <n v="4"/>
    <s v="Premium"/>
    <n v="59668"/>
    <n v="3.91"/>
    <n v="5428284366.4000006"/>
  </r>
  <r>
    <x v="6"/>
    <s v="i30"/>
    <x v="4"/>
    <x v="4"/>
    <n v="40685.58"/>
    <n v="66.5"/>
    <n v="247"/>
    <n v="159"/>
    <s v="Hatchback"/>
    <n v="5"/>
    <s v="Mid-range"/>
    <n v="143645"/>
    <n v="3.36"/>
    <n v="5844280139.1000004"/>
  </r>
  <r>
    <x v="3"/>
    <s v="Yuan Plus"/>
    <x v="4"/>
    <x v="2"/>
    <n v="73962.429999999993"/>
    <n v="41.7"/>
    <n v="163"/>
    <n v="163"/>
    <s v="Sedan"/>
    <n v="5"/>
    <s v="Premium"/>
    <n v="121424"/>
    <n v="3.25"/>
    <n v="8980814100.3199997"/>
  </r>
  <r>
    <x v="2"/>
    <s v="Model 3"/>
    <x v="4"/>
    <x v="0"/>
    <n v="73678.259999999995"/>
    <n v="106.1"/>
    <n v="370"/>
    <n v="177"/>
    <s v="Coupe"/>
    <n v="5"/>
    <s v="Premium"/>
    <n v="201869"/>
    <n v="3.99"/>
    <n v="14873356667.939999"/>
  </r>
  <r>
    <x v="4"/>
    <s v="e-tron"/>
    <x v="4"/>
    <x v="3"/>
    <n v="62074.39"/>
    <n v="65.3"/>
    <n v="236"/>
    <n v="160"/>
    <s v="SUV"/>
    <n v="5"/>
    <s v="Mid-range"/>
    <n v="41240"/>
    <n v="3.53"/>
    <n v="2559947843.5999999"/>
  </r>
  <r>
    <x v="5"/>
    <s v="EV6"/>
    <x v="4"/>
    <x v="1"/>
    <n v="68316.17"/>
    <n v="76.400000000000006"/>
    <n v="262"/>
    <n v="189"/>
    <s v="Hatchback"/>
    <n v="4"/>
    <s v="Premium"/>
    <n v="86275"/>
    <n v="3.61"/>
    <n v="5893977566.75"/>
  </r>
  <r>
    <x v="6"/>
    <s v="Ioniq 6"/>
    <x v="4"/>
    <x v="3"/>
    <n v="60164.53"/>
    <n v="53.1"/>
    <n v="185"/>
    <n v="146"/>
    <s v="SUV"/>
    <n v="5"/>
    <s v="Mid-range"/>
    <n v="85467"/>
    <n v="3.29"/>
    <n v="5142081885.5100002"/>
  </r>
  <r>
    <x v="6"/>
    <s v="i30"/>
    <x v="4"/>
    <x v="2"/>
    <n v="35093.17"/>
    <n v="77.099999999999994"/>
    <n v="295"/>
    <n v="134"/>
    <s v="Van"/>
    <n v="4"/>
    <s v="Mid-range"/>
    <n v="117101"/>
    <n v="3.46"/>
    <n v="4109445300.1699996"/>
  </r>
  <r>
    <x v="2"/>
    <s v="Cybertruck"/>
    <x v="4"/>
    <x v="1"/>
    <n v="188964.7"/>
    <n v="106.8"/>
    <n v="367"/>
    <n v="193"/>
    <s v="Truck"/>
    <n v="4"/>
    <s v="Luxury"/>
    <n v="239165"/>
    <n v="4.2699999999999996"/>
    <n v="45193742475.5"/>
  </r>
  <r>
    <x v="5"/>
    <s v="Sportage EV"/>
    <x v="4"/>
    <x v="3"/>
    <n v="56593.19"/>
    <n v="56.2"/>
    <n v="197"/>
    <n v="170"/>
    <s v="SUV"/>
    <n v="4"/>
    <s v="Mid-range"/>
    <n v="135755"/>
    <n v="3.26"/>
    <n v="7682808508.4500008"/>
  </r>
  <r>
    <x v="7"/>
    <s v="ID.3"/>
    <x v="4"/>
    <x v="2"/>
    <n v="71569.98"/>
    <n v="57.7"/>
    <n v="186"/>
    <n v="158"/>
    <s v="SUV"/>
    <n v="5"/>
    <s v="Premium"/>
    <n v="287315"/>
    <n v="3.19"/>
    <n v="20563128803.699997"/>
  </r>
  <r>
    <x v="3"/>
    <s v="Seagull"/>
    <x v="4"/>
    <x v="2"/>
    <n v="24520.21"/>
    <n v="71.2"/>
    <n v="253"/>
    <n v="159"/>
    <s v="Hatchback"/>
    <n v="5"/>
    <s v="Budget"/>
    <n v="191198"/>
    <n v="3.48"/>
    <n v="4688215111.5799999"/>
  </r>
  <r>
    <x v="6"/>
    <s v="Ioniq"/>
    <x v="4"/>
    <x v="2"/>
    <n v="31858.49"/>
    <n v="76.599999999999994"/>
    <n v="274"/>
    <n v="171"/>
    <s v="Hatchback"/>
    <n v="3"/>
    <s v="Budget"/>
    <n v="89552"/>
    <n v="3.4"/>
    <n v="2852991496.48"/>
  </r>
  <r>
    <x v="13"/>
    <s v="EQG"/>
    <x v="4"/>
    <x v="2"/>
    <n v="72880.75"/>
    <n v="63.7"/>
    <n v="235"/>
    <n v="133"/>
    <s v="Truck"/>
    <n v="4"/>
    <s v="Premium"/>
    <n v="46123"/>
    <n v="3.85"/>
    <n v="3361478832.25"/>
  </r>
  <r>
    <x v="8"/>
    <s v="E-Transit"/>
    <x v="4"/>
    <x v="4"/>
    <n v="81884.759999999995"/>
    <n v="79.5"/>
    <n v="280"/>
    <n v="134"/>
    <s v="Hatchback"/>
    <n v="3"/>
    <s v="Premium"/>
    <n v="49332"/>
    <n v="3.58"/>
    <n v="4039538980.3199997"/>
  </r>
  <r>
    <x v="3"/>
    <s v="Dolphin"/>
    <x v="4"/>
    <x v="2"/>
    <n v="27229.19"/>
    <n v="64.8"/>
    <n v="227"/>
    <n v="144"/>
    <s v="Hatchback"/>
    <n v="5"/>
    <s v="Budget"/>
    <n v="118103"/>
    <n v="3.49"/>
    <n v="3215849026.5699997"/>
  </r>
  <r>
    <x v="9"/>
    <s v="i4"/>
    <x v="4"/>
    <x v="0"/>
    <n v="83737.7"/>
    <n v="90.9"/>
    <n v="331"/>
    <n v="166"/>
    <s v="Sedan"/>
    <n v="4"/>
    <s v="Premium"/>
    <n v="68789"/>
    <n v="3.44"/>
    <n v="5760232645.3000002"/>
  </r>
  <r>
    <x v="7"/>
    <s v="ID. Buzz"/>
    <x v="4"/>
    <x v="2"/>
    <n v="65767.179999999993"/>
    <n v="48.6"/>
    <n v="159"/>
    <n v="137"/>
    <s v="Van"/>
    <n v="5"/>
    <s v="Premium"/>
    <n v="214102"/>
    <n v="3.4"/>
    <n v="14080884772.359999"/>
  </r>
  <r>
    <x v="6"/>
    <s v="Ioniq 5"/>
    <x v="4"/>
    <x v="4"/>
    <n v="41142.11"/>
    <n v="53.2"/>
    <n v="176"/>
    <n v="160"/>
    <s v="Hatchback"/>
    <n v="4"/>
    <s v="Mid-range"/>
    <n v="133250"/>
    <n v="3.71"/>
    <n v="5482186157.5"/>
  </r>
  <r>
    <x v="3"/>
    <s v="Leaf 50X"/>
    <x v="4"/>
    <x v="3"/>
    <n v="68838.03"/>
    <n v="48.9"/>
    <n v="180"/>
    <n v="147"/>
    <s v="Coupe"/>
    <n v="4"/>
    <s v="Premium"/>
    <n v="173863"/>
    <n v="3.01"/>
    <n v="11968386409.889999"/>
  </r>
  <r>
    <x v="2"/>
    <s v="Model 3"/>
    <x v="4"/>
    <x v="0"/>
    <n v="54793.42"/>
    <n v="108.6"/>
    <n v="395"/>
    <n v="191"/>
    <s v="Hatchback"/>
    <n v="4"/>
    <s v="Mid-range"/>
    <n v="136524"/>
    <n v="4.42"/>
    <n v="7480616872.0799999"/>
  </r>
  <r>
    <x v="5"/>
    <s v="EV6"/>
    <x v="4"/>
    <x v="3"/>
    <n v="70386.61"/>
    <n v="70.900000000000006"/>
    <n v="215"/>
    <n v="168"/>
    <s v="Sedan"/>
    <n v="4"/>
    <s v="Premium"/>
    <n v="72998"/>
    <n v="3.35"/>
    <n v="5138081756.7799997"/>
  </r>
  <r>
    <x v="7"/>
    <s v="ID.4"/>
    <x v="4"/>
    <x v="1"/>
    <n v="78109.649999999994"/>
    <n v="110.5"/>
    <n v="383"/>
    <n v="200"/>
    <s v="Truck"/>
    <n v="5"/>
    <s v="Premium"/>
    <n v="260956"/>
    <n v="3.68"/>
    <n v="20383181825.399998"/>
  </r>
  <r>
    <x v="12"/>
    <s v="Bolt EV"/>
    <x v="4"/>
    <x v="3"/>
    <n v="59253.96"/>
    <n v="56.6"/>
    <n v="223"/>
    <n v="160"/>
    <s v="Truck"/>
    <n v="5"/>
    <s v="Mid-range"/>
    <n v="22516"/>
    <n v="3.7"/>
    <n v="1334162163.3599999"/>
  </r>
  <r>
    <x v="12"/>
    <s v="Silverado EV"/>
    <x v="4"/>
    <x v="1"/>
    <n v="71690.64"/>
    <n v="77.900000000000006"/>
    <n v="282"/>
    <n v="200"/>
    <s v="Sedan"/>
    <n v="4"/>
    <s v="Premium"/>
    <n v="26479"/>
    <n v="3.38"/>
    <n v="1898296456.5599999"/>
  </r>
  <r>
    <x v="13"/>
    <s v="GLE EV"/>
    <x v="4"/>
    <x v="1"/>
    <n v="178911.77"/>
    <n v="79.7"/>
    <n v="265"/>
    <n v="187"/>
    <s v="Truck"/>
    <n v="4"/>
    <s v="Luxury"/>
    <n v="68804"/>
    <n v="3.85"/>
    <n v="12309845423.08"/>
  </r>
  <r>
    <x v="2"/>
    <s v="Model X"/>
    <x v="4"/>
    <x v="3"/>
    <n v="125065.93"/>
    <n v="50.7"/>
    <n v="159"/>
    <n v="172"/>
    <s v="Hatchback"/>
    <n v="4"/>
    <s v="Luxury"/>
    <n v="243623"/>
    <n v="3.24"/>
    <n v="30468937064.389999"/>
  </r>
  <r>
    <x v="7"/>
    <s v="ID.3"/>
    <x v="4"/>
    <x v="0"/>
    <n v="37557.870000000003"/>
    <n v="86.2"/>
    <n v="299"/>
    <n v="175"/>
    <s v="Coupe"/>
    <n v="5"/>
    <s v="Mid-range"/>
    <n v="247190"/>
    <n v="3.68"/>
    <n v="9283929885.3000011"/>
  </r>
  <r>
    <x v="8"/>
    <s v="E-Transit"/>
    <x v="4"/>
    <x v="3"/>
    <n v="48328.54"/>
    <n v="81.900000000000006"/>
    <n v="268"/>
    <n v="132"/>
    <s v="SUV"/>
    <n v="4"/>
    <s v="Mid-range"/>
    <n v="34857"/>
    <n v="3.47"/>
    <n v="1684587918.78"/>
  </r>
  <r>
    <x v="3"/>
    <s v="Atto 3"/>
    <x v="4"/>
    <x v="0"/>
    <n v="53347.12"/>
    <n v="78.900000000000006"/>
    <n v="277"/>
    <n v="182"/>
    <s v="Sedan"/>
    <n v="5"/>
    <s v="Mid-range"/>
    <n v="234710"/>
    <n v="3.53"/>
    <n v="12521102535.200001"/>
  </r>
  <r>
    <x v="9"/>
    <s v="i5"/>
    <x v="4"/>
    <x v="2"/>
    <n v="85524.800000000003"/>
    <n v="65.2"/>
    <n v="228"/>
    <n v="154"/>
    <s v="SUV"/>
    <n v="5"/>
    <s v="Premium"/>
    <n v="61102"/>
    <n v="3.24"/>
    <n v="5225736329.6000004"/>
  </r>
  <r>
    <x v="3"/>
    <s v="Seagull"/>
    <x v="4"/>
    <x v="2"/>
    <n v="18386.22"/>
    <n v="53.5"/>
    <n v="197"/>
    <n v="169"/>
    <s v="Hatchback"/>
    <n v="4"/>
    <s v="Budget"/>
    <n v="194535"/>
    <n v="3.33"/>
    <n v="3576763307.7000003"/>
  </r>
  <r>
    <x v="2"/>
    <s v="Cybertruck"/>
    <x v="4"/>
    <x v="0"/>
    <n v="81331.259999999995"/>
    <n v="87"/>
    <n v="324"/>
    <n v="160"/>
    <s v="Truck"/>
    <n v="5"/>
    <s v="Premium"/>
    <n v="192430"/>
    <n v="3.74"/>
    <n v="15650574361.799999"/>
  </r>
  <r>
    <x v="12"/>
    <s v="Blazer EV"/>
    <x v="4"/>
    <x v="4"/>
    <n v="70082.06"/>
    <n v="42.6"/>
    <n v="156"/>
    <n v="161"/>
    <s v="Hatchback"/>
    <n v="5"/>
    <s v="Premium"/>
    <n v="20253"/>
    <n v="3.14"/>
    <n v="1419371961.1800001"/>
  </r>
  <r>
    <x v="12"/>
    <s v="Silverado EV"/>
    <x v="4"/>
    <x v="3"/>
    <n v="61767.69"/>
    <n v="48"/>
    <n v="161"/>
    <n v="155"/>
    <s v="SUV"/>
    <n v="4"/>
    <s v="Mid-range"/>
    <n v="27695"/>
    <n v="3.08"/>
    <n v="1710656174.55"/>
  </r>
  <r>
    <x v="2"/>
    <s v="Model 3"/>
    <x v="4"/>
    <x v="4"/>
    <n v="173467.44"/>
    <n v="42.9"/>
    <n v="150"/>
    <n v="180"/>
    <s v="Hatchback"/>
    <n v="4"/>
    <s v="Luxury"/>
    <n v="241741"/>
    <n v="3.75"/>
    <n v="41934192413.040001"/>
  </r>
  <r>
    <x v="4"/>
    <s v="Q6 e-tron"/>
    <x v="4"/>
    <x v="4"/>
    <n v="105361.9"/>
    <n v="71.8"/>
    <n v="263"/>
    <n v="144"/>
    <s v="Coupe"/>
    <n v="5"/>
    <s v="Luxury"/>
    <n v="22361"/>
    <n v="3.64"/>
    <n v="2355997445.9000001"/>
  </r>
  <r>
    <x v="5"/>
    <s v="EV9"/>
    <x v="4"/>
    <x v="2"/>
    <n v="36206.519999999997"/>
    <n v="53.7"/>
    <n v="182"/>
    <n v="143"/>
    <s v="SUV"/>
    <n v="4"/>
    <s v="Mid-range"/>
    <n v="96649"/>
    <n v="3.22"/>
    <n v="3499323951.4799995"/>
  </r>
  <r>
    <x v="2"/>
    <s v="Model 3"/>
    <x v="4"/>
    <x v="4"/>
    <n v="92300.78"/>
    <n v="48.8"/>
    <n v="173"/>
    <n v="146"/>
    <s v="Hatchback"/>
    <n v="5"/>
    <s v="Premium"/>
    <n v="249410"/>
    <n v="3.51"/>
    <n v="23020737539.799999"/>
  </r>
  <r>
    <x v="12"/>
    <s v="Silverado EV"/>
    <x v="4"/>
    <x v="2"/>
    <n v="33469.379999999997"/>
    <n v="55.2"/>
    <n v="198"/>
    <n v="130"/>
    <s v="SUV"/>
    <n v="4"/>
    <s v="Budget"/>
    <n v="2373"/>
    <n v="3.27"/>
    <n v="79422838.739999995"/>
  </r>
  <r>
    <x v="5"/>
    <s v="Sportage EV"/>
    <x v="4"/>
    <x v="4"/>
    <n v="72898.84"/>
    <n v="65.7"/>
    <n v="244"/>
    <n v="172"/>
    <s v="SUV"/>
    <n v="5"/>
    <s v="Premium"/>
    <n v="78422"/>
    <n v="3.48"/>
    <n v="5716872830.4799995"/>
  </r>
  <r>
    <x v="7"/>
    <s v="ID. Aero"/>
    <x v="4"/>
    <x v="1"/>
    <n v="90339.09"/>
    <n v="78.099999999999994"/>
    <n v="263"/>
    <n v="181"/>
    <s v="SUV"/>
    <n v="4"/>
    <s v="Premium"/>
    <n v="202441"/>
    <n v="3.2"/>
    <n v="18288335718.689999"/>
  </r>
  <r>
    <x v="12"/>
    <s v="Bolt EUV"/>
    <x v="4"/>
    <x v="3"/>
    <n v="57794.12"/>
    <n v="67.8"/>
    <n v="255"/>
    <n v="135"/>
    <s v="Truck"/>
    <n v="5"/>
    <s v="Mid-range"/>
    <n v="28957"/>
    <n v="3.15"/>
    <n v="1673544332.8400002"/>
  </r>
  <r>
    <x v="14"/>
    <s v="EL6"/>
    <x v="4"/>
    <x v="0"/>
    <n v="99775.41"/>
    <n v="109.9"/>
    <n v="380"/>
    <n v="171"/>
    <s v="SUV"/>
    <n v="4"/>
    <s v="Premium"/>
    <n v="27479"/>
    <n v="3.57"/>
    <n v="2741728491.3899999"/>
  </r>
  <r>
    <x v="5"/>
    <s v="Niro EV"/>
    <x v="4"/>
    <x v="1"/>
    <n v="81763.199999999997"/>
    <n v="89.6"/>
    <n v="319"/>
    <n v="188"/>
    <s v="Coupe"/>
    <n v="4"/>
    <s v="Premium"/>
    <n v="93663"/>
    <n v="3.44"/>
    <n v="7658186601.5999994"/>
  </r>
  <r>
    <x v="3"/>
    <s v="Max"/>
    <x v="4"/>
    <x v="3"/>
    <n v="70846.850000000006"/>
    <n v="56.4"/>
    <n v="200"/>
    <n v="161"/>
    <s v="Van"/>
    <n v="4"/>
    <s v="Premium"/>
    <n v="234001"/>
    <n v="3.55"/>
    <n v="16578233746.850002"/>
  </r>
  <r>
    <x v="7"/>
    <s v="ID.3"/>
    <x v="4"/>
    <x v="0"/>
    <n v="47038.76"/>
    <n v="86.5"/>
    <n v="330"/>
    <n v="194"/>
    <s v="Truck"/>
    <n v="5"/>
    <s v="Mid-range"/>
    <n v="270498"/>
    <n v="3.37"/>
    <n v="12723890502.480001"/>
  </r>
  <r>
    <x v="7"/>
    <s v="ID.4"/>
    <x v="4"/>
    <x v="1"/>
    <n v="111511.26"/>
    <n v="74.099999999999994"/>
    <n v="241"/>
    <n v="189"/>
    <s v="Truck"/>
    <n v="5"/>
    <s v="Luxury"/>
    <n v="230069"/>
    <n v="3.24"/>
    <n v="25655284076.939999"/>
  </r>
  <r>
    <x v="2"/>
    <s v="Model S"/>
    <x v="4"/>
    <x v="1"/>
    <n v="77897.86"/>
    <n v="71.2"/>
    <n v="254"/>
    <n v="186"/>
    <s v="Sedan"/>
    <n v="4"/>
    <s v="Premium"/>
    <n v="153891"/>
    <n v="3.65"/>
    <n v="11987779573.26"/>
  </r>
  <r>
    <x v="16"/>
    <s v="SU7"/>
    <x v="4"/>
    <x v="1"/>
    <n v="115672.77"/>
    <n v="85.2"/>
    <n v="304"/>
    <n v="194"/>
    <s v="SUV"/>
    <n v="3"/>
    <s v="Luxury"/>
    <n v="8357"/>
    <n v="3.71"/>
    <n v="966677338.88999999"/>
  </r>
  <r>
    <x v="6"/>
    <s v="Kona Electric"/>
    <x v="4"/>
    <x v="1"/>
    <n v="43667.25"/>
    <n v="83.3"/>
    <n v="299"/>
    <n v="198"/>
    <s v="Van"/>
    <n v="4"/>
    <s v="Mid-range"/>
    <n v="71109"/>
    <n v="3.49"/>
    <n v="3105134480.25"/>
  </r>
  <r>
    <x v="12"/>
    <s v="Blazer EV"/>
    <x v="4"/>
    <x v="2"/>
    <n v="58716.57"/>
    <n v="83.6"/>
    <n v="313"/>
    <n v="153"/>
    <s v="Sedan"/>
    <n v="5"/>
    <s v="Mid-range"/>
    <n v="22110"/>
    <n v="3.62"/>
    <n v="1298223362.7"/>
  </r>
  <r>
    <x v="3"/>
    <s v="Qin"/>
    <x v="4"/>
    <x v="2"/>
    <n v="17777.32"/>
    <n v="78"/>
    <n v="280"/>
    <n v="142"/>
    <s v="Hatchback"/>
    <n v="4"/>
    <s v="Budget"/>
    <n v="212740"/>
    <n v="3.54"/>
    <n v="3781947056.7999997"/>
  </r>
  <r>
    <x v="2"/>
    <s v="Model X"/>
    <x v="4"/>
    <x v="1"/>
    <n v="90519.74"/>
    <n v="119.4"/>
    <n v="405"/>
    <n v="200"/>
    <s v="Coupe"/>
    <n v="4"/>
    <s v="Premium"/>
    <n v="189429"/>
    <n v="4.03"/>
    <n v="17147063828.460001"/>
  </r>
  <r>
    <x v="13"/>
    <s v="EQC"/>
    <x v="4"/>
    <x v="1"/>
    <n v="87690.32"/>
    <n v="88.6"/>
    <n v="321"/>
    <n v="200"/>
    <s v="Hatchback"/>
    <n v="4"/>
    <s v="Premium"/>
    <n v="36911"/>
    <n v="3.99"/>
    <n v="3236737401.5200005"/>
  </r>
  <r>
    <x v="3"/>
    <s v="Dolphin"/>
    <x v="4"/>
    <x v="1"/>
    <n v="108909.03"/>
    <n v="86"/>
    <n v="283"/>
    <n v="188"/>
    <s v="Truck"/>
    <n v="3"/>
    <s v="Luxury"/>
    <n v="136507"/>
    <n v="3.47"/>
    <n v="14866844958.209999"/>
  </r>
  <r>
    <x v="2"/>
    <s v="Model S"/>
    <x v="4"/>
    <x v="0"/>
    <n v="75201.320000000007"/>
    <n v="102.8"/>
    <n v="370"/>
    <n v="185"/>
    <s v="Truck"/>
    <n v="5"/>
    <s v="Premium"/>
    <n v="105880"/>
    <n v="4.1100000000000003"/>
    <n v="7962315761.6000004"/>
  </r>
  <r>
    <x v="8"/>
    <s v="F-150 Lightning"/>
    <x v="4"/>
    <x v="3"/>
    <n v="60849.51"/>
    <n v="82.5"/>
    <n v="274"/>
    <n v="131"/>
    <s v="Truck"/>
    <n v="4"/>
    <s v="Mid-range"/>
    <n v="58206"/>
    <n v="3.54"/>
    <n v="3541806579.0599999"/>
  </r>
  <r>
    <x v="2"/>
    <s v="Cybertruck"/>
    <x v="4"/>
    <x v="0"/>
    <n v="131729.26"/>
    <n v="84.6"/>
    <n v="307"/>
    <n v="187"/>
    <s v="Truck"/>
    <n v="4"/>
    <s v="Luxury"/>
    <n v="162108"/>
    <n v="3.56"/>
    <n v="21354366880.080002"/>
  </r>
  <r>
    <x v="2"/>
    <s v="Model 3"/>
    <x v="4"/>
    <x v="3"/>
    <n v="106609.89"/>
    <n v="75.599999999999994"/>
    <n v="299"/>
    <n v="151"/>
    <s v="Hatchback"/>
    <n v="5"/>
    <s v="Luxury"/>
    <n v="103912"/>
    <n v="3.73"/>
    <n v="11078046889.68"/>
  </r>
  <r>
    <x v="12"/>
    <s v="Equinox EV"/>
    <x v="4"/>
    <x v="0"/>
    <n v="55502.07"/>
    <n v="92.6"/>
    <n v="331"/>
    <n v="189"/>
    <s v="SUV"/>
    <n v="5"/>
    <s v="Mid-range"/>
    <n v="18580"/>
    <n v="3.71"/>
    <n v="1031228460.6"/>
  </r>
  <r>
    <x v="8"/>
    <s v="Mustang Mach-E"/>
    <x v="4"/>
    <x v="4"/>
    <n v="62057.63"/>
    <n v="57.6"/>
    <n v="207"/>
    <n v="150"/>
    <s v="Van"/>
    <n v="4"/>
    <s v="Mid-range"/>
    <n v="65997"/>
    <n v="3.42"/>
    <n v="4095617407.1099997"/>
  </r>
  <r>
    <x v="3"/>
    <s v="Qin"/>
    <x v="4"/>
    <x v="2"/>
    <n v="75732.88"/>
    <n v="69.3"/>
    <n v="249"/>
    <n v="161"/>
    <s v="Truck"/>
    <n v="5"/>
    <s v="Premium"/>
    <n v="228964"/>
    <n v="3.42"/>
    <n v="17340103136.32"/>
  </r>
  <r>
    <x v="7"/>
    <s v="ID. Buzz"/>
    <x v="4"/>
    <x v="4"/>
    <n v="74047.12"/>
    <n v="72.599999999999994"/>
    <n v="248"/>
    <n v="154"/>
    <s v="Coupe"/>
    <n v="5"/>
    <s v="Premium"/>
    <n v="290963"/>
    <n v="3.67"/>
    <n v="21544972176.559998"/>
  </r>
  <r>
    <x v="3"/>
    <s v="Atto 3"/>
    <x v="4"/>
    <x v="3"/>
    <n v="30843.09"/>
    <n v="49"/>
    <n v="171"/>
    <n v="151"/>
    <s v="Hatchback"/>
    <n v="4"/>
    <s v="Budget"/>
    <n v="206164"/>
    <n v="3"/>
    <n v="6358734806.7600002"/>
  </r>
  <r>
    <x v="7"/>
    <s v="ID. Buzz"/>
    <x v="4"/>
    <x v="0"/>
    <n v="70634.98"/>
    <n v="89.6"/>
    <n v="312"/>
    <n v="173"/>
    <s v="Hatchback"/>
    <n v="4"/>
    <s v="Premium"/>
    <n v="289608"/>
    <n v="3.58"/>
    <n v="20456455287.84"/>
  </r>
  <r>
    <x v="0"/>
    <s v="bZ4X"/>
    <x v="4"/>
    <x v="1"/>
    <n v="94209.78"/>
    <n v="108.8"/>
    <n v="381"/>
    <n v="200"/>
    <s v="Coupe"/>
    <n v="5"/>
    <s v="Premium"/>
    <n v="1723"/>
    <n v="3.95"/>
    <n v="162323450.94"/>
  </r>
  <r>
    <x v="4"/>
    <s v="e-tron GT"/>
    <x v="4"/>
    <x v="2"/>
    <n v="106732.12"/>
    <n v="80"/>
    <n v="268"/>
    <n v="142"/>
    <s v="Truck"/>
    <n v="5"/>
    <s v="Luxury"/>
    <n v="48443"/>
    <n v="3.48"/>
    <n v="5170424089.1599998"/>
  </r>
  <r>
    <x v="7"/>
    <s v="ID.3"/>
    <x v="4"/>
    <x v="2"/>
    <n v="38794.79"/>
    <n v="77.8"/>
    <n v="290"/>
    <n v="150"/>
    <s v="Coupe"/>
    <n v="5"/>
    <s v="Mid-range"/>
    <n v="216258"/>
    <n v="3.83"/>
    <n v="8389683695.8200006"/>
  </r>
  <r>
    <x v="2"/>
    <s v="Model Y"/>
    <x v="4"/>
    <x v="3"/>
    <n v="111996.5"/>
    <n v="50.5"/>
    <n v="190"/>
    <n v="165"/>
    <s v="Van"/>
    <n v="4"/>
    <s v="Luxury"/>
    <n v="445661"/>
    <n v="3.56"/>
    <n v="49912472186.5"/>
  </r>
  <r>
    <x v="3"/>
    <s v="Qin"/>
    <x v="4"/>
    <x v="3"/>
    <n v="46656.51"/>
    <n v="45.6"/>
    <n v="150"/>
    <n v="167"/>
    <s v="SUV"/>
    <n v="5"/>
    <s v="Mid-range"/>
    <n v="249607"/>
    <n v="3.33"/>
    <n v="11645791491.57"/>
  </r>
  <r>
    <x v="3"/>
    <s v="Atto 3"/>
    <x v="4"/>
    <x v="2"/>
    <n v="50360.89"/>
    <n v="69.3"/>
    <n v="238"/>
    <n v="139"/>
    <s v="Sedan"/>
    <n v="5"/>
    <s v="Mid-range"/>
    <n v="209468"/>
    <n v="3.18"/>
    <n v="10548994906.52"/>
  </r>
  <r>
    <x v="2"/>
    <s v="Model 3"/>
    <x v="4"/>
    <x v="4"/>
    <n v="152844.99"/>
    <n v="77.099999999999994"/>
    <n v="281"/>
    <n v="172"/>
    <s v="Truck"/>
    <n v="4"/>
    <s v="Luxury"/>
    <n v="153103"/>
    <n v="4.05"/>
    <n v="23401026503.969997"/>
  </r>
  <r>
    <x v="5"/>
    <s v="Picanto EV"/>
    <x v="4"/>
    <x v="0"/>
    <n v="57850.5"/>
    <n v="101.6"/>
    <n v="350"/>
    <n v="162"/>
    <s v="Coupe"/>
    <n v="5"/>
    <s v="Mid-range"/>
    <n v="125554"/>
    <n v="3.47"/>
    <n v="7263361677"/>
  </r>
  <r>
    <x v="3"/>
    <s v="Max"/>
    <x v="4"/>
    <x v="2"/>
    <n v="70890.539999999994"/>
    <n v="64.5"/>
    <n v="242"/>
    <n v="138"/>
    <s v="Truck"/>
    <n v="5"/>
    <s v="Premium"/>
    <n v="119629"/>
    <n v="3.38"/>
    <n v="8480564409.6599989"/>
  </r>
  <r>
    <x v="5"/>
    <s v="Picanto EV"/>
    <x v="4"/>
    <x v="1"/>
    <n v="105759.07"/>
    <n v="79.7"/>
    <n v="278"/>
    <n v="200"/>
    <s v="Hatchback"/>
    <n v="3"/>
    <s v="Luxury"/>
    <n v="107830"/>
    <n v="3.56"/>
    <n v="11404000518.1"/>
  </r>
  <r>
    <x v="2"/>
    <s v="Cybertruck"/>
    <x v="4"/>
    <x v="3"/>
    <n v="107897.62"/>
    <n v="47.5"/>
    <n v="178"/>
    <n v="160"/>
    <s v="Truck"/>
    <n v="5"/>
    <s v="Luxury"/>
    <n v="188033"/>
    <n v="3.43"/>
    <n v="20288313181.459999"/>
  </r>
  <r>
    <x v="4"/>
    <s v="e-tron GT"/>
    <x v="4"/>
    <x v="2"/>
    <n v="65798.710000000006"/>
    <n v="76.8"/>
    <n v="250"/>
    <n v="160"/>
    <s v="Truck"/>
    <n v="4"/>
    <s v="Premium"/>
    <n v="52856"/>
    <n v="3.77"/>
    <n v="3477856615.7600002"/>
  </r>
  <r>
    <x v="5"/>
    <s v="Picanto EV"/>
    <x v="4"/>
    <x v="2"/>
    <n v="57643.94"/>
    <n v="54.7"/>
    <n v="170"/>
    <n v="150"/>
    <s v="Sedan"/>
    <n v="5"/>
    <s v="Mid-range"/>
    <n v="149672"/>
    <n v="3.38"/>
    <n v="8627683787.6800003"/>
  </r>
  <r>
    <x v="2"/>
    <s v="Cybertruck"/>
    <x v="4"/>
    <x v="2"/>
    <n v="49296.66"/>
    <n v="41.7"/>
    <n v="153"/>
    <n v="134"/>
    <s v="Truck"/>
    <n v="5"/>
    <s v="Mid-range"/>
    <n v="241001"/>
    <n v="3.74"/>
    <n v="11880544356.660002"/>
  </r>
  <r>
    <x v="11"/>
    <s v="R1S"/>
    <x v="4"/>
    <x v="1"/>
    <n v="118076.47"/>
    <n v="74"/>
    <n v="249"/>
    <n v="194"/>
    <s v="Hatchback"/>
    <n v="5"/>
    <s v="Luxury"/>
    <n v="656"/>
    <n v="3.53"/>
    <n v="77458164.320000008"/>
  </r>
  <r>
    <x v="2"/>
    <s v="Model Y"/>
    <x v="4"/>
    <x v="1"/>
    <n v="141348.91"/>
    <n v="115.7"/>
    <n v="409"/>
    <n v="200"/>
    <s v="Coupe"/>
    <n v="4"/>
    <s v="Luxury"/>
    <n v="490678"/>
    <n v="4.51"/>
    <n v="69356800460.979996"/>
  </r>
  <r>
    <x v="7"/>
    <s v="ID. Aero"/>
    <x v="4"/>
    <x v="2"/>
    <n v="29413.61"/>
    <n v="69.3"/>
    <n v="264"/>
    <n v="131"/>
    <s v="SUV"/>
    <n v="5"/>
    <s v="Budget"/>
    <n v="268683"/>
    <n v="3.64"/>
    <n v="7902936975.6300001"/>
  </r>
  <r>
    <x v="7"/>
    <s v="ID.5"/>
    <x v="4"/>
    <x v="1"/>
    <n v="106703.67"/>
    <n v="90.5"/>
    <n v="330"/>
    <n v="192"/>
    <s v="Van"/>
    <n v="5"/>
    <s v="Luxury"/>
    <n v="282713"/>
    <n v="3.53"/>
    <n v="30166514656.709999"/>
  </r>
  <r>
    <x v="3"/>
    <s v="Yuan Plus"/>
    <x v="4"/>
    <x v="2"/>
    <n v="31743.27"/>
    <n v="82.5"/>
    <n v="285"/>
    <n v="166"/>
    <s v="SUV"/>
    <n v="4"/>
    <s v="Budget"/>
    <n v="226541"/>
    <n v="3.63"/>
    <n v="7191152129.0699997"/>
  </r>
  <r>
    <x v="3"/>
    <s v="Atto 3"/>
    <x v="4"/>
    <x v="1"/>
    <n v="53801.14"/>
    <n v="101.6"/>
    <n v="365"/>
    <n v="200"/>
    <s v="Van"/>
    <n v="5"/>
    <s v="Mid-range"/>
    <n v="168996"/>
    <n v="3.7"/>
    <n v="9092177455.4400005"/>
  </r>
  <r>
    <x v="2"/>
    <s v="Model S"/>
    <x v="4"/>
    <x v="3"/>
    <n v="122807.61"/>
    <n v="51"/>
    <n v="203"/>
    <n v="177"/>
    <s v="Van"/>
    <n v="4"/>
    <s v="Luxury"/>
    <n v="162784"/>
    <n v="3.67"/>
    <n v="19991113986.240002"/>
  </r>
  <r>
    <x v="6"/>
    <s v="Kona Electric"/>
    <x v="4"/>
    <x v="3"/>
    <n v="53616.49"/>
    <n v="57.8"/>
    <n v="161"/>
    <n v="147"/>
    <s v="Coupe"/>
    <n v="5"/>
    <s v="Mid-range"/>
    <n v="78661"/>
    <n v="3.39"/>
    <n v="4217526719.8899999"/>
  </r>
  <r>
    <x v="12"/>
    <s v="Bolt EV"/>
    <x v="4"/>
    <x v="1"/>
    <n v="43772.41"/>
    <n v="113.5"/>
    <n v="369"/>
    <n v="192"/>
    <s v="SUV"/>
    <n v="4"/>
    <s v="Mid-range"/>
    <n v="13494"/>
    <n v="3.81"/>
    <n v="590664900.54000008"/>
  </r>
  <r>
    <x v="2"/>
    <s v="Model Y"/>
    <x v="4"/>
    <x v="3"/>
    <n v="118291.58"/>
    <n v="82.5"/>
    <n v="290"/>
    <n v="157"/>
    <s v="Truck"/>
    <n v="5"/>
    <s v="Luxury"/>
    <n v="419454"/>
    <n v="3.57"/>
    <n v="49617876397.32"/>
  </r>
  <r>
    <x v="13"/>
    <s v="EQC"/>
    <x v="4"/>
    <x v="4"/>
    <n v="167460.91"/>
    <n v="69.900000000000006"/>
    <n v="243"/>
    <n v="175"/>
    <s v="Hatchback"/>
    <n v="4"/>
    <s v="Luxury"/>
    <n v="50533"/>
    <n v="3.71"/>
    <n v="8462302165.0299997"/>
  </r>
  <r>
    <x v="9"/>
    <s v="i7"/>
    <x v="4"/>
    <x v="2"/>
    <n v="58695"/>
    <n v="50"/>
    <n v="177"/>
    <n v="155"/>
    <s v="Coupe"/>
    <n v="4"/>
    <s v="Mid-range"/>
    <n v="59887"/>
    <n v="3.39"/>
    <n v="3515067465"/>
  </r>
  <r>
    <x v="13"/>
    <s v="EQS"/>
    <x v="4"/>
    <x v="1"/>
    <n v="183949.91"/>
    <n v="87"/>
    <n v="328"/>
    <n v="200"/>
    <s v="Coupe"/>
    <n v="5"/>
    <s v="Luxury"/>
    <n v="78765"/>
    <n v="4.0599999999999996"/>
    <n v="14488814661.15"/>
  </r>
  <r>
    <x v="6"/>
    <s v="Ioniq 5"/>
    <x v="4"/>
    <x v="3"/>
    <n v="37623.67"/>
    <n v="63.5"/>
    <n v="214"/>
    <n v="165"/>
    <s v="Van"/>
    <n v="4"/>
    <s v="Mid-range"/>
    <n v="76324"/>
    <n v="3.31"/>
    <n v="2871588989.0799999"/>
  </r>
  <r>
    <x v="14"/>
    <s v="EL8"/>
    <x v="4"/>
    <x v="4"/>
    <n v="68322.210000000006"/>
    <n v="64.5"/>
    <n v="203"/>
    <n v="143"/>
    <s v="Coupe"/>
    <n v="5"/>
    <s v="Premium"/>
    <n v="2458"/>
    <n v="3.46"/>
    <n v="167935992.18000001"/>
  </r>
  <r>
    <x v="2"/>
    <s v="Model Y"/>
    <x v="4"/>
    <x v="4"/>
    <n v="91805.32"/>
    <n v="52.7"/>
    <n v="197"/>
    <n v="156"/>
    <s v="Hatchback"/>
    <n v="4"/>
    <s v="Premium"/>
    <n v="462587"/>
    <n v="3.48"/>
    <n v="42467947562.840004"/>
  </r>
  <r>
    <x v="12"/>
    <s v="Bolt EV"/>
    <x v="4"/>
    <x v="2"/>
    <n v="34244.160000000003"/>
    <n v="59.5"/>
    <n v="214"/>
    <n v="163"/>
    <s v="SUV"/>
    <n v="5"/>
    <s v="Budget"/>
    <n v="29653"/>
    <n v="3.5"/>
    <n v="1015442076.4800001"/>
  </r>
  <r>
    <x v="5"/>
    <s v="EV9"/>
    <x v="4"/>
    <x v="3"/>
    <n v="67166.429999999993"/>
    <n v="71.5"/>
    <n v="240"/>
    <n v="135"/>
    <s v="SUV"/>
    <n v="4"/>
    <s v="Premium"/>
    <n v="69022"/>
    <n v="3.56"/>
    <n v="4635961331.4599991"/>
  </r>
  <r>
    <x v="11"/>
    <s v="R1S"/>
    <x v="4"/>
    <x v="2"/>
    <n v="73774.27"/>
    <n v="67.400000000000006"/>
    <n v="263"/>
    <n v="148"/>
    <s v="Truck"/>
    <n v="5"/>
    <s v="Premium"/>
    <n v="22100"/>
    <n v="3.49"/>
    <n v="1630411367"/>
  </r>
  <r>
    <x v="2"/>
    <s v="Model Y"/>
    <x v="4"/>
    <x v="0"/>
    <n v="98420.53"/>
    <n v="75.3"/>
    <n v="267"/>
    <n v="165"/>
    <s v="Hatchback"/>
    <n v="5"/>
    <s v="Premium"/>
    <n v="459091"/>
    <n v="3.73"/>
    <n v="45183979538.229996"/>
  </r>
  <r>
    <x v="12"/>
    <s v="Silverado EV"/>
    <x v="4"/>
    <x v="3"/>
    <n v="42545.39"/>
    <n v="40"/>
    <n v="150"/>
    <n v="171"/>
    <s v="Sedan"/>
    <n v="3"/>
    <s v="Mid-range"/>
    <n v="11545"/>
    <n v="3.42"/>
    <n v="491186527.55000001"/>
  </r>
  <r>
    <x v="11"/>
    <s v="R1S"/>
    <x v="4"/>
    <x v="3"/>
    <n v="86119.94"/>
    <n v="52.4"/>
    <n v="172"/>
    <n v="170"/>
    <s v="Van"/>
    <n v="4"/>
    <s v="Premium"/>
    <n v="1755"/>
    <n v="3.19"/>
    <n v="151140494.70000002"/>
  </r>
  <r>
    <x v="1"/>
    <s v="Ronin"/>
    <x v="4"/>
    <x v="1"/>
    <n v="77587.25"/>
    <n v="78.3"/>
    <n v="296"/>
    <n v="198"/>
    <s v="Sedan"/>
    <n v="4"/>
    <s v="Premium"/>
    <n v="24352"/>
    <n v="3.46"/>
    <n v="1889404712"/>
  </r>
  <r>
    <x v="2"/>
    <s v="Cybertruck"/>
    <x v="4"/>
    <x v="4"/>
    <n v="49738.35"/>
    <n v="47"/>
    <n v="150"/>
    <n v="165"/>
    <s v="Truck"/>
    <n v="5"/>
    <s v="Mid-range"/>
    <n v="179970"/>
    <n v="3.63"/>
    <n v="8951410849.5"/>
  </r>
  <r>
    <x v="2"/>
    <s v="Model 3"/>
    <x v="4"/>
    <x v="0"/>
    <n v="148635.93"/>
    <n v="103.2"/>
    <n v="360"/>
    <n v="165"/>
    <s v="Van"/>
    <n v="3"/>
    <s v="Luxury"/>
    <n v="108335"/>
    <n v="3.96"/>
    <n v="16102473476.549999"/>
  </r>
  <r>
    <x v="3"/>
    <s v="Max"/>
    <x v="4"/>
    <x v="4"/>
    <n v="113232.12"/>
    <n v="50"/>
    <n v="173"/>
    <n v="154"/>
    <s v="Coupe"/>
    <n v="4"/>
    <s v="Luxury"/>
    <n v="184045"/>
    <n v="3.17"/>
    <n v="20839805525.399998"/>
  </r>
  <r>
    <x v="5"/>
    <s v="Niro EV"/>
    <x v="4"/>
    <x v="0"/>
    <n v="40789.370000000003"/>
    <n v="85.6"/>
    <n v="279"/>
    <n v="165"/>
    <s v="Coupe"/>
    <n v="5"/>
    <s v="Mid-range"/>
    <n v="63756"/>
    <n v="3.57"/>
    <n v="2600567073.7200003"/>
  </r>
  <r>
    <x v="16"/>
    <s v="SU7"/>
    <x v="4"/>
    <x v="0"/>
    <n v="95394.53"/>
    <n v="76.400000000000006"/>
    <n v="243"/>
    <n v="168"/>
    <s v="SUV"/>
    <n v="5"/>
    <s v="Premium"/>
    <n v="8671"/>
    <n v="3.55"/>
    <n v="827165969.63"/>
  </r>
  <r>
    <x v="3"/>
    <s v="Seagull"/>
    <x v="4"/>
    <x v="2"/>
    <n v="16613.009999999998"/>
    <n v="55.9"/>
    <n v="237"/>
    <n v="169"/>
    <s v="Sedan"/>
    <n v="3"/>
    <s v="Budget"/>
    <n v="205452"/>
    <n v="3.37"/>
    <n v="3413176130.5199995"/>
  </r>
  <r>
    <x v="4"/>
    <s v="e-tron GT"/>
    <x v="4"/>
    <x v="2"/>
    <n v="86243.23"/>
    <n v="60.4"/>
    <n v="208"/>
    <n v="169"/>
    <s v="Sedan"/>
    <n v="4"/>
    <s v="Premium"/>
    <n v="24433"/>
    <n v="3.51"/>
    <n v="2107180838.5899999"/>
  </r>
  <r>
    <x v="7"/>
    <s v="ID.4"/>
    <x v="4"/>
    <x v="0"/>
    <n v="67671.59"/>
    <n v="106.9"/>
    <n v="369"/>
    <n v="166"/>
    <s v="SUV"/>
    <n v="4"/>
    <s v="Premium"/>
    <n v="268234"/>
    <n v="3.88"/>
    <n v="18151821272.059998"/>
  </r>
  <r>
    <x v="3"/>
    <s v="Atto 3"/>
    <x v="4"/>
    <x v="0"/>
    <n v="71451.87"/>
    <n v="76.8"/>
    <n v="260"/>
    <n v="166"/>
    <s v="Van"/>
    <n v="5"/>
    <s v="Premium"/>
    <n v="111875"/>
    <n v="3.51"/>
    <n v="7993677956.249999"/>
  </r>
  <r>
    <x v="2"/>
    <s v="Model Y"/>
    <x v="4"/>
    <x v="0"/>
    <n v="114549.61"/>
    <n v="101"/>
    <n v="338"/>
    <n v="178"/>
    <s v="Coupe"/>
    <n v="5"/>
    <s v="Luxury"/>
    <n v="473485"/>
    <n v="4.07"/>
    <n v="54237522090.849998"/>
  </r>
  <r>
    <x v="15"/>
    <s v="Taycan"/>
    <x v="4"/>
    <x v="4"/>
    <n v="143428.04999999999"/>
    <n v="66.099999999999994"/>
    <n v="213"/>
    <n v="148"/>
    <s v="Coupe"/>
    <n v="4"/>
    <s v="Luxury"/>
    <n v="6555"/>
    <n v="3.83"/>
    <n v="940170867.74999988"/>
  </r>
  <r>
    <x v="0"/>
    <s v="bZ Compact SUV"/>
    <x v="4"/>
    <x v="0"/>
    <n v="85221.63"/>
    <n v="86.5"/>
    <n v="314"/>
    <n v="181"/>
    <s v="SUV"/>
    <n v="4"/>
    <s v="Premium"/>
    <n v="12454"/>
    <n v="3.6"/>
    <n v="1061350180.0200001"/>
  </r>
  <r>
    <x v="2"/>
    <s v="Model X"/>
    <x v="4"/>
    <x v="4"/>
    <n v="57311.05"/>
    <n v="46.2"/>
    <n v="178"/>
    <n v="148"/>
    <s v="Hatchback"/>
    <n v="5"/>
    <s v="Mid-range"/>
    <n v="103833"/>
    <n v="3.5"/>
    <n v="5950778254.6500006"/>
  </r>
  <r>
    <x v="9"/>
    <s v="i3"/>
    <x v="4"/>
    <x v="4"/>
    <n v="79371.520000000004"/>
    <n v="75.599999999999994"/>
    <n v="287"/>
    <n v="165"/>
    <s v="Hatchback"/>
    <n v="5"/>
    <s v="Premium"/>
    <n v="73538"/>
    <n v="3.37"/>
    <n v="5836822837.7600002"/>
  </r>
  <r>
    <x v="5"/>
    <s v="Picanto EV"/>
    <x v="4"/>
    <x v="1"/>
    <n v="42779.06"/>
    <n v="92.5"/>
    <n v="294"/>
    <n v="195"/>
    <s v="SUV"/>
    <n v="4"/>
    <s v="Mid-range"/>
    <n v="60355"/>
    <n v="3.59"/>
    <n v="2581930166.2999997"/>
  </r>
  <r>
    <x v="3"/>
    <s v="Atto 3"/>
    <x v="4"/>
    <x v="4"/>
    <n v="65610.45"/>
    <n v="55.7"/>
    <n v="208"/>
    <n v="130"/>
    <s v="Sedan"/>
    <n v="4"/>
    <s v="Premium"/>
    <n v="108967"/>
    <n v="3.37"/>
    <n v="7149373905.1499996"/>
  </r>
  <r>
    <x v="2"/>
    <s v="Cybertruck"/>
    <x v="4"/>
    <x v="0"/>
    <n v="71380.399999999994"/>
    <n v="86.4"/>
    <n v="314"/>
    <n v="179"/>
    <s v="Truck"/>
    <n v="5"/>
    <s v="Premium"/>
    <n v="213989"/>
    <n v="3.69"/>
    <n v="15274620415.599998"/>
  </r>
  <r>
    <x v="8"/>
    <s v="F-150 Lightning"/>
    <x v="4"/>
    <x v="4"/>
    <n v="79235.67"/>
    <n v="56.8"/>
    <n v="213"/>
    <n v="142"/>
    <s v="Truck"/>
    <n v="4"/>
    <s v="Premium"/>
    <n v="59746"/>
    <n v="3.32"/>
    <n v="4734014339.8199997"/>
  </r>
  <r>
    <x v="3"/>
    <s v="Max"/>
    <x v="4"/>
    <x v="4"/>
    <n v="88218.65"/>
    <n v="54.7"/>
    <n v="210"/>
    <n v="158"/>
    <s v="Coupe"/>
    <n v="4"/>
    <s v="Premium"/>
    <n v="227690"/>
    <n v="3.41"/>
    <n v="20086504418.5"/>
  </r>
  <r>
    <x v="4"/>
    <s v="e-tron GT"/>
    <x v="4"/>
    <x v="1"/>
    <n v="121871.7"/>
    <n v="86.2"/>
    <n v="305"/>
    <n v="200"/>
    <s v="Van"/>
    <n v="5"/>
    <s v="Luxury"/>
    <n v="31338"/>
    <n v="3.61"/>
    <n v="3819215334.5999999"/>
  </r>
  <r>
    <x v="5"/>
    <s v="Sportage EV"/>
    <x v="4"/>
    <x v="3"/>
    <n v="31797.34"/>
    <n v="45.6"/>
    <n v="150"/>
    <n v="145"/>
    <s v="SUV"/>
    <n v="4"/>
    <s v="Budget"/>
    <n v="131619"/>
    <n v="3.27"/>
    <n v="4185134093.46"/>
  </r>
  <r>
    <x v="4"/>
    <s v="e-tron"/>
    <x v="4"/>
    <x v="0"/>
    <n v="123736.19"/>
    <n v="81.7"/>
    <n v="310"/>
    <n v="174"/>
    <s v="Coupe"/>
    <n v="5"/>
    <s v="Luxury"/>
    <n v="45413"/>
    <n v="3.78"/>
    <n v="5619231596.4700003"/>
  </r>
  <r>
    <x v="8"/>
    <s v="Explorer EV"/>
    <x v="4"/>
    <x v="4"/>
    <n v="80541.59"/>
    <n v="73.3"/>
    <n v="280"/>
    <n v="141"/>
    <s v="Coupe"/>
    <n v="5"/>
    <s v="Premium"/>
    <n v="37698"/>
    <n v="3.44"/>
    <n v="3036256859.8199997"/>
  </r>
  <r>
    <x v="7"/>
    <s v="ID. Buzz"/>
    <x v="4"/>
    <x v="3"/>
    <n v="46173.34"/>
    <n v="51.5"/>
    <n v="190"/>
    <n v="148"/>
    <s v="Sedan"/>
    <n v="5"/>
    <s v="Mid-range"/>
    <n v="274696"/>
    <n v="3.4"/>
    <n v="12683631804.639999"/>
  </r>
  <r>
    <x v="2"/>
    <s v="Model Y"/>
    <x v="4"/>
    <x v="4"/>
    <n v="137035.03"/>
    <n v="58.5"/>
    <n v="224"/>
    <n v="151"/>
    <s v="Hatchback"/>
    <n v="4"/>
    <s v="Luxury"/>
    <n v="429314"/>
    <n v="3.65"/>
    <n v="58831056869.419998"/>
  </r>
  <r>
    <x v="9"/>
    <s v="i4"/>
    <x v="4"/>
    <x v="3"/>
    <n v="96459.23"/>
    <n v="81"/>
    <n v="288"/>
    <n v="121"/>
    <s v="Truck"/>
    <n v="4"/>
    <s v="Premium"/>
    <n v="64056"/>
    <n v="3.51"/>
    <n v="6178792436.8800001"/>
  </r>
  <r>
    <x v="6"/>
    <s v="Kona Electric"/>
    <x v="4"/>
    <x v="4"/>
    <n v="97251.62"/>
    <n v="60.7"/>
    <n v="196"/>
    <n v="148"/>
    <s v="SUV"/>
    <n v="5"/>
    <s v="Premium"/>
    <n v="59030"/>
    <n v="3.11"/>
    <n v="5740763128.5999994"/>
  </r>
  <r>
    <x v="6"/>
    <s v="i30"/>
    <x v="4"/>
    <x v="0"/>
    <n v="63320.42"/>
    <n v="102.7"/>
    <n v="353"/>
    <n v="160"/>
    <s v="Sedan"/>
    <n v="5"/>
    <s v="Mid-range"/>
    <n v="132537"/>
    <n v="3.75"/>
    <n v="8392298505.54"/>
  </r>
  <r>
    <x v="13"/>
    <s v="GLE EV"/>
    <x v="4"/>
    <x v="2"/>
    <n v="62600.82"/>
    <n v="55.9"/>
    <n v="179"/>
    <n v="145"/>
    <s v="Van"/>
    <n v="3"/>
    <s v="Mid-range"/>
    <n v="69358"/>
    <n v="3.66"/>
    <n v="4341867673.5600004"/>
  </r>
  <r>
    <x v="2"/>
    <s v="Model S"/>
    <x v="4"/>
    <x v="0"/>
    <n v="156702.49"/>
    <n v="102.8"/>
    <n v="353"/>
    <n v="157"/>
    <s v="Sedan"/>
    <n v="5"/>
    <s v="Luxury"/>
    <n v="132013"/>
    <n v="3.89"/>
    <n v="20686765812.369999"/>
  </r>
  <r>
    <x v="2"/>
    <s v="Cybertruck"/>
    <x v="4"/>
    <x v="3"/>
    <n v="101208.82"/>
    <n v="52.4"/>
    <n v="172"/>
    <n v="147"/>
    <s v="Truck"/>
    <n v="5"/>
    <s v="Luxury"/>
    <n v="248389"/>
    <n v="3.58"/>
    <n v="25139157590.980003"/>
  </r>
  <r>
    <x v="3"/>
    <s v="Dolphin"/>
    <x v="4"/>
    <x v="3"/>
    <n v="57387.97"/>
    <n v="47.9"/>
    <n v="180"/>
    <n v="164"/>
    <s v="Sedan"/>
    <n v="5"/>
    <s v="Mid-range"/>
    <n v="181198"/>
    <n v="3.34"/>
    <n v="10398585388.059999"/>
  </r>
  <r>
    <x v="5"/>
    <s v="EV6"/>
    <x v="4"/>
    <x v="2"/>
    <n v="72870.48"/>
    <n v="81.7"/>
    <n v="288"/>
    <n v="174"/>
    <s v="Truck"/>
    <n v="5"/>
    <s v="Premium"/>
    <n v="68801"/>
    <n v="3.48"/>
    <n v="5013561894.4799995"/>
  </r>
  <r>
    <x v="12"/>
    <s v="Bolt EUV"/>
    <x v="4"/>
    <x v="0"/>
    <n v="61730.85"/>
    <n v="78.599999999999994"/>
    <n v="279"/>
    <n v="183"/>
    <s v="Coupe"/>
    <n v="5"/>
    <s v="Mid-range"/>
    <n v="10777"/>
    <n v="3.75"/>
    <n v="665273370.44999993"/>
  </r>
  <r>
    <x v="2"/>
    <s v="Model 3"/>
    <x v="4"/>
    <x v="2"/>
    <n v="88042.89"/>
    <n v="46.2"/>
    <n v="164"/>
    <n v="138"/>
    <s v="Sedan"/>
    <n v="3"/>
    <s v="Premium"/>
    <n v="108761"/>
    <n v="3.42"/>
    <n v="9575632759.289999"/>
  </r>
  <r>
    <x v="1"/>
    <s v="Ronin"/>
    <x v="4"/>
    <x v="1"/>
    <n v="159067.16"/>
    <n v="109.7"/>
    <n v="402"/>
    <n v="178"/>
    <s v="Van"/>
    <n v="5"/>
    <s v="Luxury"/>
    <n v="23252"/>
    <n v="3.93"/>
    <n v="3698629604.3200002"/>
  </r>
  <r>
    <x v="1"/>
    <s v="Ocean"/>
    <x v="4"/>
    <x v="0"/>
    <n v="93018.72"/>
    <n v="83.7"/>
    <n v="313"/>
    <n v="182"/>
    <s v="Sedan"/>
    <n v="5"/>
    <s v="Premium"/>
    <n v="1655"/>
    <n v="3.46"/>
    <n v="153945981.59999999"/>
  </r>
  <r>
    <x v="7"/>
    <s v="ID.4"/>
    <x v="4"/>
    <x v="4"/>
    <n v="112817.29"/>
    <n v="66.099999999999994"/>
    <n v="213"/>
    <n v="142"/>
    <s v="Sedan"/>
    <n v="5"/>
    <s v="Luxury"/>
    <n v="244997"/>
    <n v="3.38"/>
    <n v="27639897598.129997"/>
  </r>
  <r>
    <x v="16"/>
    <s v="SU7"/>
    <x v="4"/>
    <x v="2"/>
    <n v="67624.72"/>
    <n v="50.5"/>
    <n v="190"/>
    <n v="168"/>
    <s v="Truck"/>
    <n v="5"/>
    <s v="Premium"/>
    <n v="26829"/>
    <n v="3.48"/>
    <n v="1814303612.8800001"/>
  </r>
  <r>
    <x v="7"/>
    <s v="ID.4"/>
    <x v="4"/>
    <x v="3"/>
    <n v="45198.239999999998"/>
    <n v="56.5"/>
    <n v="198"/>
    <n v="139"/>
    <s v="Truck"/>
    <n v="5"/>
    <s v="Mid-range"/>
    <n v="251931"/>
    <n v="3.32"/>
    <n v="11386837801.439999"/>
  </r>
  <r>
    <x v="12"/>
    <s v="Bolt EUV"/>
    <x v="4"/>
    <x v="3"/>
    <n v="57065.27"/>
    <n v="44.6"/>
    <n v="150"/>
    <n v="167"/>
    <s v="SUV"/>
    <n v="5"/>
    <s v="Mid-range"/>
    <n v="24368"/>
    <n v="3.41"/>
    <n v="1390566499.3599999"/>
  </r>
  <r>
    <x v="2"/>
    <s v="Model 3"/>
    <x v="4"/>
    <x v="1"/>
    <n v="171221.67"/>
    <n v="95.1"/>
    <n v="329"/>
    <n v="196"/>
    <s v="Van"/>
    <n v="5"/>
    <s v="Luxury"/>
    <n v="247330"/>
    <n v="3.88"/>
    <n v="42348255641.100006"/>
  </r>
  <r>
    <x v="9"/>
    <s v="i5"/>
    <x v="4"/>
    <x v="1"/>
    <n v="143876.35"/>
    <n v="81.7"/>
    <n v="261"/>
    <n v="197"/>
    <s v="Truck"/>
    <n v="3"/>
    <s v="Luxury"/>
    <n v="37253"/>
    <n v="3.67"/>
    <n v="5359825666.5500002"/>
  </r>
  <r>
    <x v="9"/>
    <s v="iX"/>
    <x v="4"/>
    <x v="2"/>
    <n v="62907.37"/>
    <n v="84"/>
    <n v="296"/>
    <n v="134"/>
    <s v="SUV"/>
    <n v="5"/>
    <s v="Mid-range"/>
    <n v="49240"/>
    <n v="3.56"/>
    <n v="3097558898.8000002"/>
  </r>
  <r>
    <x v="0"/>
    <s v="bZ Compact SUV"/>
    <x v="4"/>
    <x v="3"/>
    <n v="53125"/>
    <n v="63.6"/>
    <n v="233"/>
    <n v="151"/>
    <s v="SUV"/>
    <n v="4"/>
    <s v="Mid-range"/>
    <n v="19789"/>
    <n v="3.34"/>
    <n v="1051290625"/>
  </r>
  <r>
    <x v="10"/>
    <n v="3"/>
    <x v="4"/>
    <x v="3"/>
    <n v="76930.78"/>
    <n v="77.7"/>
    <n v="257"/>
    <n v="159"/>
    <s v="Truck"/>
    <n v="4"/>
    <s v="Premium"/>
    <n v="17188"/>
    <n v="3.48"/>
    <n v="1322286246.6399999"/>
  </r>
  <r>
    <x v="7"/>
    <s v="ID. Aero"/>
    <x v="4"/>
    <x v="1"/>
    <n v="115397.77"/>
    <n v="79.599999999999994"/>
    <n v="282"/>
    <n v="200"/>
    <s v="Sedan"/>
    <n v="4"/>
    <s v="Luxury"/>
    <n v="296594"/>
    <n v="3.51"/>
    <n v="34226286195.380001"/>
  </r>
  <r>
    <x v="11"/>
    <s v="R2"/>
    <x v="4"/>
    <x v="3"/>
    <n v="78385.679999999993"/>
    <n v="79.7"/>
    <n v="248"/>
    <n v="154"/>
    <s v="Hatchback"/>
    <n v="5"/>
    <s v="Premium"/>
    <n v="12601"/>
    <n v="3.59"/>
    <n v="987737953.67999995"/>
  </r>
  <r>
    <x v="8"/>
    <s v="E-Transit"/>
    <x v="4"/>
    <x v="0"/>
    <n v="84501.24"/>
    <n v="98.1"/>
    <n v="342"/>
    <n v="179"/>
    <s v="Coupe"/>
    <n v="5"/>
    <s v="Premium"/>
    <n v="72596"/>
    <n v="3.61"/>
    <n v="6134452019.04"/>
  </r>
  <r>
    <x v="9"/>
    <s v="i3"/>
    <x v="4"/>
    <x v="3"/>
    <n v="108424.86"/>
    <n v="43.9"/>
    <n v="164"/>
    <n v="143"/>
    <s v="SUV"/>
    <n v="5"/>
    <s v="Luxury"/>
    <n v="72604"/>
    <n v="3.14"/>
    <n v="7872078535.4399996"/>
  </r>
  <r>
    <x v="7"/>
    <s v="ID.5"/>
    <x v="4"/>
    <x v="4"/>
    <n v="43023.64"/>
    <n v="77.900000000000006"/>
    <n v="261"/>
    <n v="163"/>
    <s v="Truck"/>
    <n v="5"/>
    <s v="Mid-range"/>
    <n v="246474"/>
    <n v="3.55"/>
    <n v="10604208645.360001"/>
  </r>
  <r>
    <x v="2"/>
    <s v="Model X"/>
    <x v="4"/>
    <x v="4"/>
    <n v="157561.98000000001"/>
    <n v="49.5"/>
    <n v="189"/>
    <n v="134"/>
    <s v="SUV"/>
    <n v="4"/>
    <s v="Luxury"/>
    <n v="163095"/>
    <n v="3.57"/>
    <n v="25697571128.100002"/>
  </r>
  <r>
    <x v="6"/>
    <s v="Ioniq 5"/>
    <x v="4"/>
    <x v="1"/>
    <n v="61789.95"/>
    <n v="103.8"/>
    <n v="357"/>
    <n v="194"/>
    <s v="Sedan"/>
    <n v="5"/>
    <s v="Mid-range"/>
    <n v="110783"/>
    <n v="3.54"/>
    <n v="6845276030.8499994"/>
  </r>
  <r>
    <x v="2"/>
    <s v="Model 3"/>
    <x v="4"/>
    <x v="1"/>
    <n v="109834.54"/>
    <n v="79.900000000000006"/>
    <n v="262"/>
    <n v="195"/>
    <s v="Hatchback"/>
    <n v="3"/>
    <s v="Luxury"/>
    <n v="219324"/>
    <n v="3.91"/>
    <n v="24089350650.959999"/>
  </r>
  <r>
    <x v="2"/>
    <s v="Model Y"/>
    <x v="4"/>
    <x v="0"/>
    <n v="158710.22"/>
    <n v="93.6"/>
    <n v="300"/>
    <n v="182"/>
    <s v="Van"/>
    <n v="5"/>
    <s v="Luxury"/>
    <n v="416641"/>
    <n v="3.68"/>
    <n v="66125184771.020004"/>
  </r>
  <r>
    <x v="6"/>
    <s v="Ioniq 6"/>
    <x v="4"/>
    <x v="4"/>
    <n v="58686.32"/>
    <n v="81.599999999999994"/>
    <n v="285"/>
    <n v="161"/>
    <s v="Truck"/>
    <n v="5"/>
    <s v="Mid-range"/>
    <n v="66241"/>
    <n v="3.36"/>
    <n v="3887440523.1199999"/>
  </r>
  <r>
    <x v="5"/>
    <s v="EV9"/>
    <x v="4"/>
    <x v="1"/>
    <n v="50056.29"/>
    <n v="111.5"/>
    <n v="391"/>
    <n v="195"/>
    <s v="SUV"/>
    <n v="3"/>
    <s v="Mid-range"/>
    <n v="140441"/>
    <n v="3.97"/>
    <n v="7029955423.8900003"/>
  </r>
  <r>
    <x v="12"/>
    <s v="Equinox EV"/>
    <x v="4"/>
    <x v="0"/>
    <n v="58896.05"/>
    <n v="104.7"/>
    <n v="389"/>
    <n v="184"/>
    <s v="SUV"/>
    <n v="4"/>
    <s v="Mid-range"/>
    <n v="16859"/>
    <n v="3.94"/>
    <n v="992928506.95000005"/>
  </r>
  <r>
    <x v="13"/>
    <s v="EQG"/>
    <x v="4"/>
    <x v="0"/>
    <n v="113572.04"/>
    <n v="85.7"/>
    <n v="286"/>
    <n v="177"/>
    <s v="Van"/>
    <n v="4"/>
    <s v="Luxury"/>
    <n v="73690"/>
    <n v="3.79"/>
    <n v="8369123627.5999994"/>
  </r>
  <r>
    <x v="2"/>
    <s v="Model Y"/>
    <x v="4"/>
    <x v="4"/>
    <n v="168092.71"/>
    <n v="81.2"/>
    <n v="269"/>
    <n v="124"/>
    <s v="Coupe"/>
    <n v="3"/>
    <s v="Luxury"/>
    <n v="434155"/>
    <n v="3.8"/>
    <n v="72978290510.050003"/>
  </r>
  <r>
    <x v="2"/>
    <s v="Model Y"/>
    <x v="4"/>
    <x v="4"/>
    <n v="166324.35999999999"/>
    <n v="61.4"/>
    <n v="212"/>
    <n v="136"/>
    <s v="Truck"/>
    <n v="5"/>
    <s v="Luxury"/>
    <n v="466326"/>
    <n v="4.26"/>
    <n v="77561373501.360001"/>
  </r>
  <r>
    <x v="5"/>
    <s v="Picanto EV"/>
    <x v="4"/>
    <x v="2"/>
    <n v="71842.960000000006"/>
    <n v="77"/>
    <n v="291"/>
    <n v="170"/>
    <s v="Van"/>
    <n v="4"/>
    <s v="Premium"/>
    <n v="123890"/>
    <n v="3.66"/>
    <n v="8900624314.4000015"/>
  </r>
  <r>
    <x v="9"/>
    <s v="i5"/>
    <x v="4"/>
    <x v="0"/>
    <n v="117382.51"/>
    <n v="96.5"/>
    <n v="334"/>
    <n v="180"/>
    <s v="Coupe"/>
    <n v="4"/>
    <s v="Luxury"/>
    <n v="33138"/>
    <n v="3.49"/>
    <n v="3889821616.3799996"/>
  </r>
  <r>
    <x v="8"/>
    <s v="Mustang Mach-E"/>
    <x v="4"/>
    <x v="2"/>
    <n v="46219.97"/>
    <n v="70.900000000000006"/>
    <n v="239"/>
    <n v="123"/>
    <s v="Van"/>
    <n v="4"/>
    <s v="Mid-range"/>
    <n v="60684"/>
    <n v="3.43"/>
    <n v="2804812659.48"/>
  </r>
  <r>
    <x v="2"/>
    <s v="Model S"/>
    <x v="4"/>
    <x v="2"/>
    <n v="29639.14"/>
    <n v="52.4"/>
    <n v="164"/>
    <n v="171"/>
    <s v="SUV"/>
    <n v="4"/>
    <s v="Budget"/>
    <n v="195341"/>
    <n v="3.41"/>
    <n v="5789739246.7399998"/>
  </r>
  <r>
    <x v="12"/>
    <s v="Bolt EV"/>
    <x v="4"/>
    <x v="0"/>
    <n v="41353.279999999999"/>
    <n v="81.8"/>
    <n v="274"/>
    <n v="178"/>
    <s v="Truck"/>
    <n v="4"/>
    <s v="Mid-range"/>
    <n v="28209"/>
    <n v="3.6"/>
    <n v="1166534675.52"/>
  </r>
  <r>
    <x v="5"/>
    <s v="Niro EV"/>
    <x v="4"/>
    <x v="3"/>
    <n v="42318.559999999998"/>
    <n v="40.5"/>
    <n v="150"/>
    <n v="164"/>
    <s v="Van"/>
    <n v="5"/>
    <s v="Mid-range"/>
    <n v="90341"/>
    <n v="3.35"/>
    <n v="3823101028.9599996"/>
  </r>
  <r>
    <x v="2"/>
    <s v="Model Y"/>
    <x v="4"/>
    <x v="1"/>
    <n v="162214.07999999999"/>
    <n v="80.599999999999994"/>
    <n v="269"/>
    <n v="200"/>
    <s v="Hatchback"/>
    <n v="5"/>
    <s v="Luxury"/>
    <n v="443580"/>
    <n v="3.84"/>
    <n v="71954921606.399994"/>
  </r>
  <r>
    <x v="7"/>
    <s v="ID. Buzz"/>
    <x v="4"/>
    <x v="1"/>
    <n v="60928.37"/>
    <n v="119.9"/>
    <n v="406"/>
    <n v="200"/>
    <s v="Truck"/>
    <n v="5"/>
    <s v="Mid-range"/>
    <n v="257710"/>
    <n v="3.56"/>
    <n v="15701850232.700001"/>
  </r>
  <r>
    <x v="2"/>
    <s v="Model X"/>
    <x v="4"/>
    <x v="2"/>
    <n v="99143.24"/>
    <n v="56.5"/>
    <n v="200"/>
    <n v="142"/>
    <s v="Coupe"/>
    <n v="3"/>
    <s v="Premium"/>
    <n v="177987"/>
    <n v="3.6"/>
    <n v="17646207857.880001"/>
  </r>
  <r>
    <x v="12"/>
    <s v="Bolt EUV"/>
    <x v="4"/>
    <x v="0"/>
    <n v="54182.3"/>
    <n v="85.5"/>
    <n v="299"/>
    <n v="165"/>
    <s v="Truck"/>
    <n v="4"/>
    <s v="Mid-range"/>
    <n v="4380"/>
    <n v="3.46"/>
    <n v="237318474"/>
  </r>
  <r>
    <x v="19"/>
    <s v="Air"/>
    <x v="4"/>
    <x v="4"/>
    <n v="269775.2"/>
    <n v="76.3"/>
    <n v="276"/>
    <n v="163"/>
    <s v="Hatchback"/>
    <n v="4"/>
    <s v="Luxury"/>
    <n v="4056"/>
    <n v="3.28"/>
    <n v="1094208211.2"/>
  </r>
  <r>
    <x v="2"/>
    <s v="Model 3"/>
    <x v="4"/>
    <x v="4"/>
    <n v="111275.22"/>
    <n v="82.9"/>
    <n v="291"/>
    <n v="171"/>
    <s v="SUV"/>
    <n v="5"/>
    <s v="Luxury"/>
    <n v="172863"/>
    <n v="3.88"/>
    <n v="19235368354.860001"/>
  </r>
  <r>
    <x v="5"/>
    <s v="Picanto EV"/>
    <x v="4"/>
    <x v="3"/>
    <n v="32564.1"/>
    <n v="46.2"/>
    <n v="180"/>
    <n v="156"/>
    <s v="Hatchback"/>
    <n v="4"/>
    <s v="Budget"/>
    <n v="123543"/>
    <n v="3.02"/>
    <n v="4023066606.2999997"/>
  </r>
  <r>
    <x v="4"/>
    <s v="Q6 e-tron"/>
    <x v="4"/>
    <x v="2"/>
    <n v="51267.23"/>
    <n v="71.400000000000006"/>
    <n v="241"/>
    <n v="155"/>
    <s v="Sedan"/>
    <n v="4"/>
    <s v="Mid-range"/>
    <n v="64472"/>
    <n v="3.5"/>
    <n v="3305300852.5600004"/>
  </r>
  <r>
    <x v="3"/>
    <s v="Leaf 50X"/>
    <x v="4"/>
    <x v="0"/>
    <n v="75118.039999999994"/>
    <n v="88.3"/>
    <n v="325"/>
    <n v="189"/>
    <s v="Sedan"/>
    <n v="4"/>
    <s v="Premium"/>
    <n v="220772"/>
    <n v="3.68"/>
    <n v="16583959926.879999"/>
  </r>
  <r>
    <x v="9"/>
    <s v="iX"/>
    <x v="4"/>
    <x v="1"/>
    <n v="134617.67000000001"/>
    <n v="90.5"/>
    <n v="308"/>
    <n v="190"/>
    <s v="Coupe"/>
    <n v="5"/>
    <s v="Luxury"/>
    <n v="68965"/>
    <n v="3.76"/>
    <n v="9283907611.5500011"/>
  </r>
  <r>
    <x v="12"/>
    <s v="Bolt EV"/>
    <x v="4"/>
    <x v="0"/>
    <n v="55216.4"/>
    <n v="81.900000000000006"/>
    <n v="299"/>
    <n v="153"/>
    <s v="Coupe"/>
    <n v="5"/>
    <s v="Mid-range"/>
    <n v="805"/>
    <n v="3.76"/>
    <n v="44449202"/>
  </r>
  <r>
    <x v="4"/>
    <s v="e-tron"/>
    <x v="4"/>
    <x v="3"/>
    <n v="111572.71"/>
    <n v="71.599999999999994"/>
    <n v="265"/>
    <n v="144"/>
    <s v="Hatchback"/>
    <n v="5"/>
    <s v="Luxury"/>
    <n v="58813"/>
    <n v="3.28"/>
    <n v="6561925793.2300005"/>
  </r>
  <r>
    <x v="2"/>
    <s v="Model X"/>
    <x v="4"/>
    <x v="1"/>
    <n v="79743.44"/>
    <n v="90.1"/>
    <n v="322"/>
    <n v="182"/>
    <s v="SUV"/>
    <n v="5"/>
    <s v="Premium"/>
    <n v="136484"/>
    <n v="3.83"/>
    <n v="10883703664.960001"/>
  </r>
  <r>
    <x v="7"/>
    <s v="ID. Aero"/>
    <x v="4"/>
    <x v="2"/>
    <n v="52450.92"/>
    <n v="70.3"/>
    <n v="257"/>
    <n v="135"/>
    <s v="SUV"/>
    <n v="5"/>
    <s v="Mid-range"/>
    <n v="231690"/>
    <n v="3.59"/>
    <n v="12152353654.799999"/>
  </r>
  <r>
    <x v="6"/>
    <s v="i30"/>
    <x v="4"/>
    <x v="2"/>
    <n v="53836.77"/>
    <n v="69.5"/>
    <n v="265"/>
    <n v="135"/>
    <s v="Sedan"/>
    <n v="5"/>
    <s v="Mid-range"/>
    <n v="55119"/>
    <n v="3.5"/>
    <n v="2967428925.6299996"/>
  </r>
  <r>
    <x v="5"/>
    <s v="Picanto EV"/>
    <x v="4"/>
    <x v="2"/>
    <n v="34300.06"/>
    <n v="68.3"/>
    <n v="242"/>
    <n v="165"/>
    <s v="Van"/>
    <n v="4"/>
    <s v="Budget"/>
    <n v="143619"/>
    <n v="3.26"/>
    <n v="4926140317.1399994"/>
  </r>
  <r>
    <x v="2"/>
    <s v="Model 3"/>
    <x v="4"/>
    <x v="1"/>
    <n v="99778.09"/>
    <n v="102.4"/>
    <n v="352"/>
    <n v="200"/>
    <s v="Truck"/>
    <n v="4"/>
    <s v="Premium"/>
    <n v="186712"/>
    <n v="4.18"/>
    <n v="18629766740.079998"/>
  </r>
  <r>
    <x v="2"/>
    <s v="Cybertruck"/>
    <x v="4"/>
    <x v="1"/>
    <n v="106068.73"/>
    <n v="114.9"/>
    <n v="357"/>
    <n v="200"/>
    <s v="Truck"/>
    <n v="3"/>
    <s v="Luxury"/>
    <n v="156874"/>
    <n v="4.08"/>
    <n v="16639425950.019999"/>
  </r>
  <r>
    <x v="3"/>
    <s v="Atto 3"/>
    <x v="4"/>
    <x v="0"/>
    <n v="41904.83"/>
    <n v="88.3"/>
    <n v="325"/>
    <n v="168"/>
    <s v="Truck"/>
    <n v="3"/>
    <s v="Mid-range"/>
    <n v="239018"/>
    <n v="3.7"/>
    <n v="10016008656.940001"/>
  </r>
  <r>
    <x v="7"/>
    <s v="ID. Aero"/>
    <x v="4"/>
    <x v="4"/>
    <n v="40586.730000000003"/>
    <n v="45"/>
    <n v="173"/>
    <n v="159"/>
    <s v="Coupe"/>
    <n v="4"/>
    <s v="Mid-range"/>
    <n v="268842"/>
    <n v="3.31"/>
    <n v="10911417666.660002"/>
  </r>
  <r>
    <x v="8"/>
    <s v="Explorer EV"/>
    <x v="4"/>
    <x v="2"/>
    <n v="54161.53"/>
    <n v="80.099999999999994"/>
    <n v="289"/>
    <n v="137"/>
    <s v="Hatchback"/>
    <n v="4"/>
    <s v="Mid-range"/>
    <n v="26655"/>
    <n v="3.51"/>
    <n v="1443675582.1499999"/>
  </r>
  <r>
    <x v="7"/>
    <s v="ID. Aero"/>
    <x v="4"/>
    <x v="1"/>
    <n v="92355.03"/>
    <n v="70.8"/>
    <n v="243"/>
    <n v="193"/>
    <s v="Truck"/>
    <n v="4"/>
    <s v="Premium"/>
    <n v="216375"/>
    <n v="3.43"/>
    <n v="19983319616.25"/>
  </r>
  <r>
    <x v="6"/>
    <s v="Ioniq 6"/>
    <x v="4"/>
    <x v="1"/>
    <n v="97949.17"/>
    <n v="88.6"/>
    <n v="324"/>
    <n v="200"/>
    <s v="Hatchback"/>
    <n v="5"/>
    <s v="Premium"/>
    <n v="105426"/>
    <n v="3.83"/>
    <n v="10326389196.42"/>
  </r>
  <r>
    <x v="2"/>
    <s v="Cybertruck"/>
    <x v="4"/>
    <x v="4"/>
    <n v="112719.54"/>
    <n v="67.5"/>
    <n v="240"/>
    <n v="170"/>
    <s v="Truck"/>
    <n v="5"/>
    <s v="Luxury"/>
    <n v="138409"/>
    <n v="3.94"/>
    <n v="15601398811.859999"/>
  </r>
  <r>
    <x v="2"/>
    <s v="Cybertruck"/>
    <x v="4"/>
    <x v="2"/>
    <n v="112537.97"/>
    <n v="73.400000000000006"/>
    <n v="256"/>
    <n v="125"/>
    <s v="Truck"/>
    <n v="4"/>
    <s v="Luxury"/>
    <n v="200169"/>
    <n v="3.59"/>
    <n v="22526612916.93"/>
  </r>
  <r>
    <x v="0"/>
    <s v="bZ4X"/>
    <x v="4"/>
    <x v="3"/>
    <n v="65164.24"/>
    <n v="66"/>
    <n v="218"/>
    <n v="152"/>
    <s v="SUV"/>
    <n v="5"/>
    <s v="Premium"/>
    <n v="21633"/>
    <n v="3.39"/>
    <n v="1409698003.9199998"/>
  </r>
  <r>
    <x v="9"/>
    <s v="i4"/>
    <x v="4"/>
    <x v="2"/>
    <n v="47596.94"/>
    <n v="81.099999999999994"/>
    <n v="287"/>
    <n v="135"/>
    <s v="Sedan"/>
    <n v="5"/>
    <s v="Mid-range"/>
    <n v="22877"/>
    <n v="3.56"/>
    <n v="1088875196.3800001"/>
  </r>
  <r>
    <x v="2"/>
    <s v="Model Y"/>
    <x v="4"/>
    <x v="0"/>
    <n v="50416.800000000003"/>
    <n v="92.4"/>
    <n v="336"/>
    <n v="170"/>
    <s v="Sedan"/>
    <n v="4"/>
    <s v="Mid-range"/>
    <n v="444988"/>
    <n v="3.8"/>
    <n v="22434870998.400002"/>
  </r>
  <r>
    <x v="12"/>
    <s v="Bolt EUV"/>
    <x v="4"/>
    <x v="1"/>
    <n v="98117.57"/>
    <n v="90.3"/>
    <n v="335"/>
    <n v="195"/>
    <s v="Sedan"/>
    <n v="5"/>
    <s v="Premium"/>
    <n v="23127"/>
    <n v="3.63"/>
    <n v="2269165041.3900003"/>
  </r>
  <r>
    <x v="9"/>
    <s v="i5"/>
    <x v="4"/>
    <x v="3"/>
    <n v="91502.74"/>
    <n v="75.2"/>
    <n v="250"/>
    <n v="161"/>
    <s v="Coupe"/>
    <n v="5"/>
    <s v="Premium"/>
    <n v="64217"/>
    <n v="3.55"/>
    <n v="5876031454.5799999"/>
  </r>
  <r>
    <x v="5"/>
    <s v="Picanto EV"/>
    <x v="4"/>
    <x v="4"/>
    <n v="91917.06"/>
    <n v="68.900000000000006"/>
    <n v="237"/>
    <n v="166"/>
    <s v="Van"/>
    <n v="4"/>
    <s v="Premium"/>
    <n v="124978"/>
    <n v="3.57"/>
    <n v="11487610324.68"/>
  </r>
  <r>
    <x v="9"/>
    <s v="i5"/>
    <x v="4"/>
    <x v="1"/>
    <n v="131247.26"/>
    <n v="113.3"/>
    <n v="405"/>
    <n v="200"/>
    <s v="Truck"/>
    <n v="4"/>
    <s v="Luxury"/>
    <n v="65041"/>
    <n v="3.91"/>
    <n v="8536453037.6600008"/>
  </r>
  <r>
    <x v="2"/>
    <s v="Model X"/>
    <x v="4"/>
    <x v="4"/>
    <n v="46217.919999999998"/>
    <n v="55.9"/>
    <n v="205"/>
    <n v="151"/>
    <s v="Truck"/>
    <n v="4"/>
    <s v="Mid-range"/>
    <n v="108494"/>
    <n v="3.65"/>
    <n v="5014367012.4799995"/>
  </r>
  <r>
    <x v="13"/>
    <s v="EQE"/>
    <x v="4"/>
    <x v="4"/>
    <n v="146623.72"/>
    <n v="69.099999999999994"/>
    <n v="262"/>
    <n v="176"/>
    <s v="Coupe"/>
    <n v="4"/>
    <s v="Luxury"/>
    <n v="43244"/>
    <n v="3.61"/>
    <n v="6340596147.6800003"/>
  </r>
  <r>
    <x v="5"/>
    <s v="Picanto EV"/>
    <x v="4"/>
    <x v="2"/>
    <n v="26810.33"/>
    <n v="75.599999999999994"/>
    <n v="247"/>
    <n v="166"/>
    <s v="SUV"/>
    <n v="5"/>
    <s v="Budget"/>
    <n v="138862"/>
    <n v="3.48"/>
    <n v="3722936044.46"/>
  </r>
  <r>
    <x v="12"/>
    <s v="Blazer EV"/>
    <x v="4"/>
    <x v="4"/>
    <n v="45723.03"/>
    <n v="55"/>
    <n v="207"/>
    <n v="148"/>
    <s v="SUV"/>
    <n v="5"/>
    <s v="Mid-range"/>
    <n v="19610"/>
    <n v="3.43"/>
    <n v="896628618.29999995"/>
  </r>
  <r>
    <x v="8"/>
    <s v="F-150 Lightning"/>
    <x v="4"/>
    <x v="3"/>
    <n v="38587"/>
    <n v="78"/>
    <n v="278"/>
    <n v="145"/>
    <s v="Truck"/>
    <n v="5"/>
    <s v="Mid-range"/>
    <n v="66132"/>
    <n v="3.55"/>
    <n v="2551835484"/>
  </r>
  <r>
    <x v="8"/>
    <s v="Explorer EV"/>
    <x v="4"/>
    <x v="1"/>
    <n v="61417.24"/>
    <n v="107.1"/>
    <n v="370"/>
    <n v="189"/>
    <s v="Coupe"/>
    <n v="5"/>
    <s v="Mid-range"/>
    <n v="29374"/>
    <n v="3.68"/>
    <n v="1804070007.76"/>
  </r>
  <r>
    <x v="7"/>
    <s v="ID.4"/>
    <x v="4"/>
    <x v="1"/>
    <n v="80127.240000000005"/>
    <n v="106.2"/>
    <n v="352"/>
    <n v="193"/>
    <s v="SUV"/>
    <n v="5"/>
    <s v="Premium"/>
    <n v="267416"/>
    <n v="3.45"/>
    <n v="21427306011.84"/>
  </r>
  <r>
    <x v="12"/>
    <s v="Bolt EV"/>
    <x v="4"/>
    <x v="1"/>
    <n v="54375.97"/>
    <n v="88.9"/>
    <n v="299"/>
    <n v="200"/>
    <s v="Sedan"/>
    <n v="5"/>
    <s v="Mid-range"/>
    <n v="24792"/>
    <n v="3.55"/>
    <n v="1348089048.24"/>
  </r>
  <r>
    <x v="3"/>
    <s v="Seagull"/>
    <x v="4"/>
    <x v="0"/>
    <n v="51370.62"/>
    <n v="105.7"/>
    <n v="403"/>
    <n v="177"/>
    <s v="Coupe"/>
    <n v="5"/>
    <s v="Mid-range"/>
    <n v="177642"/>
    <n v="3.76"/>
    <n v="9125579678.0400009"/>
  </r>
  <r>
    <x v="9"/>
    <s v="iX"/>
    <x v="4"/>
    <x v="0"/>
    <n v="73854.83"/>
    <n v="96.9"/>
    <n v="322"/>
    <n v="181"/>
    <s v="Hatchback"/>
    <n v="5"/>
    <s v="Premium"/>
    <n v="33084"/>
    <n v="3.64"/>
    <n v="2443413195.7200003"/>
  </r>
  <r>
    <x v="6"/>
    <s v="Kona Electric"/>
    <x v="4"/>
    <x v="1"/>
    <n v="50241.81"/>
    <n v="101.5"/>
    <n v="340"/>
    <n v="193"/>
    <s v="SUV"/>
    <n v="5"/>
    <s v="Mid-range"/>
    <n v="106270"/>
    <n v="3.67"/>
    <n v="5339197148.6999998"/>
  </r>
  <r>
    <x v="6"/>
    <s v="Ioniq 6"/>
    <x v="4"/>
    <x v="1"/>
    <n v="106647.79"/>
    <n v="98.5"/>
    <n v="363"/>
    <n v="200"/>
    <s v="Coupe"/>
    <n v="5"/>
    <s v="Luxury"/>
    <n v="149654"/>
    <n v="3.94"/>
    <n v="15960268364.66"/>
  </r>
  <r>
    <x v="7"/>
    <s v="ID.4"/>
    <x v="4"/>
    <x v="0"/>
    <n v="69709.16"/>
    <n v="99.7"/>
    <n v="349"/>
    <n v="184"/>
    <s v="Truck"/>
    <n v="5"/>
    <s v="Premium"/>
    <n v="273314"/>
    <n v="3.79"/>
    <n v="19052489356.240002"/>
  </r>
  <r>
    <x v="11"/>
    <s v="R2"/>
    <x v="4"/>
    <x v="0"/>
    <n v="96777.2"/>
    <n v="98.9"/>
    <n v="341"/>
    <n v="179"/>
    <s v="Hatchback"/>
    <n v="5"/>
    <s v="Premium"/>
    <n v="20918"/>
    <n v="3.83"/>
    <n v="2024385469.5999999"/>
  </r>
  <r>
    <x v="2"/>
    <s v="Model 3"/>
    <x v="4"/>
    <x v="1"/>
    <n v="142117.21"/>
    <n v="102.9"/>
    <n v="353"/>
    <n v="184"/>
    <s v="SUV"/>
    <n v="5"/>
    <s v="Luxury"/>
    <n v="232616"/>
    <n v="3.85"/>
    <n v="33058736921.359997"/>
  </r>
  <r>
    <x v="14"/>
    <s v="EL8"/>
    <x v="4"/>
    <x v="0"/>
    <n v="119324.89"/>
    <n v="90.9"/>
    <n v="308"/>
    <n v="168"/>
    <s v="Truck"/>
    <n v="5"/>
    <s v="Luxury"/>
    <n v="11219"/>
    <n v="3.72"/>
    <n v="1338705940.9100001"/>
  </r>
  <r>
    <x v="3"/>
    <s v="Leaf 50X"/>
    <x v="4"/>
    <x v="2"/>
    <n v="45940.66"/>
    <n v="72.5"/>
    <n v="255"/>
    <n v="176"/>
    <s v="Truck"/>
    <n v="5"/>
    <s v="Mid-range"/>
    <n v="114800"/>
    <n v="3.48"/>
    <n v="5273987768"/>
  </r>
  <r>
    <x v="2"/>
    <s v="Model S"/>
    <x v="4"/>
    <x v="1"/>
    <n v="62920.59"/>
    <n v="91"/>
    <n v="352"/>
    <n v="184"/>
    <s v="Van"/>
    <n v="4"/>
    <s v="Mid-range"/>
    <n v="248485"/>
    <n v="4.42"/>
    <n v="15634822806.15"/>
  </r>
  <r>
    <x v="4"/>
    <s v="Q4 e-tron"/>
    <x v="4"/>
    <x v="4"/>
    <n v="130055.6"/>
    <n v="60.1"/>
    <n v="232"/>
    <n v="169"/>
    <s v="Sedan"/>
    <n v="4"/>
    <s v="Luxury"/>
    <n v="44054"/>
    <n v="3.23"/>
    <n v="5729469402.4000006"/>
  </r>
  <r>
    <x v="4"/>
    <s v="Q6 e-tron"/>
    <x v="4"/>
    <x v="3"/>
    <n v="55700.85"/>
    <n v="69.099999999999994"/>
    <n v="229"/>
    <n v="173"/>
    <s v="SUV"/>
    <n v="4"/>
    <s v="Mid-range"/>
    <n v="52734"/>
    <n v="3.21"/>
    <n v="2937328623.9000001"/>
  </r>
  <r>
    <x v="3"/>
    <s v="Dolphin"/>
    <x v="4"/>
    <x v="0"/>
    <n v="75079.649999999994"/>
    <n v="88.3"/>
    <n v="299"/>
    <n v="157"/>
    <s v="Sedan"/>
    <n v="3"/>
    <s v="Premium"/>
    <n v="149633"/>
    <n v="3.65"/>
    <n v="11234393268.449999"/>
  </r>
  <r>
    <x v="13"/>
    <s v="EQS"/>
    <x v="4"/>
    <x v="2"/>
    <n v="126359.58"/>
    <n v="40.6"/>
    <n v="150"/>
    <n v="135"/>
    <s v="Coupe"/>
    <n v="5"/>
    <s v="Luxury"/>
    <n v="31657"/>
    <n v="3.57"/>
    <n v="4000165224.0599999"/>
  </r>
  <r>
    <x v="9"/>
    <s v="i4"/>
    <x v="4"/>
    <x v="1"/>
    <n v="82827.92"/>
    <n v="98.2"/>
    <n v="348"/>
    <n v="195"/>
    <s v="Hatchback"/>
    <n v="4"/>
    <s v="Premium"/>
    <n v="59167"/>
    <n v="3.9"/>
    <n v="4900679542.6400003"/>
  </r>
  <r>
    <x v="7"/>
    <s v="ID.3"/>
    <x v="4"/>
    <x v="3"/>
    <n v="38832.160000000003"/>
    <n v="66.3"/>
    <n v="221"/>
    <n v="145"/>
    <s v="SUV"/>
    <n v="5"/>
    <s v="Mid-range"/>
    <n v="256517"/>
    <n v="3.43"/>
    <n v="9961109186.7200012"/>
  </r>
  <r>
    <x v="2"/>
    <s v="Cybertruck"/>
    <x v="4"/>
    <x v="3"/>
    <n v="125176.94"/>
    <n v="68.400000000000006"/>
    <n v="258"/>
    <n v="154"/>
    <s v="Truck"/>
    <n v="5"/>
    <s v="Luxury"/>
    <n v="162760"/>
    <n v="3.82"/>
    <n v="20373798754.400002"/>
  </r>
  <r>
    <x v="12"/>
    <s v="Blazer EV"/>
    <x v="4"/>
    <x v="0"/>
    <n v="46760.47"/>
    <n v="102.4"/>
    <n v="343"/>
    <n v="195"/>
    <s v="Coupe"/>
    <n v="4"/>
    <s v="Mid-range"/>
    <n v="22048"/>
    <n v="3.73"/>
    <n v="1030974842.5600001"/>
  </r>
  <r>
    <x v="13"/>
    <s v="GLE EV"/>
    <x v="4"/>
    <x v="4"/>
    <n v="134953.72"/>
    <n v="64.8"/>
    <n v="248"/>
    <n v="167"/>
    <s v="Van"/>
    <n v="5"/>
    <s v="Luxury"/>
    <n v="76804"/>
    <n v="3.93"/>
    <n v="10364985510.879999"/>
  </r>
  <r>
    <x v="5"/>
    <s v="Niro EV"/>
    <x v="4"/>
    <x v="0"/>
    <n v="56059.51"/>
    <n v="98"/>
    <n v="327"/>
    <n v="163"/>
    <s v="Coupe"/>
    <n v="5"/>
    <s v="Mid-range"/>
    <n v="117679"/>
    <n v="3.63"/>
    <n v="6597027077.29"/>
  </r>
  <r>
    <x v="6"/>
    <s v="Ioniq 5"/>
    <x v="4"/>
    <x v="3"/>
    <n v="60016.36"/>
    <n v="71"/>
    <n v="273"/>
    <n v="164"/>
    <s v="Coupe"/>
    <n v="5"/>
    <s v="Mid-range"/>
    <n v="80671"/>
    <n v="3.31"/>
    <n v="4841579777.5600004"/>
  </r>
  <r>
    <x v="15"/>
    <s v="Macan Electric"/>
    <x v="4"/>
    <x v="4"/>
    <n v="184202.43"/>
    <n v="79.3"/>
    <n v="290"/>
    <n v="154"/>
    <s v="Coupe"/>
    <n v="5"/>
    <s v="Luxury"/>
    <n v="14726"/>
    <n v="3.66"/>
    <n v="2712564984.1799998"/>
  </r>
  <r>
    <x v="7"/>
    <s v="ID.5"/>
    <x v="4"/>
    <x v="0"/>
    <n v="52456.57"/>
    <n v="106.8"/>
    <n v="377"/>
    <n v="177"/>
    <s v="SUV"/>
    <n v="4"/>
    <s v="Mid-range"/>
    <n v="214608"/>
    <n v="3.82"/>
    <n v="11257599574.559999"/>
  </r>
  <r>
    <x v="5"/>
    <s v="Niro EV"/>
    <x v="4"/>
    <x v="0"/>
    <n v="82833.740000000005"/>
    <n v="107.6"/>
    <n v="375"/>
    <n v="173"/>
    <s v="Truck"/>
    <n v="4"/>
    <s v="Premium"/>
    <n v="98307"/>
    <n v="3.67"/>
    <n v="8143136478.1800003"/>
  </r>
  <r>
    <x v="3"/>
    <s v="Dolphin"/>
    <x v="4"/>
    <x v="4"/>
    <n v="104505.82"/>
    <n v="41.7"/>
    <n v="159"/>
    <n v="153"/>
    <s v="Hatchback"/>
    <n v="5"/>
    <s v="Luxury"/>
    <n v="111020"/>
    <n v="3.1"/>
    <n v="11602236136.400002"/>
  </r>
  <r>
    <x v="3"/>
    <s v="Dolphin"/>
    <x v="4"/>
    <x v="0"/>
    <n v="51538.03"/>
    <n v="99.3"/>
    <n v="365"/>
    <n v="175"/>
    <s v="SUV"/>
    <n v="5"/>
    <s v="Mid-range"/>
    <n v="188274"/>
    <n v="3.73"/>
    <n v="9703271060.2199993"/>
  </r>
  <r>
    <x v="3"/>
    <s v="Atto 3"/>
    <x v="4"/>
    <x v="2"/>
    <n v="19083.54"/>
    <n v="44.4"/>
    <n v="151"/>
    <n v="141"/>
    <s v="Truck"/>
    <n v="4"/>
    <s v="Budget"/>
    <n v="216310"/>
    <n v="3.28"/>
    <n v="4127960537.4000001"/>
  </r>
  <r>
    <x v="2"/>
    <s v="Model Y"/>
    <x v="4"/>
    <x v="1"/>
    <n v="37255.18"/>
    <n v="113.7"/>
    <n v="383"/>
    <n v="200"/>
    <s v="SUV"/>
    <n v="5"/>
    <s v="Mid-range"/>
    <n v="451073"/>
    <n v="4.2300000000000004"/>
    <n v="16804805808.139999"/>
  </r>
  <r>
    <x v="3"/>
    <s v="Seagull"/>
    <x v="4"/>
    <x v="4"/>
    <n v="51226.67"/>
    <n v="79.599999999999994"/>
    <n v="271"/>
    <n v="167"/>
    <s v="Sedan"/>
    <n v="5"/>
    <s v="Mid-range"/>
    <n v="143773"/>
    <n v="3.5"/>
    <n v="7365012025.9099998"/>
  </r>
  <r>
    <x v="9"/>
    <s v="i5"/>
    <x v="4"/>
    <x v="3"/>
    <n v="70389.460000000006"/>
    <n v="59.8"/>
    <n v="217"/>
    <n v="142"/>
    <s v="Coupe"/>
    <n v="5"/>
    <s v="Premium"/>
    <n v="76685"/>
    <n v="3.38"/>
    <n v="5397815740.1000004"/>
  </r>
  <r>
    <x v="5"/>
    <s v="EV6"/>
    <x v="4"/>
    <x v="3"/>
    <n v="31230.720000000001"/>
    <n v="71.7"/>
    <n v="250"/>
    <n v="164"/>
    <s v="Sedan"/>
    <n v="5"/>
    <s v="Budget"/>
    <n v="74025"/>
    <n v="3.37"/>
    <n v="2311854048"/>
  </r>
  <r>
    <x v="2"/>
    <s v="Cybertruck"/>
    <x v="4"/>
    <x v="4"/>
    <n v="148667.6"/>
    <n v="71.3"/>
    <n v="250"/>
    <n v="135"/>
    <s v="Truck"/>
    <n v="5"/>
    <s v="Luxury"/>
    <n v="117109"/>
    <n v="3.79"/>
    <n v="17410313968.400002"/>
  </r>
  <r>
    <x v="8"/>
    <s v="Mustang Mach-E"/>
    <x v="4"/>
    <x v="2"/>
    <n v="38196.949999999997"/>
    <n v="78.2"/>
    <n v="261"/>
    <n v="160"/>
    <s v="Hatchback"/>
    <n v="5"/>
    <s v="Mid-range"/>
    <n v="25281"/>
    <n v="3.55"/>
    <n v="965657092.94999993"/>
  </r>
  <r>
    <x v="3"/>
    <s v="Leaf 50X"/>
    <x v="4"/>
    <x v="0"/>
    <n v="77872.95"/>
    <n v="95.8"/>
    <n v="343"/>
    <n v="164"/>
    <s v="SUV"/>
    <n v="4"/>
    <s v="Premium"/>
    <n v="152424"/>
    <n v="3.65"/>
    <n v="11869706530.799999"/>
  </r>
  <r>
    <x v="13"/>
    <s v="EQS"/>
    <x v="4"/>
    <x v="4"/>
    <n v="200859.77"/>
    <n v="65.8"/>
    <n v="222"/>
    <n v="178"/>
    <s v="Hatchback"/>
    <n v="5"/>
    <s v="Luxury"/>
    <n v="50870"/>
    <n v="3.8"/>
    <n v="10217736499.9"/>
  </r>
  <r>
    <x v="13"/>
    <s v="EQS"/>
    <x v="4"/>
    <x v="2"/>
    <n v="111876"/>
    <n v="48.8"/>
    <n v="150"/>
    <n v="153"/>
    <s v="Sedan"/>
    <n v="4"/>
    <s v="Luxury"/>
    <n v="36359"/>
    <n v="3.55"/>
    <n v="4067699484"/>
  </r>
  <r>
    <x v="8"/>
    <s v="F-150 Lightning"/>
    <x v="4"/>
    <x v="1"/>
    <n v="106766.97"/>
    <n v="109.9"/>
    <n v="376"/>
    <n v="200"/>
    <s v="Truck"/>
    <n v="4"/>
    <s v="Luxury"/>
    <n v="44309"/>
    <n v="3.77"/>
    <n v="4730737673.7300005"/>
  </r>
  <r>
    <x v="2"/>
    <s v="Model X"/>
    <x v="4"/>
    <x v="2"/>
    <n v="78351.88"/>
    <n v="83.5"/>
    <n v="303"/>
    <n v="152"/>
    <s v="Truck"/>
    <n v="5"/>
    <s v="Premium"/>
    <n v="135414"/>
    <n v="3.99"/>
    <n v="10609941478.32"/>
  </r>
  <r>
    <x v="7"/>
    <s v="ID.4"/>
    <x v="4"/>
    <x v="3"/>
    <n v="45113.98"/>
    <n v="80.8"/>
    <n v="294"/>
    <n v="140"/>
    <s v="Sedan"/>
    <n v="4"/>
    <s v="Mid-range"/>
    <n v="248569"/>
    <n v="3.75"/>
    <n v="11213936894.620001"/>
  </r>
  <r>
    <x v="2"/>
    <s v="Model Y"/>
    <x v="4"/>
    <x v="2"/>
    <n v="117810.94"/>
    <n v="78.099999999999994"/>
    <n v="253"/>
    <n v="162"/>
    <s v="Coupe"/>
    <n v="4"/>
    <s v="Luxury"/>
    <n v="402141"/>
    <n v="4.01"/>
    <n v="47376609222.540001"/>
  </r>
  <r>
    <x v="7"/>
    <s v="ID.4"/>
    <x v="4"/>
    <x v="0"/>
    <n v="69646.080000000002"/>
    <n v="82.9"/>
    <n v="303"/>
    <n v="175"/>
    <s v="Coupe"/>
    <n v="4"/>
    <s v="Premium"/>
    <n v="292447"/>
    <n v="3.87"/>
    <n v="20367787157.760002"/>
  </r>
  <r>
    <x v="6"/>
    <s v="Ioniq"/>
    <x v="4"/>
    <x v="1"/>
    <n v="44796.76"/>
    <n v="104.6"/>
    <n v="359"/>
    <n v="200"/>
    <s v="Sedan"/>
    <n v="5"/>
    <s v="Mid-range"/>
    <n v="113793"/>
    <n v="4.03"/>
    <n v="5097557710.6800003"/>
  </r>
  <r>
    <x v="17"/>
    <s v="XC90 Recharge"/>
    <x v="4"/>
    <x v="3"/>
    <n v="75390.600000000006"/>
    <n v="43.1"/>
    <n v="156"/>
    <n v="135"/>
    <s v="Van"/>
    <n v="5"/>
    <s v="Premium"/>
    <n v="16760"/>
    <n v="3.31"/>
    <n v="1263546456"/>
  </r>
  <r>
    <x v="13"/>
    <s v="EQG"/>
    <x v="4"/>
    <x v="0"/>
    <n v="95795.03"/>
    <n v="93.8"/>
    <n v="354"/>
    <n v="177"/>
    <s v="Truck"/>
    <n v="3"/>
    <s v="Premium"/>
    <n v="37523"/>
    <n v="4.16"/>
    <n v="3594516910.6900001"/>
  </r>
  <r>
    <x v="3"/>
    <s v="Yuan Plus"/>
    <x v="4"/>
    <x v="0"/>
    <n v="65610.36"/>
    <n v="86.2"/>
    <n v="270"/>
    <n v="176"/>
    <s v="Hatchback"/>
    <n v="5"/>
    <s v="Premium"/>
    <n v="239905"/>
    <n v="3.59"/>
    <n v="15740253415.799999"/>
  </r>
  <r>
    <x v="11"/>
    <s v="R1S"/>
    <x v="4"/>
    <x v="3"/>
    <n v="85223.91"/>
    <n v="55.2"/>
    <n v="206"/>
    <n v="146"/>
    <s v="Coupe"/>
    <n v="5"/>
    <s v="Premium"/>
    <n v="18207"/>
    <n v="3.15"/>
    <n v="1551671729.3700001"/>
  </r>
  <r>
    <x v="8"/>
    <s v="Explorer EV"/>
    <x v="4"/>
    <x v="0"/>
    <n v="93391.97"/>
    <n v="96.9"/>
    <n v="328"/>
    <n v="188"/>
    <s v="Van"/>
    <n v="4"/>
    <s v="Premium"/>
    <n v="53055"/>
    <n v="3.46"/>
    <n v="4954910968.3500004"/>
  </r>
  <r>
    <x v="4"/>
    <s v="Q6 e-tron"/>
    <x v="4"/>
    <x v="2"/>
    <n v="68629.02"/>
    <n v="66.7"/>
    <n v="254"/>
    <n v="173"/>
    <s v="Sedan"/>
    <n v="5"/>
    <s v="Premium"/>
    <n v="32172"/>
    <n v="3.58"/>
    <n v="2207932831.4400001"/>
  </r>
  <r>
    <x v="8"/>
    <s v="E-Transit"/>
    <x v="4"/>
    <x v="1"/>
    <n v="115288.59"/>
    <n v="81.599999999999994"/>
    <n v="287"/>
    <n v="191"/>
    <s v="Hatchback"/>
    <n v="5"/>
    <s v="Luxury"/>
    <n v="28651"/>
    <n v="3.57"/>
    <n v="3303133392.0899997"/>
  </r>
  <r>
    <x v="3"/>
    <s v="Yuan Plus"/>
    <x v="4"/>
    <x v="3"/>
    <n v="42922.38"/>
    <n v="65.7"/>
    <n v="235"/>
    <n v="155"/>
    <s v="Van"/>
    <n v="5"/>
    <s v="Mid-range"/>
    <n v="109861"/>
    <n v="3.54"/>
    <n v="4715495589.1799994"/>
  </r>
  <r>
    <x v="19"/>
    <s v="Air"/>
    <x v="4"/>
    <x v="1"/>
    <n v="156097.01999999999"/>
    <n v="97.8"/>
    <n v="351"/>
    <n v="196"/>
    <s v="SUV"/>
    <n v="4"/>
    <s v="Luxury"/>
    <n v="13230"/>
    <n v="3.53"/>
    <n v="2065163574.5999999"/>
  </r>
  <r>
    <x v="9"/>
    <s v="i3"/>
    <x v="4"/>
    <x v="1"/>
    <n v="130176.15"/>
    <n v="89.9"/>
    <n v="326"/>
    <n v="200"/>
    <s v="Van"/>
    <n v="4"/>
    <s v="Luxury"/>
    <n v="59392"/>
    <n v="3.8"/>
    <n v="7731421900.7999992"/>
  </r>
  <r>
    <x v="6"/>
    <s v="Ioniq 6"/>
    <x v="4"/>
    <x v="1"/>
    <n v="77513.919999999998"/>
    <n v="107.4"/>
    <n v="368"/>
    <n v="187"/>
    <s v="Hatchback"/>
    <n v="4"/>
    <s v="Premium"/>
    <n v="71992"/>
    <n v="4.07"/>
    <n v="5580382128.6400003"/>
  </r>
  <r>
    <x v="2"/>
    <s v="Cybertruck"/>
    <x v="4"/>
    <x v="4"/>
    <n v="110128.5"/>
    <n v="50.3"/>
    <n v="163"/>
    <n v="163"/>
    <s v="Truck"/>
    <n v="5"/>
    <s v="Luxury"/>
    <n v="212436"/>
    <n v="3.54"/>
    <n v="23395258026"/>
  </r>
  <r>
    <x v="2"/>
    <s v="Model X"/>
    <x v="4"/>
    <x v="4"/>
    <n v="80831.47"/>
    <n v="71.2"/>
    <n v="278"/>
    <n v="169"/>
    <s v="Hatchback"/>
    <n v="4"/>
    <s v="Premium"/>
    <n v="202000"/>
    <n v="3.76"/>
    <n v="16327956940"/>
  </r>
  <r>
    <x v="1"/>
    <s v="Ronin"/>
    <x v="4"/>
    <x v="2"/>
    <n v="85586.47"/>
    <n v="57.3"/>
    <n v="200"/>
    <n v="160"/>
    <s v="SUV"/>
    <n v="4"/>
    <s v="Premium"/>
    <n v="25585"/>
    <n v="3.16"/>
    <n v="2189729834.9499998"/>
  </r>
  <r>
    <x v="7"/>
    <s v="ID.3"/>
    <x v="4"/>
    <x v="1"/>
    <n v="53590.91"/>
    <n v="74.7"/>
    <n v="258"/>
    <n v="200"/>
    <s v="Coupe"/>
    <n v="3"/>
    <s v="Mid-range"/>
    <n v="209815"/>
    <n v="3.08"/>
    <n v="11244176781.650002"/>
  </r>
  <r>
    <x v="6"/>
    <s v="i30"/>
    <x v="4"/>
    <x v="3"/>
    <n v="31256.77"/>
    <n v="68.099999999999994"/>
    <n v="218"/>
    <n v="136"/>
    <s v="Truck"/>
    <n v="4"/>
    <s v="Budget"/>
    <n v="83425"/>
    <n v="3.35"/>
    <n v="2607596037.25"/>
  </r>
  <r>
    <x v="3"/>
    <s v="Leaf 50X"/>
    <x v="4"/>
    <x v="1"/>
    <n v="56202.17"/>
    <n v="81.3"/>
    <n v="298"/>
    <n v="188"/>
    <s v="Coupe"/>
    <n v="5"/>
    <s v="Mid-range"/>
    <n v="225829"/>
    <n v="3.87"/>
    <n v="12692079848.93"/>
  </r>
  <r>
    <x v="8"/>
    <s v="F-150 Lightning"/>
    <x v="4"/>
    <x v="1"/>
    <n v="113010.15"/>
    <n v="74.7"/>
    <n v="251"/>
    <n v="189"/>
    <s v="Truck"/>
    <n v="5"/>
    <s v="Luxury"/>
    <n v="26657"/>
    <n v="3.63"/>
    <n v="3012511568.5499997"/>
  </r>
  <r>
    <x v="16"/>
    <s v="SU7"/>
    <x v="4"/>
    <x v="4"/>
    <n v="89310.64"/>
    <n v="64.2"/>
    <n v="208"/>
    <n v="173"/>
    <s v="SUV"/>
    <n v="4"/>
    <s v="Premium"/>
    <n v="29176"/>
    <n v="3.31"/>
    <n v="2605727232.6399999"/>
  </r>
  <r>
    <x v="8"/>
    <s v="Mustang Mach-E"/>
    <x v="4"/>
    <x v="3"/>
    <n v="67107.539999999994"/>
    <n v="81.2"/>
    <n v="286"/>
    <n v="137"/>
    <s v="Hatchback"/>
    <n v="5"/>
    <s v="Premium"/>
    <n v="58727"/>
    <n v="3.6"/>
    <n v="3941024501.5799994"/>
  </r>
  <r>
    <x v="5"/>
    <s v="Niro EV"/>
    <x v="4"/>
    <x v="2"/>
    <n v="56356.86"/>
    <n v="45"/>
    <n v="154"/>
    <n v="163"/>
    <s v="Hatchback"/>
    <n v="5"/>
    <s v="Mid-range"/>
    <n v="107160"/>
    <n v="3.3"/>
    <n v="6039201117.6000004"/>
  </r>
  <r>
    <x v="3"/>
    <s v="Leaf 50X"/>
    <x v="4"/>
    <x v="3"/>
    <n v="21286.38"/>
    <n v="69.599999999999994"/>
    <n v="233"/>
    <n v="168"/>
    <s v="Sedan"/>
    <n v="5"/>
    <s v="Budget"/>
    <n v="116507"/>
    <n v="3.18"/>
    <n v="2480012274.6600003"/>
  </r>
  <r>
    <x v="6"/>
    <s v="Ioniq"/>
    <x v="4"/>
    <x v="1"/>
    <n v="103986.41"/>
    <n v="110.9"/>
    <n v="397"/>
    <n v="185"/>
    <s v="Sedan"/>
    <n v="5"/>
    <s v="Luxury"/>
    <n v="106892"/>
    <n v="4.01"/>
    <n v="11115315337.720001"/>
  </r>
  <r>
    <x v="7"/>
    <s v="ID.5"/>
    <x v="4"/>
    <x v="1"/>
    <n v="68348.69"/>
    <n v="94"/>
    <n v="323"/>
    <n v="200"/>
    <s v="Hatchback"/>
    <n v="4"/>
    <s v="Premium"/>
    <n v="238867"/>
    <n v="3.7"/>
    <n v="16326246534.230001"/>
  </r>
  <r>
    <x v="7"/>
    <s v="ID.4"/>
    <x v="4"/>
    <x v="3"/>
    <n v="79224.44"/>
    <n v="48.4"/>
    <n v="164"/>
    <n v="136"/>
    <s v="SUV"/>
    <n v="5"/>
    <s v="Premium"/>
    <n v="219453"/>
    <n v="3.46"/>
    <n v="17386041031.32"/>
  </r>
  <r>
    <x v="12"/>
    <s v="Blazer EV"/>
    <x v="4"/>
    <x v="0"/>
    <n v="85774.399999999994"/>
    <n v="106"/>
    <n v="388"/>
    <n v="181"/>
    <s v="Van"/>
    <n v="4"/>
    <s v="Premium"/>
    <n v="22091"/>
    <n v="3.72"/>
    <n v="1894842270.3999999"/>
  </r>
  <r>
    <x v="3"/>
    <s v="Atto 3"/>
    <x v="4"/>
    <x v="3"/>
    <n v="21707.919999999998"/>
    <n v="56.8"/>
    <n v="176"/>
    <n v="135"/>
    <s v="Hatchback"/>
    <n v="4"/>
    <s v="Budget"/>
    <n v="240735"/>
    <n v="3.31"/>
    <n v="5225856121.1999998"/>
  </r>
  <r>
    <x v="12"/>
    <s v="Bolt EV"/>
    <x v="4"/>
    <x v="4"/>
    <n v="52232.74"/>
    <n v="42"/>
    <n v="150"/>
    <n v="171"/>
    <s v="Van"/>
    <n v="4"/>
    <s v="Mid-range"/>
    <n v="17461"/>
    <n v="3.32"/>
    <n v="912035873.13999999"/>
  </r>
  <r>
    <x v="7"/>
    <s v="ID. Aero"/>
    <x v="4"/>
    <x v="3"/>
    <n v="64646.52"/>
    <n v="70.7"/>
    <n v="219"/>
    <n v="140"/>
    <s v="Hatchback"/>
    <n v="4"/>
    <s v="Mid-range"/>
    <n v="229331"/>
    <n v="3.6"/>
    <n v="14825451078.119999"/>
  </r>
  <r>
    <x v="8"/>
    <s v="E-Transit"/>
    <x v="4"/>
    <x v="1"/>
    <n v="99172.17"/>
    <n v="96.1"/>
    <n v="340"/>
    <n v="200"/>
    <s v="SUV"/>
    <n v="5"/>
    <s v="Premium"/>
    <n v="55818"/>
    <n v="3.69"/>
    <n v="5535592185.0599995"/>
  </r>
  <r>
    <x v="9"/>
    <s v="i5"/>
    <x v="4"/>
    <x v="4"/>
    <n v="92379.17"/>
    <n v="50.8"/>
    <n v="150"/>
    <n v="136"/>
    <s v="Truck"/>
    <n v="5"/>
    <s v="Premium"/>
    <n v="64158"/>
    <n v="3.31"/>
    <n v="5926862788.8599997"/>
  </r>
  <r>
    <x v="9"/>
    <s v="i5"/>
    <x v="4"/>
    <x v="3"/>
    <n v="78676.53"/>
    <n v="80.3"/>
    <n v="292"/>
    <n v="155"/>
    <s v="Hatchback"/>
    <n v="5"/>
    <s v="Premium"/>
    <n v="28903"/>
    <n v="3.53"/>
    <n v="2273987746.5900002"/>
  </r>
  <r>
    <x v="6"/>
    <s v="Ioniq 6"/>
    <x v="4"/>
    <x v="1"/>
    <n v="44088.19"/>
    <n v="81.5"/>
    <n v="270"/>
    <n v="188"/>
    <s v="Hatchback"/>
    <n v="3"/>
    <s v="Mid-range"/>
    <n v="119102"/>
    <n v="3.6"/>
    <n v="5250991605.3800001"/>
  </r>
  <r>
    <x v="6"/>
    <s v="Ioniq 6"/>
    <x v="4"/>
    <x v="3"/>
    <n v="63404.54"/>
    <n v="72.2"/>
    <n v="253"/>
    <n v="168"/>
    <s v="Sedan"/>
    <n v="5"/>
    <s v="Mid-range"/>
    <n v="79234"/>
    <n v="3.49"/>
    <n v="5023795322.3599997"/>
  </r>
  <r>
    <x v="2"/>
    <s v="Model S"/>
    <x v="4"/>
    <x v="0"/>
    <n v="91117.32"/>
    <n v="101"/>
    <n v="364"/>
    <n v="172"/>
    <s v="Hatchback"/>
    <n v="4"/>
    <s v="Premium"/>
    <n v="174122"/>
    <n v="4"/>
    <n v="15865529993.040001"/>
  </r>
  <r>
    <x v="12"/>
    <s v="Bolt EUV"/>
    <x v="4"/>
    <x v="4"/>
    <n v="75461.19"/>
    <n v="77.900000000000006"/>
    <n v="275"/>
    <n v="168"/>
    <s v="SUV"/>
    <n v="4"/>
    <s v="Premium"/>
    <n v="10961"/>
    <n v="3.51"/>
    <n v="827130103.59000003"/>
  </r>
  <r>
    <x v="0"/>
    <s v="bZ4X"/>
    <x v="4"/>
    <x v="2"/>
    <n v="60316.9"/>
    <n v="48"/>
    <n v="165"/>
    <n v="138"/>
    <s v="Coupe"/>
    <n v="4"/>
    <s v="Mid-range"/>
    <n v="23683"/>
    <n v="3.15"/>
    <n v="1428485142.7"/>
  </r>
  <r>
    <x v="12"/>
    <s v="Bolt EV"/>
    <x v="4"/>
    <x v="3"/>
    <n v="46964.58"/>
    <n v="62.4"/>
    <n v="204"/>
    <n v="140"/>
    <s v="Sedan"/>
    <n v="5"/>
    <s v="Mid-range"/>
    <n v="15168"/>
    <n v="3.46"/>
    <n v="712358749.44000006"/>
  </r>
  <r>
    <x v="3"/>
    <s v="Dolphin"/>
    <x v="4"/>
    <x v="3"/>
    <n v="51238.400000000001"/>
    <n v="51.6"/>
    <n v="185"/>
    <n v="153"/>
    <s v="Hatchback"/>
    <n v="5"/>
    <s v="Mid-range"/>
    <n v="242985"/>
    <n v="3.46"/>
    <n v="12450162624"/>
  </r>
  <r>
    <x v="2"/>
    <s v="Cybertruck"/>
    <x v="4"/>
    <x v="3"/>
    <n v="43048"/>
    <n v="78.2"/>
    <n v="305"/>
    <n v="167"/>
    <s v="Truck"/>
    <n v="5"/>
    <s v="Mid-range"/>
    <n v="249983"/>
    <n v="3.24"/>
    <n v="10761268184"/>
  </r>
  <r>
    <x v="9"/>
    <s v="i4"/>
    <x v="4"/>
    <x v="0"/>
    <n v="69815.81"/>
    <n v="81.099999999999994"/>
    <n v="291"/>
    <n v="172"/>
    <s v="SUV"/>
    <n v="4"/>
    <s v="Premium"/>
    <n v="42961"/>
    <n v="3.63"/>
    <n v="2999357013.4099998"/>
  </r>
  <r>
    <x v="9"/>
    <s v="i5"/>
    <x v="4"/>
    <x v="2"/>
    <n v="73900.67"/>
    <n v="72.400000000000006"/>
    <n v="258"/>
    <n v="134"/>
    <s v="Coupe"/>
    <n v="5"/>
    <s v="Premium"/>
    <n v="78616"/>
    <n v="3.2"/>
    <n v="5809775072.7200003"/>
  </r>
  <r>
    <x v="8"/>
    <s v="F-150 Lightning"/>
    <x v="4"/>
    <x v="2"/>
    <n v="33054.57"/>
    <n v="55.6"/>
    <n v="203"/>
    <n v="145"/>
    <s v="Truck"/>
    <n v="5"/>
    <s v="Budget"/>
    <n v="77480"/>
    <n v="3.1"/>
    <n v="2561068083.5999999"/>
  </r>
  <r>
    <x v="3"/>
    <s v="Dolphin"/>
    <x v="4"/>
    <x v="0"/>
    <n v="38277.53"/>
    <n v="87.8"/>
    <n v="282"/>
    <n v="181"/>
    <s v="Coupe"/>
    <n v="5"/>
    <s v="Mid-range"/>
    <n v="237305"/>
    <n v="3.52"/>
    <n v="9083449256.6499996"/>
  </r>
  <r>
    <x v="9"/>
    <s v="i3"/>
    <x v="4"/>
    <x v="1"/>
    <n v="73301.490000000005"/>
    <n v="109.7"/>
    <n v="367"/>
    <n v="200"/>
    <s v="Coupe"/>
    <n v="5"/>
    <s v="Premium"/>
    <n v="50214"/>
    <n v="3.67"/>
    <n v="3680761018.8600001"/>
  </r>
  <r>
    <x v="3"/>
    <s v="Dolphin"/>
    <x v="4"/>
    <x v="4"/>
    <n v="100526.02"/>
    <n v="84.9"/>
    <n v="300"/>
    <n v="147"/>
    <s v="Hatchback"/>
    <n v="4"/>
    <s v="Luxury"/>
    <n v="178707"/>
    <n v="3.53"/>
    <n v="17964703456.139999"/>
  </r>
  <r>
    <x v="3"/>
    <s v="Leaf 50X"/>
    <x v="4"/>
    <x v="0"/>
    <n v="42041.16"/>
    <n v="108.4"/>
    <n v="373"/>
    <n v="176"/>
    <s v="Truck"/>
    <n v="3"/>
    <s v="Mid-range"/>
    <n v="120124"/>
    <n v="3.79"/>
    <n v="5050152303.8400002"/>
  </r>
  <r>
    <x v="8"/>
    <s v="E-Transit"/>
    <x v="4"/>
    <x v="4"/>
    <n v="97929.01"/>
    <n v="50.3"/>
    <n v="198"/>
    <n v="139"/>
    <s v="SUV"/>
    <n v="5"/>
    <s v="Premium"/>
    <n v="20102"/>
    <n v="3.3"/>
    <n v="1968568959.02"/>
  </r>
  <r>
    <x v="11"/>
    <s v="R3"/>
    <x v="4"/>
    <x v="1"/>
    <n v="105996.52"/>
    <n v="77.2"/>
    <n v="274"/>
    <n v="196"/>
    <s v="Hatchback"/>
    <n v="5"/>
    <s v="Luxury"/>
    <n v="1509"/>
    <n v="3.58"/>
    <n v="159948748.68000001"/>
  </r>
  <r>
    <x v="2"/>
    <s v="Model S"/>
    <x v="4"/>
    <x v="1"/>
    <n v="64261.34"/>
    <n v="116.7"/>
    <n v="433"/>
    <n v="200"/>
    <s v="Hatchback"/>
    <n v="3"/>
    <s v="Mid-range"/>
    <n v="145470"/>
    <n v="4.0999999999999996"/>
    <n v="9348097129.7999992"/>
  </r>
  <r>
    <x v="10"/>
    <n v="3"/>
    <x v="4"/>
    <x v="3"/>
    <n v="116528.23"/>
    <n v="75.599999999999994"/>
    <n v="282"/>
    <n v="144"/>
    <s v="Truck"/>
    <n v="4"/>
    <s v="Luxury"/>
    <n v="14704"/>
    <n v="3.58"/>
    <n v="1713431093.9199998"/>
  </r>
  <r>
    <x v="14"/>
    <s v="EL6"/>
    <x v="4"/>
    <x v="1"/>
    <n v="144156.68"/>
    <n v="92.7"/>
    <n v="331"/>
    <n v="200"/>
    <s v="Hatchback"/>
    <n v="5"/>
    <s v="Luxury"/>
    <n v="28598"/>
    <n v="3.78"/>
    <n v="4122592734.6399999"/>
  </r>
  <r>
    <x v="2"/>
    <s v="Model X"/>
    <x v="4"/>
    <x v="2"/>
    <n v="97305.17"/>
    <n v="40.9"/>
    <n v="150"/>
    <n v="158"/>
    <s v="Van"/>
    <n v="3"/>
    <s v="Premium"/>
    <n v="135420"/>
    <n v="3.42"/>
    <n v="13177066121.4"/>
  </r>
  <r>
    <x v="2"/>
    <s v="Model Y"/>
    <x v="4"/>
    <x v="4"/>
    <n v="142240.31"/>
    <n v="46.3"/>
    <n v="166"/>
    <n v="152"/>
    <s v="Truck"/>
    <n v="5"/>
    <s v="Luxury"/>
    <n v="461025"/>
    <n v="3.45"/>
    <n v="65576338917.75"/>
  </r>
  <r>
    <x v="8"/>
    <s v="F-150 Lightning"/>
    <x v="4"/>
    <x v="0"/>
    <n v="88743.58"/>
    <n v="80.099999999999994"/>
    <n v="265"/>
    <n v="187"/>
    <s v="Truck"/>
    <n v="5"/>
    <s v="Premium"/>
    <n v="63330"/>
    <n v="3.64"/>
    <n v="5620130921.4000006"/>
  </r>
  <r>
    <x v="12"/>
    <s v="Blazer EV"/>
    <x v="4"/>
    <x v="1"/>
    <n v="41328.5"/>
    <n v="93.2"/>
    <n v="342"/>
    <n v="186"/>
    <s v="Hatchback"/>
    <n v="5"/>
    <s v="Mid-range"/>
    <n v="18258"/>
    <n v="3.87"/>
    <n v="754575753"/>
  </r>
  <r>
    <x v="6"/>
    <s v="Kona Electric"/>
    <x v="4"/>
    <x v="4"/>
    <n v="69523.19"/>
    <n v="77.900000000000006"/>
    <n v="274"/>
    <n v="145"/>
    <s v="Hatchback"/>
    <n v="4"/>
    <s v="Premium"/>
    <n v="133082"/>
    <n v="3.52"/>
    <n v="9252285171.5799999"/>
  </r>
  <r>
    <x v="3"/>
    <s v="Atto 3"/>
    <x v="4"/>
    <x v="0"/>
    <n v="25253.73"/>
    <n v="99.1"/>
    <n v="355"/>
    <n v="167"/>
    <s v="Van"/>
    <n v="4"/>
    <s v="Budget"/>
    <n v="158999"/>
    <n v="3.61"/>
    <n v="4015317816.27"/>
  </r>
  <r>
    <x v="4"/>
    <s v="Q4 e-tron"/>
    <x v="4"/>
    <x v="2"/>
    <n v="103666.6"/>
    <n v="66.400000000000006"/>
    <n v="243"/>
    <n v="141"/>
    <s v="Truck"/>
    <n v="4"/>
    <s v="Luxury"/>
    <n v="59232"/>
    <n v="3.4"/>
    <n v="6140380051.2000008"/>
  </r>
  <r>
    <x v="9"/>
    <s v="i4"/>
    <x v="4"/>
    <x v="3"/>
    <n v="86675.29"/>
    <n v="62.4"/>
    <n v="204"/>
    <n v="172"/>
    <s v="Truck"/>
    <n v="4"/>
    <s v="Premium"/>
    <n v="72572"/>
    <n v="3.35"/>
    <n v="6290199145.8799992"/>
  </r>
  <r>
    <x v="2"/>
    <s v="Model 3"/>
    <x v="4"/>
    <x v="1"/>
    <n v="92846.92"/>
    <n v="75.3"/>
    <n v="265"/>
    <n v="180"/>
    <s v="Sedan"/>
    <n v="3"/>
    <s v="Premium"/>
    <n v="187727"/>
    <n v="3.9"/>
    <n v="17429873750.84"/>
  </r>
  <r>
    <x v="12"/>
    <s v="Equinox EV"/>
    <x v="4"/>
    <x v="2"/>
    <n v="32869.42"/>
    <n v="73.8"/>
    <n v="276"/>
    <n v="157"/>
    <s v="SUV"/>
    <n v="3"/>
    <s v="Budget"/>
    <n v="10258"/>
    <n v="3.6"/>
    <n v="337174510.35999995"/>
  </r>
  <r>
    <x v="8"/>
    <s v="Explorer EV"/>
    <x v="4"/>
    <x v="4"/>
    <n v="86809.78"/>
    <n v="64"/>
    <n v="201"/>
    <n v="126"/>
    <s v="Truck"/>
    <n v="4"/>
    <s v="Premium"/>
    <n v="40976"/>
    <n v="3"/>
    <n v="3557117545.2799997"/>
  </r>
  <r>
    <x v="5"/>
    <s v="EV9"/>
    <x v="4"/>
    <x v="1"/>
    <n v="107669.85"/>
    <n v="101.4"/>
    <n v="345"/>
    <n v="200"/>
    <s v="SUV"/>
    <n v="5"/>
    <s v="Luxury"/>
    <n v="128063"/>
    <n v="4.17"/>
    <n v="13788524000.550001"/>
  </r>
  <r>
    <x v="12"/>
    <s v="Bolt EV"/>
    <x v="4"/>
    <x v="3"/>
    <n v="37659.35"/>
    <n v="52.6"/>
    <n v="166"/>
    <n v="154"/>
    <s v="Sedan"/>
    <n v="5"/>
    <s v="Mid-range"/>
    <n v="14766"/>
    <n v="3.22"/>
    <n v="556077962.10000002"/>
  </r>
  <r>
    <x v="7"/>
    <s v="ID.3"/>
    <x v="4"/>
    <x v="0"/>
    <n v="62606.34"/>
    <n v="101.2"/>
    <n v="370"/>
    <n v="186"/>
    <s v="Coupe"/>
    <n v="4"/>
    <s v="Mid-range"/>
    <n v="233529"/>
    <n v="3.84"/>
    <n v="14620395973.859999"/>
  </r>
  <r>
    <x v="12"/>
    <s v="Silverado EV"/>
    <x v="4"/>
    <x v="4"/>
    <n v="80871.59"/>
    <n v="62.6"/>
    <n v="196"/>
    <n v="170"/>
    <s v="Hatchback"/>
    <n v="3"/>
    <s v="Premium"/>
    <n v="24840"/>
    <n v="3.52"/>
    <n v="2008850295.5999999"/>
  </r>
  <r>
    <x v="5"/>
    <s v="EV9"/>
    <x v="4"/>
    <x v="4"/>
    <n v="73063.27"/>
    <n v="55.1"/>
    <n v="176"/>
    <n v="137"/>
    <s v="SUV"/>
    <n v="5"/>
    <s v="Premium"/>
    <n v="143775"/>
    <n v="3.53"/>
    <n v="10504671644.25"/>
  </r>
  <r>
    <x v="9"/>
    <s v="i3"/>
    <x v="4"/>
    <x v="1"/>
    <n v="123235.74"/>
    <n v="117.3"/>
    <n v="428"/>
    <n v="186"/>
    <s v="Truck"/>
    <n v="5"/>
    <s v="Luxury"/>
    <n v="49531"/>
    <n v="3.97"/>
    <n v="6103989437.9400005"/>
  </r>
  <r>
    <x v="2"/>
    <s v="Cybertruck"/>
    <x v="4"/>
    <x v="4"/>
    <n v="117988.5"/>
    <n v="65.2"/>
    <n v="250"/>
    <n v="160"/>
    <s v="Truck"/>
    <n v="4"/>
    <s v="Luxury"/>
    <n v="117423"/>
    <n v="3.81"/>
    <n v="13854563635.5"/>
  </r>
  <r>
    <x v="5"/>
    <s v="Niro EV"/>
    <x v="4"/>
    <x v="3"/>
    <n v="39013.49"/>
    <n v="67.3"/>
    <n v="235"/>
    <n v="171"/>
    <s v="Van"/>
    <n v="4"/>
    <s v="Mid-range"/>
    <n v="124150"/>
    <n v="3.57"/>
    <n v="4843524783.5"/>
  </r>
  <r>
    <x v="5"/>
    <s v="Picanto EV"/>
    <x v="4"/>
    <x v="0"/>
    <n v="50328.06"/>
    <n v="106.7"/>
    <n v="389"/>
    <n v="165"/>
    <s v="Hatchback"/>
    <n v="4"/>
    <s v="Mid-range"/>
    <n v="79174"/>
    <n v="3.94"/>
    <n v="3984673822.4399996"/>
  </r>
  <r>
    <x v="2"/>
    <s v="Model X"/>
    <x v="4"/>
    <x v="1"/>
    <n v="138879.13"/>
    <n v="102.3"/>
    <n v="358"/>
    <n v="197"/>
    <s v="Sedan"/>
    <n v="4"/>
    <s v="Luxury"/>
    <n v="187901"/>
    <n v="4.2300000000000004"/>
    <n v="26095527406.130001"/>
  </r>
  <r>
    <x v="8"/>
    <s v="E-Transit"/>
    <x v="4"/>
    <x v="3"/>
    <n v="81564.12"/>
    <n v="82.3"/>
    <n v="294"/>
    <n v="151"/>
    <s v="Van"/>
    <n v="5"/>
    <s v="Premium"/>
    <n v="70445"/>
    <n v="3.48"/>
    <n v="5745784433.3999996"/>
  </r>
  <r>
    <x v="3"/>
    <s v="Seagull"/>
    <x v="4"/>
    <x v="3"/>
    <n v="53792.67"/>
    <n v="73.2"/>
    <n v="287"/>
    <n v="136"/>
    <s v="SUV"/>
    <n v="4"/>
    <s v="Mid-range"/>
    <n v="246202"/>
    <n v="3.6"/>
    <n v="13243862939.34"/>
  </r>
  <r>
    <x v="3"/>
    <s v="Seagull"/>
    <x v="4"/>
    <x v="3"/>
    <n v="83643.929999999993"/>
    <n v="76.5"/>
    <n v="285"/>
    <n v="154"/>
    <s v="Van"/>
    <n v="5"/>
    <s v="Premium"/>
    <n v="218991"/>
    <n v="3.84"/>
    <n v="18317267874.629997"/>
  </r>
  <r>
    <x v="9"/>
    <s v="i3"/>
    <x v="4"/>
    <x v="4"/>
    <n v="104797.89"/>
    <n v="46.5"/>
    <n v="162"/>
    <n v="160"/>
    <s v="Hatchback"/>
    <n v="5"/>
    <s v="Luxury"/>
    <n v="26942"/>
    <n v="3.17"/>
    <n v="2823464752.3800001"/>
  </r>
  <r>
    <x v="13"/>
    <s v="EQC"/>
    <x v="4"/>
    <x v="3"/>
    <n v="113687.69"/>
    <n v="81.5"/>
    <n v="274"/>
    <n v="128"/>
    <s v="Van"/>
    <n v="4"/>
    <s v="Luxury"/>
    <n v="59376"/>
    <n v="3.82"/>
    <n v="6750320281.4400005"/>
  </r>
  <r>
    <x v="7"/>
    <s v="ID.4"/>
    <x v="4"/>
    <x v="1"/>
    <n v="61036.31"/>
    <n v="77.7"/>
    <n v="243"/>
    <n v="193"/>
    <s v="Coupe"/>
    <n v="4"/>
    <s v="Mid-range"/>
    <n v="274419"/>
    <n v="3.18"/>
    <n v="16749523153.889999"/>
  </r>
  <r>
    <x v="3"/>
    <s v="Max"/>
    <x v="4"/>
    <x v="4"/>
    <n v="105441.86"/>
    <n v="57.2"/>
    <n v="209"/>
    <n v="152"/>
    <s v="Truck"/>
    <n v="5"/>
    <s v="Luxury"/>
    <n v="226549"/>
    <n v="3.32"/>
    <n v="23887747941.139999"/>
  </r>
  <r>
    <x v="2"/>
    <s v="Model 3"/>
    <x v="4"/>
    <x v="4"/>
    <n v="128470.34"/>
    <n v="75.7"/>
    <n v="268"/>
    <n v="140"/>
    <s v="Truck"/>
    <n v="3"/>
    <s v="Luxury"/>
    <n v="244654"/>
    <n v="3.62"/>
    <n v="31430782562.360001"/>
  </r>
  <r>
    <x v="14"/>
    <s v="ET6"/>
    <x v="4"/>
    <x v="3"/>
    <n v="78059.06"/>
    <n v="66.599999999999994"/>
    <n v="252"/>
    <n v="157"/>
    <s v="SUV"/>
    <n v="5"/>
    <s v="Premium"/>
    <n v="24158"/>
    <n v="3.33"/>
    <n v="1885750771.48"/>
  </r>
  <r>
    <x v="7"/>
    <s v="ID.3"/>
    <x v="4"/>
    <x v="4"/>
    <n v="49550.91"/>
    <n v="41.8"/>
    <n v="150"/>
    <n v="153"/>
    <s v="Coupe"/>
    <n v="3"/>
    <s v="Mid-range"/>
    <n v="222078"/>
    <n v="3.54"/>
    <n v="11004166990.980001"/>
  </r>
  <r>
    <x v="12"/>
    <s v="Equinox EV"/>
    <x v="4"/>
    <x v="3"/>
    <n v="34301.370000000003"/>
    <n v="70"/>
    <n v="218"/>
    <n v="163"/>
    <s v="SUV"/>
    <n v="4"/>
    <s v="Budget"/>
    <n v="738"/>
    <n v="3.6"/>
    <n v="25314411.060000002"/>
  </r>
  <r>
    <x v="0"/>
    <s v="bZ4X"/>
    <x v="4"/>
    <x v="1"/>
    <n v="66816.55"/>
    <n v="110.6"/>
    <n v="367"/>
    <n v="181"/>
    <s v="Hatchback"/>
    <n v="4"/>
    <s v="Premium"/>
    <n v="11062"/>
    <n v="3.79"/>
    <n v="739124676.10000002"/>
  </r>
  <r>
    <x v="13"/>
    <s v="EQS"/>
    <x v="5"/>
    <x v="1"/>
    <n v="131074.23000000001"/>
    <n v="82.7"/>
    <n v="292"/>
    <n v="200"/>
    <s v="SUV"/>
    <n v="4"/>
    <s v="Luxury"/>
    <n v="48277"/>
    <n v="4.1100000000000003"/>
    <n v="6327870601.71"/>
  </r>
  <r>
    <x v="12"/>
    <s v="Blazer EV"/>
    <x v="5"/>
    <x v="2"/>
    <n v="56944.53"/>
    <n v="69.900000000000006"/>
    <n v="251"/>
    <n v="149"/>
    <s v="Van"/>
    <n v="5"/>
    <s v="Mid-range"/>
    <n v="8761"/>
    <n v="3.46"/>
    <n v="498891027.32999998"/>
  </r>
  <r>
    <x v="1"/>
    <s v="Ronin"/>
    <x v="5"/>
    <x v="3"/>
    <n v="88914.19"/>
    <n v="66.7"/>
    <n v="232"/>
    <n v="173"/>
    <s v="Truck"/>
    <n v="3"/>
    <s v="Premium"/>
    <n v="2408"/>
    <n v="3.67"/>
    <n v="214105369.52000001"/>
  </r>
  <r>
    <x v="13"/>
    <s v="EQG"/>
    <x v="5"/>
    <x v="1"/>
    <n v="210811.92"/>
    <n v="93.2"/>
    <n v="320"/>
    <n v="200"/>
    <s v="Hatchback"/>
    <n v="5"/>
    <s v="Luxury"/>
    <n v="56039"/>
    <n v="3.59"/>
    <n v="11813689184.880001"/>
  </r>
  <r>
    <x v="5"/>
    <s v="Picanto EV"/>
    <x v="5"/>
    <x v="4"/>
    <n v="106848.2"/>
    <n v="54.1"/>
    <n v="193"/>
    <n v="135"/>
    <s v="Coupe"/>
    <n v="4"/>
    <s v="Luxury"/>
    <n v="85618"/>
    <n v="3.33"/>
    <n v="9148129187.6000004"/>
  </r>
  <r>
    <x v="8"/>
    <s v="Mustang Mach-E"/>
    <x v="5"/>
    <x v="1"/>
    <n v="96527.54"/>
    <n v="75.2"/>
    <n v="286"/>
    <n v="188"/>
    <s v="Coupe"/>
    <n v="3"/>
    <s v="Premium"/>
    <n v="67670"/>
    <n v="3.6"/>
    <n v="6532018631.7999992"/>
  </r>
  <r>
    <x v="6"/>
    <s v="Ioniq 6"/>
    <x v="5"/>
    <x v="1"/>
    <n v="86045.75"/>
    <n v="96.3"/>
    <n v="314"/>
    <n v="200"/>
    <s v="Hatchback"/>
    <n v="5"/>
    <s v="Premium"/>
    <n v="124864"/>
    <n v="3.57"/>
    <n v="10744016528"/>
  </r>
  <r>
    <x v="2"/>
    <s v="Model Y"/>
    <x v="5"/>
    <x v="1"/>
    <n v="135780.6"/>
    <n v="105.2"/>
    <n v="383"/>
    <n v="196"/>
    <s v="Truck"/>
    <n v="5"/>
    <s v="Luxury"/>
    <n v="411097"/>
    <n v="4.12"/>
    <n v="55818997318.200005"/>
  </r>
  <r>
    <x v="2"/>
    <s v="Model X"/>
    <x v="5"/>
    <x v="2"/>
    <n v="110771.86"/>
    <n v="52.9"/>
    <n v="177"/>
    <n v="151"/>
    <s v="SUV"/>
    <n v="4"/>
    <s v="Luxury"/>
    <n v="179640"/>
    <n v="3.42"/>
    <n v="19899056930.400002"/>
  </r>
  <r>
    <x v="8"/>
    <s v="E-Transit"/>
    <x v="5"/>
    <x v="1"/>
    <n v="69597.509999999995"/>
    <n v="106.2"/>
    <n v="361"/>
    <n v="192"/>
    <s v="Sedan"/>
    <n v="5"/>
    <s v="Premium"/>
    <n v="24574"/>
    <n v="3.79"/>
    <n v="1710289210.7399998"/>
  </r>
  <r>
    <x v="3"/>
    <s v="Leaf 50X"/>
    <x v="5"/>
    <x v="3"/>
    <n v="31434.26"/>
    <n v="60.6"/>
    <n v="229"/>
    <n v="136"/>
    <s v="Hatchback"/>
    <n v="4"/>
    <s v="Budget"/>
    <n v="242953"/>
    <n v="3.29"/>
    <n v="7637047769.7799997"/>
  </r>
  <r>
    <x v="9"/>
    <s v="i7"/>
    <x v="5"/>
    <x v="1"/>
    <n v="156773.89000000001"/>
    <n v="81.400000000000006"/>
    <n v="266"/>
    <n v="190"/>
    <s v="Truck"/>
    <n v="5"/>
    <s v="Luxury"/>
    <n v="58126"/>
    <n v="3.6"/>
    <n v="9112639130.1400013"/>
  </r>
  <r>
    <x v="6"/>
    <s v="Ioniq 6"/>
    <x v="5"/>
    <x v="3"/>
    <n v="69769.460000000006"/>
    <n v="63.2"/>
    <n v="212"/>
    <n v="133"/>
    <s v="Hatchback"/>
    <n v="4"/>
    <s v="Premium"/>
    <n v="50147"/>
    <n v="3.21"/>
    <n v="3498729110.6200004"/>
  </r>
  <r>
    <x v="4"/>
    <s v="e-tron GT"/>
    <x v="5"/>
    <x v="3"/>
    <n v="53762.11"/>
    <n v="52.1"/>
    <n v="156"/>
    <n v="154"/>
    <s v="Coupe"/>
    <n v="4"/>
    <s v="Mid-range"/>
    <n v="69650"/>
    <n v="3.68"/>
    <n v="3744530961.5"/>
  </r>
  <r>
    <x v="3"/>
    <s v="Atto 3"/>
    <x v="5"/>
    <x v="2"/>
    <n v="26682.38"/>
    <n v="53.9"/>
    <n v="199"/>
    <n v="137"/>
    <s v="Truck"/>
    <n v="4"/>
    <s v="Budget"/>
    <n v="158602"/>
    <n v="3.26"/>
    <n v="4231878832.7600002"/>
  </r>
  <r>
    <x v="6"/>
    <s v="Ioniq"/>
    <x v="5"/>
    <x v="2"/>
    <n v="45100.09"/>
    <n v="79.5"/>
    <n v="257"/>
    <n v="174"/>
    <s v="Hatchback"/>
    <n v="4"/>
    <s v="Mid-range"/>
    <n v="128526"/>
    <n v="3.61"/>
    <n v="5796534167.3399992"/>
  </r>
  <r>
    <x v="14"/>
    <s v="ET6"/>
    <x v="5"/>
    <x v="1"/>
    <n v="60624.73"/>
    <n v="82.4"/>
    <n v="278"/>
    <n v="200"/>
    <s v="SUV"/>
    <n v="4"/>
    <s v="Mid-range"/>
    <n v="8857"/>
    <n v="3.49"/>
    <n v="536953233.61000001"/>
  </r>
  <r>
    <x v="4"/>
    <s v="e-tron GT"/>
    <x v="5"/>
    <x v="2"/>
    <n v="63332.23"/>
    <n v="84.4"/>
    <n v="310"/>
    <n v="162"/>
    <s v="Coupe"/>
    <n v="5"/>
    <s v="Mid-range"/>
    <n v="62327"/>
    <n v="3.85"/>
    <n v="3947307899.21"/>
  </r>
  <r>
    <x v="2"/>
    <s v="Model X"/>
    <x v="5"/>
    <x v="2"/>
    <n v="73015.63"/>
    <n v="82.4"/>
    <n v="304"/>
    <n v="156"/>
    <s v="Truck"/>
    <n v="5"/>
    <s v="Premium"/>
    <n v="173406"/>
    <n v="3.75"/>
    <n v="12661348335.780001"/>
  </r>
  <r>
    <x v="2"/>
    <s v="Cybertruck"/>
    <x v="5"/>
    <x v="1"/>
    <n v="117415.98"/>
    <n v="78.099999999999994"/>
    <n v="263"/>
    <n v="200"/>
    <s v="Truck"/>
    <n v="5"/>
    <s v="Luxury"/>
    <n v="183531"/>
    <n v="3.7"/>
    <n v="21549472225.380001"/>
  </r>
  <r>
    <x v="2"/>
    <s v="Model 3"/>
    <x v="5"/>
    <x v="3"/>
    <n v="71316.86"/>
    <n v="73.900000000000006"/>
    <n v="249"/>
    <n v="144"/>
    <s v="SUV"/>
    <n v="5"/>
    <s v="Premium"/>
    <n v="242716"/>
    <n v="3.7"/>
    <n v="17309742991.759998"/>
  </r>
  <r>
    <x v="3"/>
    <s v="Leaf 50X"/>
    <x v="5"/>
    <x v="2"/>
    <n v="59005.52"/>
    <n v="58.4"/>
    <n v="200"/>
    <n v="137"/>
    <s v="Van"/>
    <n v="5"/>
    <s v="Mid-range"/>
    <n v="127516"/>
    <n v="3.31"/>
    <n v="7524147888.3199997"/>
  </r>
  <r>
    <x v="13"/>
    <s v="EQC"/>
    <x v="5"/>
    <x v="1"/>
    <n v="188302.14"/>
    <n v="78.5"/>
    <n v="277"/>
    <n v="185"/>
    <s v="Coupe"/>
    <n v="4"/>
    <s v="Luxury"/>
    <n v="43172"/>
    <n v="4"/>
    <n v="8129379988.0800009"/>
  </r>
  <r>
    <x v="2"/>
    <s v="Model Y"/>
    <x v="5"/>
    <x v="1"/>
    <n v="43196.41"/>
    <n v="111.9"/>
    <n v="408"/>
    <n v="197"/>
    <s v="Truck"/>
    <n v="5"/>
    <s v="Mid-range"/>
    <n v="437912"/>
    <n v="4.03"/>
    <n v="18916226295.920002"/>
  </r>
  <r>
    <x v="8"/>
    <s v="E-Transit"/>
    <x v="5"/>
    <x v="4"/>
    <n v="45539.59"/>
    <n v="55.1"/>
    <n v="198"/>
    <n v="173"/>
    <s v="Hatchback"/>
    <n v="5"/>
    <s v="Mid-range"/>
    <n v="26865"/>
    <n v="3"/>
    <n v="1223421085.3499999"/>
  </r>
  <r>
    <x v="12"/>
    <s v="Bolt EUV"/>
    <x v="5"/>
    <x v="1"/>
    <n v="102049.38"/>
    <n v="116.6"/>
    <n v="395"/>
    <n v="192"/>
    <s v="Van"/>
    <n v="4"/>
    <s v="Luxury"/>
    <n v="7957"/>
    <n v="4.16"/>
    <n v="812006916.66000009"/>
  </r>
  <r>
    <x v="7"/>
    <s v="ID.3"/>
    <x v="5"/>
    <x v="2"/>
    <n v="38889.440000000002"/>
    <n v="65"/>
    <n v="231"/>
    <n v="160"/>
    <s v="Sedan"/>
    <n v="5"/>
    <s v="Mid-range"/>
    <n v="293320"/>
    <n v="3.41"/>
    <n v="11407050540.800001"/>
  </r>
  <r>
    <x v="2"/>
    <s v="Model 3"/>
    <x v="5"/>
    <x v="1"/>
    <n v="169366.43"/>
    <n v="117.4"/>
    <n v="416"/>
    <n v="200"/>
    <s v="SUV"/>
    <n v="5"/>
    <s v="Luxury"/>
    <n v="248754"/>
    <n v="4.09"/>
    <n v="42130576928.220001"/>
  </r>
  <r>
    <x v="6"/>
    <s v="Ioniq 5"/>
    <x v="5"/>
    <x v="1"/>
    <n v="57904.84"/>
    <n v="80.5"/>
    <n v="286"/>
    <n v="200"/>
    <s v="Sedan"/>
    <n v="4"/>
    <s v="Mid-range"/>
    <n v="68118"/>
    <n v="3.73"/>
    <n v="3944361891.1199999"/>
  </r>
  <r>
    <x v="6"/>
    <s v="Ioniq 6"/>
    <x v="5"/>
    <x v="1"/>
    <n v="45837.99"/>
    <n v="84.4"/>
    <n v="306"/>
    <n v="192"/>
    <s v="Sedan"/>
    <n v="5"/>
    <s v="Mid-range"/>
    <n v="96533"/>
    <n v="3.3"/>
    <n v="4424878688.6700001"/>
  </r>
  <r>
    <x v="4"/>
    <s v="e-tron"/>
    <x v="5"/>
    <x v="4"/>
    <n v="80343.06"/>
    <n v="66.3"/>
    <n v="231"/>
    <n v="161"/>
    <s v="Van"/>
    <n v="5"/>
    <s v="Premium"/>
    <n v="43236"/>
    <n v="3.38"/>
    <n v="3473712542.1599998"/>
  </r>
  <r>
    <x v="3"/>
    <s v="Leaf 50X"/>
    <x v="5"/>
    <x v="2"/>
    <n v="75747.87"/>
    <n v="69.2"/>
    <n v="279"/>
    <n v="154"/>
    <s v="Sedan"/>
    <n v="3"/>
    <s v="Premium"/>
    <n v="114789"/>
    <n v="3.65"/>
    <n v="8695022249.4300003"/>
  </r>
  <r>
    <x v="3"/>
    <s v="Qin"/>
    <x v="5"/>
    <x v="0"/>
    <n v="61700.639999999999"/>
    <n v="101.3"/>
    <n v="351"/>
    <n v="175"/>
    <s v="SUV"/>
    <n v="5"/>
    <s v="Mid-range"/>
    <n v="190763"/>
    <n v="4"/>
    <n v="11770199188.32"/>
  </r>
  <r>
    <x v="2"/>
    <s v="Model 3"/>
    <x v="5"/>
    <x v="4"/>
    <n v="152706.13"/>
    <n v="77.099999999999994"/>
    <n v="260"/>
    <n v="155"/>
    <s v="SUV"/>
    <n v="4"/>
    <s v="Luxury"/>
    <n v="172494"/>
    <n v="3.77"/>
    <n v="26340891188.220001"/>
  </r>
  <r>
    <x v="8"/>
    <s v="F-150 Lightning"/>
    <x v="5"/>
    <x v="2"/>
    <n v="57536.04"/>
    <n v="73.3"/>
    <n v="254"/>
    <n v="139"/>
    <s v="Truck"/>
    <n v="4"/>
    <s v="Mid-range"/>
    <n v="44164"/>
    <n v="3.54"/>
    <n v="2541021670.5599999"/>
  </r>
  <r>
    <x v="9"/>
    <s v="i3"/>
    <x v="5"/>
    <x v="1"/>
    <n v="162822.68"/>
    <n v="70.599999999999994"/>
    <n v="255"/>
    <n v="200"/>
    <s v="Truck"/>
    <n v="5"/>
    <s v="Luxury"/>
    <n v="48304"/>
    <n v="3.22"/>
    <n v="7864986734.7199993"/>
  </r>
  <r>
    <x v="4"/>
    <s v="e-tron"/>
    <x v="5"/>
    <x v="3"/>
    <n v="72972.25"/>
    <n v="58"/>
    <n v="223"/>
    <n v="139"/>
    <s v="SUV"/>
    <n v="5"/>
    <s v="Premium"/>
    <n v="23427"/>
    <n v="3.35"/>
    <n v="1709520900.75"/>
  </r>
  <r>
    <x v="6"/>
    <s v="i30"/>
    <x v="5"/>
    <x v="1"/>
    <n v="97964.98"/>
    <n v="106.9"/>
    <n v="392"/>
    <n v="192"/>
    <s v="Truck"/>
    <n v="4"/>
    <s v="Premium"/>
    <n v="98285"/>
    <n v="3.82"/>
    <n v="9628488059.2999992"/>
  </r>
  <r>
    <x v="7"/>
    <s v="ID. Buzz"/>
    <x v="5"/>
    <x v="3"/>
    <n v="60229.21"/>
    <n v="40.6"/>
    <n v="150"/>
    <n v="145"/>
    <s v="SUV"/>
    <n v="5"/>
    <s v="Mid-range"/>
    <n v="215577"/>
    <n v="3.2"/>
    <n v="12984032404.17"/>
  </r>
  <r>
    <x v="3"/>
    <s v="Leaf 50X"/>
    <x v="5"/>
    <x v="4"/>
    <n v="41881.699999999997"/>
    <n v="82.8"/>
    <n v="280"/>
    <n v="138"/>
    <s v="SUV"/>
    <n v="4"/>
    <s v="Mid-range"/>
    <n v="128802"/>
    <n v="3.46"/>
    <n v="5394446723.3999996"/>
  </r>
  <r>
    <x v="3"/>
    <s v="Atto 3"/>
    <x v="5"/>
    <x v="0"/>
    <n v="90653.56"/>
    <n v="81.3"/>
    <n v="304"/>
    <n v="164"/>
    <s v="Van"/>
    <n v="5"/>
    <s v="Premium"/>
    <n v="227338"/>
    <n v="3.64"/>
    <n v="20608999023.279999"/>
  </r>
  <r>
    <x v="3"/>
    <s v="Dolphin"/>
    <x v="5"/>
    <x v="0"/>
    <n v="27390.16"/>
    <n v="86"/>
    <n v="278"/>
    <n v="187"/>
    <s v="Coupe"/>
    <n v="4"/>
    <s v="Budget"/>
    <n v="146828"/>
    <n v="3.67"/>
    <n v="4021642412.48"/>
  </r>
  <r>
    <x v="6"/>
    <s v="Ioniq 5"/>
    <x v="5"/>
    <x v="0"/>
    <n v="94028.85"/>
    <n v="102.7"/>
    <n v="334"/>
    <n v="194"/>
    <s v="SUV"/>
    <n v="4"/>
    <s v="Premium"/>
    <n v="71912"/>
    <n v="3.59"/>
    <n v="6761802661.2000008"/>
  </r>
  <r>
    <x v="12"/>
    <s v="Bolt EV"/>
    <x v="5"/>
    <x v="4"/>
    <n v="59620.99"/>
    <n v="44.8"/>
    <n v="150"/>
    <n v="142"/>
    <s v="Coupe"/>
    <n v="5"/>
    <s v="Mid-range"/>
    <n v="21979"/>
    <n v="3.27"/>
    <n v="1310409739.21"/>
  </r>
  <r>
    <x v="7"/>
    <s v="ID. Buzz"/>
    <x v="5"/>
    <x v="1"/>
    <n v="78713.929999999993"/>
    <n v="85.5"/>
    <n v="300"/>
    <n v="200"/>
    <s v="Truck"/>
    <n v="4"/>
    <s v="Premium"/>
    <n v="216549"/>
    <n v="3.66"/>
    <n v="17045422827.569998"/>
  </r>
  <r>
    <x v="0"/>
    <s v="bZ4X"/>
    <x v="5"/>
    <x v="1"/>
    <n v="62345.64"/>
    <n v="105.4"/>
    <n v="377"/>
    <n v="200"/>
    <s v="Truck"/>
    <n v="5"/>
    <s v="Mid-range"/>
    <n v="15819"/>
    <n v="4.18"/>
    <n v="986245679.15999997"/>
  </r>
  <r>
    <x v="6"/>
    <s v="Kona Electric"/>
    <x v="5"/>
    <x v="0"/>
    <n v="40497.64"/>
    <n v="109"/>
    <n v="417"/>
    <n v="177"/>
    <s v="SUV"/>
    <n v="3"/>
    <s v="Mid-range"/>
    <n v="61921"/>
    <n v="3.92"/>
    <n v="2507654366.4400001"/>
  </r>
  <r>
    <x v="2"/>
    <s v="Model S"/>
    <x v="5"/>
    <x v="3"/>
    <n v="67489.81"/>
    <n v="67.099999999999994"/>
    <n v="239"/>
    <n v="146"/>
    <s v="Coupe"/>
    <n v="4"/>
    <s v="Premium"/>
    <n v="226745"/>
    <n v="3.61"/>
    <n v="15302976968.449999"/>
  </r>
  <r>
    <x v="5"/>
    <s v="Sportage EV"/>
    <x v="5"/>
    <x v="1"/>
    <n v="99993.15"/>
    <n v="93.7"/>
    <n v="336"/>
    <n v="196"/>
    <s v="SUV"/>
    <n v="4"/>
    <s v="Premium"/>
    <n v="52100"/>
    <n v="3.59"/>
    <n v="5209643115"/>
  </r>
  <r>
    <x v="6"/>
    <s v="i30"/>
    <x v="5"/>
    <x v="2"/>
    <n v="51159.74"/>
    <n v="75.599999999999994"/>
    <n v="278"/>
    <n v="153"/>
    <s v="Van"/>
    <n v="5"/>
    <s v="Mid-range"/>
    <n v="89226"/>
    <n v="3.67"/>
    <n v="4564778961.2399998"/>
  </r>
  <r>
    <x v="12"/>
    <s v="Blazer EV"/>
    <x v="5"/>
    <x v="3"/>
    <n v="46970.49"/>
    <n v="53.9"/>
    <n v="191"/>
    <n v="174"/>
    <s v="SUV"/>
    <n v="4"/>
    <s v="Mid-range"/>
    <n v="6914"/>
    <n v="3.21"/>
    <n v="324753967.86000001"/>
  </r>
  <r>
    <x v="7"/>
    <s v="ID. Buzz"/>
    <x v="5"/>
    <x v="0"/>
    <n v="93619.57"/>
    <n v="83.5"/>
    <n v="289"/>
    <n v="172"/>
    <s v="Sedan"/>
    <n v="5"/>
    <s v="Premium"/>
    <n v="222583"/>
    <n v="3.38"/>
    <n v="20838124749.310001"/>
  </r>
  <r>
    <x v="9"/>
    <s v="iX"/>
    <x v="5"/>
    <x v="0"/>
    <n v="124852.49"/>
    <n v="85.3"/>
    <n v="324"/>
    <n v="158"/>
    <s v="Sedan"/>
    <n v="3"/>
    <s v="Luxury"/>
    <n v="51096"/>
    <n v="3.39"/>
    <n v="6379462829.04"/>
  </r>
  <r>
    <x v="9"/>
    <s v="i5"/>
    <x v="5"/>
    <x v="3"/>
    <n v="97046.62"/>
    <n v="60"/>
    <n v="209"/>
    <n v="131"/>
    <s v="Hatchback"/>
    <n v="5"/>
    <s v="Premium"/>
    <n v="66065"/>
    <n v="3.41"/>
    <n v="6411384950.2999992"/>
  </r>
  <r>
    <x v="6"/>
    <s v="Kona Electric"/>
    <x v="5"/>
    <x v="0"/>
    <n v="43168.2"/>
    <n v="97.5"/>
    <n v="334"/>
    <n v="179"/>
    <s v="Van"/>
    <n v="4"/>
    <s v="Mid-range"/>
    <n v="84174"/>
    <n v="3.27"/>
    <n v="3633640066.7999997"/>
  </r>
  <r>
    <x v="7"/>
    <s v="ID.4"/>
    <x v="5"/>
    <x v="4"/>
    <n v="67323.210000000006"/>
    <n v="57.6"/>
    <n v="187"/>
    <n v="172"/>
    <s v="Van"/>
    <n v="5"/>
    <s v="Premium"/>
    <n v="295974"/>
    <n v="3.47"/>
    <n v="19925919756.540001"/>
  </r>
  <r>
    <x v="14"/>
    <s v="ET6"/>
    <x v="5"/>
    <x v="0"/>
    <n v="108463.22"/>
    <n v="80"/>
    <n v="263"/>
    <n v="200"/>
    <s v="SUV"/>
    <n v="3"/>
    <s v="Luxury"/>
    <n v="18130"/>
    <n v="3.2"/>
    <n v="1966438178.5999999"/>
  </r>
  <r>
    <x v="2"/>
    <s v="Model X"/>
    <x v="5"/>
    <x v="2"/>
    <n v="71274.600000000006"/>
    <n v="49.2"/>
    <n v="150"/>
    <n v="160"/>
    <s v="Van"/>
    <n v="5"/>
    <s v="Premium"/>
    <n v="132658"/>
    <n v="3.6"/>
    <n v="9455145886.8000011"/>
  </r>
  <r>
    <x v="2"/>
    <s v="Model 3"/>
    <x v="5"/>
    <x v="3"/>
    <n v="132101.43"/>
    <n v="47.9"/>
    <n v="150"/>
    <n v="144"/>
    <s v="SUV"/>
    <n v="5"/>
    <s v="Luxury"/>
    <n v="220080"/>
    <n v="3.43"/>
    <n v="29072882714.399998"/>
  </r>
  <r>
    <x v="9"/>
    <s v="i5"/>
    <x v="5"/>
    <x v="4"/>
    <n v="71335.77"/>
    <n v="45.4"/>
    <n v="168"/>
    <n v="143"/>
    <s v="Hatchback"/>
    <n v="4"/>
    <s v="Premium"/>
    <n v="26069"/>
    <n v="3.19"/>
    <n v="1859652188.1300001"/>
  </r>
  <r>
    <x v="3"/>
    <s v="Dolphin"/>
    <x v="5"/>
    <x v="2"/>
    <n v="62107.839999999997"/>
    <n v="82.5"/>
    <n v="291"/>
    <n v="142"/>
    <s v="Truck"/>
    <n v="4"/>
    <s v="Mid-range"/>
    <n v="129397"/>
    <n v="3.55"/>
    <n v="8036568172.4799995"/>
  </r>
  <r>
    <x v="4"/>
    <s v="e-tron GT"/>
    <x v="5"/>
    <x v="0"/>
    <n v="70111.179999999993"/>
    <n v="75.599999999999994"/>
    <n v="262"/>
    <n v="166"/>
    <s v="Coupe"/>
    <n v="3"/>
    <s v="Premium"/>
    <n v="79614"/>
    <n v="3.53"/>
    <n v="5581831484.5199995"/>
  </r>
  <r>
    <x v="4"/>
    <s v="Q6 e-tron"/>
    <x v="5"/>
    <x v="4"/>
    <n v="138510.75"/>
    <n v="62.7"/>
    <n v="204"/>
    <n v="133"/>
    <s v="Coupe"/>
    <n v="4"/>
    <s v="Luxury"/>
    <n v="58972"/>
    <n v="3.24"/>
    <n v="8168255949"/>
  </r>
  <r>
    <x v="4"/>
    <s v="e-tron GT"/>
    <x v="5"/>
    <x v="2"/>
    <n v="104530.78"/>
    <n v="61.3"/>
    <n v="194"/>
    <n v="135"/>
    <s v="SUV"/>
    <n v="5"/>
    <s v="Luxury"/>
    <n v="52472"/>
    <n v="3.51"/>
    <n v="5484939088.1599998"/>
  </r>
  <r>
    <x v="4"/>
    <s v="Q6 e-tron"/>
    <x v="5"/>
    <x v="0"/>
    <n v="97248.51"/>
    <n v="90.6"/>
    <n v="304"/>
    <n v="168"/>
    <s v="Van"/>
    <n v="5"/>
    <s v="Premium"/>
    <n v="46587"/>
    <n v="3.19"/>
    <n v="4530516335.3699999"/>
  </r>
  <r>
    <x v="9"/>
    <s v="iX"/>
    <x v="5"/>
    <x v="3"/>
    <n v="55554.9"/>
    <n v="41.7"/>
    <n v="151"/>
    <n v="173"/>
    <s v="Van"/>
    <n v="5"/>
    <s v="Mid-range"/>
    <n v="69514"/>
    <n v="3.1"/>
    <n v="3861843318.5999999"/>
  </r>
  <r>
    <x v="2"/>
    <s v="Model Y"/>
    <x v="5"/>
    <x v="2"/>
    <n v="42292.45"/>
    <n v="67.3"/>
    <n v="240"/>
    <n v="159"/>
    <s v="Truck"/>
    <n v="4"/>
    <s v="Mid-range"/>
    <n v="472726"/>
    <n v="3.66"/>
    <n v="19992740718.699997"/>
  </r>
  <r>
    <x v="5"/>
    <s v="EV9"/>
    <x v="5"/>
    <x v="3"/>
    <n v="77483.58"/>
    <n v="46.2"/>
    <n v="176"/>
    <n v="133"/>
    <s v="SUV"/>
    <n v="3"/>
    <s v="Premium"/>
    <n v="116585"/>
    <n v="3.02"/>
    <n v="9033423174.3000011"/>
  </r>
  <r>
    <x v="2"/>
    <s v="Model X"/>
    <x v="5"/>
    <x v="4"/>
    <n v="112066.22"/>
    <n v="43.2"/>
    <n v="167"/>
    <n v="134"/>
    <s v="Van"/>
    <n v="4"/>
    <s v="Luxury"/>
    <n v="245565"/>
    <n v="3.75"/>
    <n v="27519541314.299999"/>
  </r>
  <r>
    <x v="3"/>
    <s v="Seagull"/>
    <x v="5"/>
    <x v="2"/>
    <n v="67469.58"/>
    <n v="57.5"/>
    <n v="191"/>
    <n v="138"/>
    <s v="Hatchback"/>
    <n v="4"/>
    <s v="Premium"/>
    <n v="179136"/>
    <n v="3.46"/>
    <n v="12086230682.880001"/>
  </r>
  <r>
    <x v="3"/>
    <s v="Seagull"/>
    <x v="5"/>
    <x v="0"/>
    <n v="48990.53"/>
    <n v="99.3"/>
    <n v="357"/>
    <n v="156"/>
    <s v="SUV"/>
    <n v="4"/>
    <s v="Mid-range"/>
    <n v="211809"/>
    <n v="3.67"/>
    <n v="10376635168.77"/>
  </r>
  <r>
    <x v="13"/>
    <s v="GLE EV"/>
    <x v="5"/>
    <x v="0"/>
    <n v="122338.76"/>
    <n v="85.1"/>
    <n v="270"/>
    <n v="193"/>
    <s v="Hatchback"/>
    <n v="3"/>
    <s v="Luxury"/>
    <n v="52641"/>
    <n v="4.0599999999999996"/>
    <n v="6440034665.1599998"/>
  </r>
  <r>
    <x v="3"/>
    <s v="Seagull"/>
    <x v="5"/>
    <x v="0"/>
    <n v="24414.35"/>
    <n v="86.4"/>
    <n v="281"/>
    <n v="175"/>
    <s v="Sedan"/>
    <n v="5"/>
    <s v="Budget"/>
    <n v="228388"/>
    <n v="3.55"/>
    <n v="5575944567.7999992"/>
  </r>
  <r>
    <x v="7"/>
    <s v="ID. Buzz"/>
    <x v="5"/>
    <x v="0"/>
    <n v="52579.97"/>
    <n v="94.8"/>
    <n v="325"/>
    <n v="171"/>
    <s v="Hatchback"/>
    <n v="3"/>
    <s v="Mid-range"/>
    <n v="238272"/>
    <n v="3.57"/>
    <n v="12528334611.84"/>
  </r>
  <r>
    <x v="4"/>
    <s v="Q4 e-tron"/>
    <x v="5"/>
    <x v="2"/>
    <n v="81941.39"/>
    <n v="40.200000000000003"/>
    <n v="150"/>
    <n v="166"/>
    <s v="Coupe"/>
    <n v="5"/>
    <s v="Premium"/>
    <n v="77358"/>
    <n v="3"/>
    <n v="6338822047.6199999"/>
  </r>
  <r>
    <x v="8"/>
    <s v="Mustang Mach-E"/>
    <x v="5"/>
    <x v="3"/>
    <n v="56042.09"/>
    <n v="79.5"/>
    <n v="293"/>
    <n v="157"/>
    <s v="SUV"/>
    <n v="3"/>
    <s v="Mid-range"/>
    <n v="69874"/>
    <n v="3.35"/>
    <n v="3915884996.6599998"/>
  </r>
  <r>
    <x v="6"/>
    <s v="Ioniq 5"/>
    <x v="5"/>
    <x v="2"/>
    <n v="61128.92"/>
    <n v="46.1"/>
    <n v="180"/>
    <n v="153"/>
    <s v="Van"/>
    <n v="5"/>
    <s v="Mid-range"/>
    <n v="110095"/>
    <n v="3.32"/>
    <n v="6729988447.3999996"/>
  </r>
  <r>
    <x v="12"/>
    <s v="Equinox EV"/>
    <x v="5"/>
    <x v="3"/>
    <n v="32070.17"/>
    <n v="44.1"/>
    <n v="158"/>
    <n v="161"/>
    <s v="SUV"/>
    <n v="4"/>
    <s v="Budget"/>
    <n v="1331"/>
    <n v="3.29"/>
    <n v="42685396.269999996"/>
  </r>
  <r>
    <x v="9"/>
    <s v="i5"/>
    <x v="5"/>
    <x v="1"/>
    <n v="132666.57999999999"/>
    <n v="82"/>
    <n v="299"/>
    <n v="194"/>
    <s v="Van"/>
    <n v="5"/>
    <s v="Luxury"/>
    <n v="71584"/>
    <n v="3.74"/>
    <n v="9496804462.7199993"/>
  </r>
  <r>
    <x v="3"/>
    <s v="Yuan Plus"/>
    <x v="5"/>
    <x v="0"/>
    <n v="48600.01"/>
    <n v="81.400000000000006"/>
    <n v="288"/>
    <n v="167"/>
    <s v="Sedan"/>
    <n v="4"/>
    <s v="Mid-range"/>
    <n v="222634"/>
    <n v="3.67"/>
    <n v="10820014626.34"/>
  </r>
  <r>
    <x v="2"/>
    <s v="Cybertruck"/>
    <x v="5"/>
    <x v="1"/>
    <n v="116077.71"/>
    <n v="118.6"/>
    <n v="428"/>
    <n v="189"/>
    <s v="Truck"/>
    <n v="5"/>
    <s v="Luxury"/>
    <n v="150657"/>
    <n v="4.24"/>
    <n v="17487919555.470001"/>
  </r>
  <r>
    <x v="5"/>
    <s v="EV9"/>
    <x v="5"/>
    <x v="0"/>
    <n v="56772.77"/>
    <n v="100.2"/>
    <n v="356"/>
    <n v="167"/>
    <s v="SUV"/>
    <n v="4"/>
    <s v="Mid-range"/>
    <n v="99235"/>
    <n v="3.69"/>
    <n v="5633845830.9499998"/>
  </r>
  <r>
    <x v="14"/>
    <s v="EL8"/>
    <x v="5"/>
    <x v="4"/>
    <n v="87478.76"/>
    <n v="48.6"/>
    <n v="172"/>
    <n v="164"/>
    <s v="SUV"/>
    <n v="4"/>
    <s v="Premium"/>
    <n v="16505"/>
    <n v="3.43"/>
    <n v="1443836933.8"/>
  </r>
  <r>
    <x v="12"/>
    <s v="Bolt EUV"/>
    <x v="5"/>
    <x v="0"/>
    <n v="68470.14"/>
    <n v="87.2"/>
    <n v="293"/>
    <n v="157"/>
    <s v="Van"/>
    <n v="4"/>
    <s v="Premium"/>
    <n v="14899"/>
    <n v="3.33"/>
    <n v="1020136615.86"/>
  </r>
  <r>
    <x v="5"/>
    <s v="EV9"/>
    <x v="5"/>
    <x v="4"/>
    <n v="89987.27"/>
    <n v="70.400000000000006"/>
    <n v="245"/>
    <n v="174"/>
    <s v="SUV"/>
    <n v="4"/>
    <s v="Premium"/>
    <n v="123485"/>
    <n v="3.47"/>
    <n v="11112078035.950001"/>
  </r>
  <r>
    <x v="17"/>
    <s v="XC90 Recharge"/>
    <x v="5"/>
    <x v="1"/>
    <n v="106316.66"/>
    <n v="104.3"/>
    <n v="367"/>
    <n v="193"/>
    <s v="Van"/>
    <n v="5"/>
    <s v="Luxury"/>
    <n v="8684"/>
    <n v="3.86"/>
    <n v="923253875.44000006"/>
  </r>
  <r>
    <x v="2"/>
    <s v="Model Y"/>
    <x v="5"/>
    <x v="4"/>
    <n v="83799.48"/>
    <n v="74.599999999999994"/>
    <n v="276"/>
    <n v="153"/>
    <s v="Truck"/>
    <n v="5"/>
    <s v="Premium"/>
    <n v="427228"/>
    <n v="4.1500000000000004"/>
    <n v="35801484241.439995"/>
  </r>
  <r>
    <x v="12"/>
    <s v="Equinox EV"/>
    <x v="5"/>
    <x v="1"/>
    <n v="101369.89"/>
    <n v="89.3"/>
    <n v="325"/>
    <n v="195"/>
    <s v="SUV"/>
    <n v="3"/>
    <s v="Luxury"/>
    <n v="27681"/>
    <n v="3.35"/>
    <n v="2806019925.0900002"/>
  </r>
  <r>
    <x v="12"/>
    <s v="Blazer EV"/>
    <x v="5"/>
    <x v="2"/>
    <n v="61000.06"/>
    <n v="63.4"/>
    <n v="250"/>
    <n v="151"/>
    <s v="Truck"/>
    <n v="4"/>
    <s v="Mid-range"/>
    <n v="3536"/>
    <n v="3.69"/>
    <n v="215696212.16"/>
  </r>
  <r>
    <x v="12"/>
    <s v="Silverado EV"/>
    <x v="5"/>
    <x v="4"/>
    <n v="56307.41"/>
    <n v="55"/>
    <n v="193"/>
    <n v="155"/>
    <s v="Sedan"/>
    <n v="4"/>
    <s v="Mid-range"/>
    <n v="25746"/>
    <n v="3.34"/>
    <n v="1449690577.8600001"/>
  </r>
  <r>
    <x v="8"/>
    <s v="Explorer EV"/>
    <x v="5"/>
    <x v="0"/>
    <n v="92751.53"/>
    <n v="76.2"/>
    <n v="247"/>
    <n v="178"/>
    <s v="Truck"/>
    <n v="4"/>
    <s v="Premium"/>
    <n v="70352"/>
    <n v="3.3"/>
    <n v="6525255638.5599995"/>
  </r>
  <r>
    <x v="6"/>
    <s v="Ioniq 6"/>
    <x v="5"/>
    <x v="0"/>
    <n v="37714.46"/>
    <n v="105.8"/>
    <n v="359"/>
    <n v="170"/>
    <s v="Truck"/>
    <n v="4"/>
    <s v="Mid-range"/>
    <n v="77052"/>
    <n v="3.86"/>
    <n v="2905974571.9200001"/>
  </r>
  <r>
    <x v="9"/>
    <s v="i7"/>
    <x v="5"/>
    <x v="4"/>
    <n v="150512.16"/>
    <n v="44.6"/>
    <n v="150"/>
    <n v="170"/>
    <s v="Hatchback"/>
    <n v="4"/>
    <s v="Luxury"/>
    <n v="47379"/>
    <n v="3.31"/>
    <n v="7131115628.6400003"/>
  </r>
  <r>
    <x v="8"/>
    <s v="F-150 Lightning"/>
    <x v="5"/>
    <x v="0"/>
    <n v="66474.899999999994"/>
    <n v="78.5"/>
    <n v="273"/>
    <n v="168"/>
    <s v="Truck"/>
    <n v="4"/>
    <s v="Premium"/>
    <n v="43803"/>
    <n v="3.47"/>
    <n v="2911800044.6999998"/>
  </r>
  <r>
    <x v="3"/>
    <s v="Dolphin"/>
    <x v="5"/>
    <x v="2"/>
    <n v="42876.18"/>
    <n v="78.3"/>
    <n v="263"/>
    <n v="161"/>
    <s v="SUV"/>
    <n v="5"/>
    <s v="Mid-range"/>
    <n v="158327"/>
    <n v="3.29"/>
    <n v="6788456950.8599997"/>
  </r>
  <r>
    <x v="5"/>
    <s v="EV6"/>
    <x v="5"/>
    <x v="1"/>
    <n v="117331.76"/>
    <n v="116.3"/>
    <n v="411"/>
    <n v="200"/>
    <s v="Coupe"/>
    <n v="4"/>
    <s v="Luxury"/>
    <n v="108933"/>
    <n v="3.59"/>
    <n v="12781300612.08"/>
  </r>
  <r>
    <x v="5"/>
    <s v="EV6"/>
    <x v="5"/>
    <x v="2"/>
    <n v="74609.83"/>
    <n v="44.7"/>
    <n v="153"/>
    <n v="165"/>
    <s v="Truck"/>
    <n v="5"/>
    <s v="Premium"/>
    <n v="84247"/>
    <n v="3.42"/>
    <n v="6285654348.0100002"/>
  </r>
  <r>
    <x v="2"/>
    <s v="Cybertruck"/>
    <x v="5"/>
    <x v="2"/>
    <n v="87113.04"/>
    <n v="47.4"/>
    <n v="150"/>
    <n v="176"/>
    <s v="Truck"/>
    <n v="4"/>
    <s v="Premium"/>
    <n v="217680"/>
    <n v="3.55"/>
    <n v="18962766547.199997"/>
  </r>
  <r>
    <x v="2"/>
    <s v="Cybertruck"/>
    <x v="5"/>
    <x v="1"/>
    <n v="166572.78"/>
    <n v="117.8"/>
    <n v="398"/>
    <n v="200"/>
    <s v="Truck"/>
    <n v="5"/>
    <s v="Luxury"/>
    <n v="229037"/>
    <n v="4.3499999999999996"/>
    <n v="38151329812.860001"/>
  </r>
  <r>
    <x v="8"/>
    <s v="E-Transit"/>
    <x v="5"/>
    <x v="3"/>
    <n v="49970.16"/>
    <n v="77.5"/>
    <n v="267"/>
    <n v="181"/>
    <s v="Truck"/>
    <n v="4"/>
    <s v="Mid-range"/>
    <n v="35218"/>
    <n v="3.57"/>
    <n v="1759849094.8800001"/>
  </r>
  <r>
    <x v="9"/>
    <s v="i4"/>
    <x v="5"/>
    <x v="2"/>
    <n v="85729.44"/>
    <n v="59.9"/>
    <n v="191"/>
    <n v="168"/>
    <s v="Truck"/>
    <n v="5"/>
    <s v="Premium"/>
    <n v="29338"/>
    <n v="3.48"/>
    <n v="2515130310.7200003"/>
  </r>
  <r>
    <x v="12"/>
    <s v="Blazer EV"/>
    <x v="5"/>
    <x v="4"/>
    <n v="80896.009999999995"/>
    <n v="64.400000000000006"/>
    <n v="194"/>
    <n v="148"/>
    <s v="Hatchback"/>
    <n v="4"/>
    <s v="Premium"/>
    <n v="11404"/>
    <n v="3.35"/>
    <n v="922538098.03999996"/>
  </r>
  <r>
    <x v="7"/>
    <s v="ID. Buzz"/>
    <x v="5"/>
    <x v="0"/>
    <n v="66045.149999999994"/>
    <n v="82.5"/>
    <n v="269"/>
    <n v="163"/>
    <s v="Hatchback"/>
    <n v="4"/>
    <s v="Premium"/>
    <n v="228215"/>
    <n v="3.37"/>
    <n v="15072493907.249998"/>
  </r>
  <r>
    <x v="12"/>
    <s v="Blazer EV"/>
    <x v="5"/>
    <x v="3"/>
    <n v="70614.100000000006"/>
    <n v="41.9"/>
    <n v="187"/>
    <n v="173"/>
    <s v="Hatchback"/>
    <n v="4"/>
    <s v="Premium"/>
    <n v="27643"/>
    <n v="3.38"/>
    <n v="1951985566.3000002"/>
  </r>
  <r>
    <x v="7"/>
    <s v="ID.4"/>
    <x v="5"/>
    <x v="1"/>
    <n v="80549.5"/>
    <n v="119.7"/>
    <n v="447"/>
    <n v="192"/>
    <s v="Truck"/>
    <n v="5"/>
    <s v="Premium"/>
    <n v="291709"/>
    <n v="3.7"/>
    <n v="23497014095.5"/>
  </r>
  <r>
    <x v="5"/>
    <s v="Picanto EV"/>
    <x v="5"/>
    <x v="2"/>
    <n v="41416.019999999997"/>
    <n v="60.8"/>
    <n v="228"/>
    <n v="160"/>
    <s v="Hatchback"/>
    <n v="5"/>
    <s v="Mid-range"/>
    <n v="137512"/>
    <n v="3.35"/>
    <n v="5695199742.2399998"/>
  </r>
  <r>
    <x v="9"/>
    <s v="i3"/>
    <x v="5"/>
    <x v="1"/>
    <n v="97630.54"/>
    <n v="108"/>
    <n v="374"/>
    <n v="200"/>
    <s v="Truck"/>
    <n v="4"/>
    <s v="Premium"/>
    <n v="50895"/>
    <n v="3.63"/>
    <n v="4968906333.2999992"/>
  </r>
  <r>
    <x v="0"/>
    <s v="bZ4X"/>
    <x v="5"/>
    <x v="0"/>
    <n v="77617.509999999995"/>
    <n v="84.5"/>
    <n v="295"/>
    <n v="180"/>
    <s v="Coupe"/>
    <n v="5"/>
    <s v="Premium"/>
    <n v="15856"/>
    <n v="3.46"/>
    <n v="1230703238.5599999"/>
  </r>
  <r>
    <x v="12"/>
    <s v="Bolt EV"/>
    <x v="5"/>
    <x v="1"/>
    <n v="53614.17"/>
    <n v="77.3"/>
    <n v="266"/>
    <n v="192"/>
    <s v="Truck"/>
    <n v="5"/>
    <s v="Mid-range"/>
    <n v="7236"/>
    <n v="3.24"/>
    <n v="387952134.12"/>
  </r>
  <r>
    <x v="5"/>
    <s v="EV9"/>
    <x v="5"/>
    <x v="4"/>
    <n v="62151.7"/>
    <n v="74"/>
    <n v="246"/>
    <n v="129"/>
    <s v="SUV"/>
    <n v="5"/>
    <s v="Mid-range"/>
    <n v="58624"/>
    <n v="3.74"/>
    <n v="3643581260.7999997"/>
  </r>
  <r>
    <x v="7"/>
    <s v="ID. Buzz"/>
    <x v="5"/>
    <x v="1"/>
    <n v="57462.19"/>
    <n v="76.2"/>
    <n v="259"/>
    <n v="183"/>
    <s v="Hatchback"/>
    <n v="4"/>
    <s v="Mid-range"/>
    <n v="298599"/>
    <n v="3.42"/>
    <n v="17158152471.810001"/>
  </r>
  <r>
    <x v="7"/>
    <s v="ID.3"/>
    <x v="5"/>
    <x v="1"/>
    <n v="88158.61"/>
    <n v="99.8"/>
    <n v="333"/>
    <n v="200"/>
    <s v="Hatchback"/>
    <n v="5"/>
    <s v="Premium"/>
    <n v="265949"/>
    <n v="3.68"/>
    <n v="23445694170.889999"/>
  </r>
  <r>
    <x v="2"/>
    <s v="Cybertruck"/>
    <x v="5"/>
    <x v="2"/>
    <n v="29689.54"/>
    <n v="58.1"/>
    <n v="216"/>
    <n v="170"/>
    <s v="Truck"/>
    <n v="5"/>
    <s v="Budget"/>
    <n v="210522"/>
    <n v="3.78"/>
    <n v="6250301339.8800001"/>
  </r>
  <r>
    <x v="2"/>
    <s v="Model S"/>
    <x v="5"/>
    <x v="0"/>
    <n v="129183.24"/>
    <n v="87.9"/>
    <n v="337"/>
    <n v="169"/>
    <s v="Hatchback"/>
    <n v="5"/>
    <s v="Luxury"/>
    <n v="207546"/>
    <n v="3.74"/>
    <n v="26811464729.040001"/>
  </r>
  <r>
    <x v="2"/>
    <s v="Cybertruck"/>
    <x v="5"/>
    <x v="0"/>
    <n v="132226.95000000001"/>
    <n v="87.5"/>
    <n v="319"/>
    <n v="176"/>
    <s v="Truck"/>
    <n v="5"/>
    <s v="Luxury"/>
    <n v="133735"/>
    <n v="3.85"/>
    <n v="17683371158.25"/>
  </r>
  <r>
    <x v="2"/>
    <s v="Model S"/>
    <x v="5"/>
    <x v="4"/>
    <n v="162032.44"/>
    <n v="61.2"/>
    <n v="193"/>
    <n v="132"/>
    <s v="Sedan"/>
    <n v="5"/>
    <s v="Luxury"/>
    <n v="210253"/>
    <n v="3.9"/>
    <n v="34067806607.32"/>
  </r>
  <r>
    <x v="6"/>
    <s v="Kona Electric"/>
    <x v="5"/>
    <x v="4"/>
    <n v="51036.86"/>
    <n v="52.8"/>
    <n v="234"/>
    <n v="142"/>
    <s v="Coupe"/>
    <n v="5"/>
    <s v="Mid-range"/>
    <n v="55671"/>
    <n v="3.38"/>
    <n v="2841273033.0599999"/>
  </r>
  <r>
    <x v="2"/>
    <s v="Model S"/>
    <x v="5"/>
    <x v="2"/>
    <n v="54018.19"/>
    <n v="40.6"/>
    <n v="150"/>
    <n v="145"/>
    <s v="Coupe"/>
    <n v="4"/>
    <s v="Mid-range"/>
    <n v="101221"/>
    <n v="3.6"/>
    <n v="5467775209.9899998"/>
  </r>
  <r>
    <x v="7"/>
    <s v="ID.5"/>
    <x v="5"/>
    <x v="2"/>
    <n v="78662.149999999994"/>
    <n v="41.4"/>
    <n v="150"/>
    <n v="134"/>
    <s v="Van"/>
    <n v="4"/>
    <s v="Premium"/>
    <n v="237990"/>
    <n v="3.28"/>
    <n v="18720805078.5"/>
  </r>
  <r>
    <x v="5"/>
    <s v="EV9"/>
    <x v="5"/>
    <x v="4"/>
    <n v="103512.45"/>
    <n v="63"/>
    <n v="213"/>
    <n v="124"/>
    <s v="SUV"/>
    <n v="5"/>
    <s v="Luxury"/>
    <n v="50563"/>
    <n v="3.44"/>
    <n v="5233900009.3499994"/>
  </r>
  <r>
    <x v="6"/>
    <s v="Ioniq 6"/>
    <x v="5"/>
    <x v="3"/>
    <n v="39399.56"/>
    <n v="70.900000000000006"/>
    <n v="268"/>
    <n v="159"/>
    <s v="SUV"/>
    <n v="4"/>
    <s v="Mid-range"/>
    <n v="101021"/>
    <n v="3.33"/>
    <n v="3980182950.7599998"/>
  </r>
  <r>
    <x v="9"/>
    <s v="i7"/>
    <x v="5"/>
    <x v="1"/>
    <n v="113646.11"/>
    <n v="73.599999999999994"/>
    <n v="279"/>
    <n v="199"/>
    <s v="Truck"/>
    <n v="5"/>
    <s v="Luxury"/>
    <n v="68048"/>
    <n v="3.7"/>
    <n v="7733390493.2799997"/>
  </r>
  <r>
    <x v="2"/>
    <s v="Model 3"/>
    <x v="5"/>
    <x v="2"/>
    <n v="42979.12"/>
    <n v="62.8"/>
    <n v="229"/>
    <n v="133"/>
    <s v="SUV"/>
    <n v="4"/>
    <s v="Mid-range"/>
    <n v="207769"/>
    <n v="3.71"/>
    <n v="8929728783.2800007"/>
  </r>
  <r>
    <x v="7"/>
    <s v="ID.5"/>
    <x v="5"/>
    <x v="1"/>
    <n v="97402.81"/>
    <n v="71.7"/>
    <n v="258"/>
    <n v="200"/>
    <s v="Truck"/>
    <n v="4"/>
    <s v="Premium"/>
    <n v="255988"/>
    <n v="3.58"/>
    <n v="24933950526.279999"/>
  </r>
  <r>
    <x v="9"/>
    <s v="i7"/>
    <x v="5"/>
    <x v="3"/>
    <n v="85706.08"/>
    <n v="45.1"/>
    <n v="150"/>
    <n v="135"/>
    <s v="Hatchback"/>
    <n v="4"/>
    <s v="Premium"/>
    <n v="78799"/>
    <n v="3.26"/>
    <n v="6753553397.9200001"/>
  </r>
  <r>
    <x v="7"/>
    <s v="ID.3"/>
    <x v="5"/>
    <x v="1"/>
    <n v="58313.43"/>
    <n v="71.5"/>
    <n v="260"/>
    <n v="193"/>
    <s v="Truck"/>
    <n v="3"/>
    <s v="Mid-range"/>
    <n v="263694"/>
    <n v="3.21"/>
    <n v="15376901610.42"/>
  </r>
  <r>
    <x v="4"/>
    <s v="e-tron"/>
    <x v="5"/>
    <x v="3"/>
    <n v="91038.75"/>
    <n v="55.9"/>
    <n v="192"/>
    <n v="149"/>
    <s v="Truck"/>
    <n v="5"/>
    <s v="Premium"/>
    <n v="26577"/>
    <n v="3.76"/>
    <n v="2419536858.75"/>
  </r>
  <r>
    <x v="2"/>
    <s v="Model 3"/>
    <x v="5"/>
    <x v="2"/>
    <n v="69626.259999999995"/>
    <n v="76.8"/>
    <n v="249"/>
    <n v="158"/>
    <s v="Sedan"/>
    <n v="5"/>
    <s v="Premium"/>
    <n v="189686"/>
    <n v="3.74"/>
    <n v="13207126754.359999"/>
  </r>
  <r>
    <x v="9"/>
    <s v="i7"/>
    <x v="5"/>
    <x v="2"/>
    <n v="66273.55"/>
    <n v="72.400000000000006"/>
    <n v="246"/>
    <n v="154"/>
    <s v="Truck"/>
    <n v="5"/>
    <s v="Premium"/>
    <n v="30088"/>
    <n v="3.19"/>
    <n v="1994038572.4000001"/>
  </r>
  <r>
    <x v="13"/>
    <s v="GLE EV"/>
    <x v="5"/>
    <x v="2"/>
    <n v="127213.62"/>
    <n v="61.6"/>
    <n v="214"/>
    <n v="146"/>
    <s v="Sedan"/>
    <n v="4"/>
    <s v="Luxury"/>
    <n v="74928"/>
    <n v="3.82"/>
    <n v="9531862119.3599987"/>
  </r>
  <r>
    <x v="2"/>
    <s v="Model S"/>
    <x v="5"/>
    <x v="0"/>
    <n v="137829.03"/>
    <n v="95.3"/>
    <n v="323"/>
    <n v="187"/>
    <s v="Van"/>
    <n v="3"/>
    <s v="Luxury"/>
    <n v="239713"/>
    <n v="3.88"/>
    <n v="33039410268.389999"/>
  </r>
  <r>
    <x v="12"/>
    <s v="Silverado EV"/>
    <x v="5"/>
    <x v="3"/>
    <n v="70239.009999999995"/>
    <n v="40.5"/>
    <n v="150"/>
    <n v="184"/>
    <s v="Van"/>
    <n v="5"/>
    <s v="Premium"/>
    <n v="23483"/>
    <n v="3.13"/>
    <n v="1649422671.8299999"/>
  </r>
  <r>
    <x v="12"/>
    <s v="Blazer EV"/>
    <x v="5"/>
    <x v="0"/>
    <n v="44798.27"/>
    <n v="109.1"/>
    <n v="375"/>
    <n v="168"/>
    <s v="Hatchback"/>
    <n v="4"/>
    <s v="Mid-range"/>
    <n v="19461"/>
    <n v="3.6"/>
    <n v="871819132.46999991"/>
  </r>
  <r>
    <x v="17"/>
    <s v="XC90 Recharge"/>
    <x v="5"/>
    <x v="3"/>
    <n v="55877.09"/>
    <n v="51.9"/>
    <n v="192"/>
    <n v="166"/>
    <s v="Van"/>
    <n v="5"/>
    <s v="Mid-range"/>
    <n v="15994"/>
    <n v="3.31"/>
    <n v="893698177.45999992"/>
  </r>
  <r>
    <x v="3"/>
    <s v="Dolphin"/>
    <x v="5"/>
    <x v="3"/>
    <n v="22600.22"/>
    <n v="66.900000000000006"/>
    <n v="206"/>
    <n v="146"/>
    <s v="Hatchback"/>
    <n v="5"/>
    <s v="Budget"/>
    <n v="131689"/>
    <n v="3.16"/>
    <n v="2976200371.5799999"/>
  </r>
  <r>
    <x v="12"/>
    <s v="Blazer EV"/>
    <x v="5"/>
    <x v="3"/>
    <n v="35979.300000000003"/>
    <n v="56.1"/>
    <n v="209"/>
    <n v="124"/>
    <s v="SUV"/>
    <n v="4"/>
    <s v="Mid-range"/>
    <n v="25503"/>
    <n v="3.61"/>
    <n v="917580087.9000001"/>
  </r>
  <r>
    <x v="12"/>
    <s v="Equinox EV"/>
    <x v="5"/>
    <x v="1"/>
    <n v="57051.32"/>
    <n v="98.6"/>
    <n v="344"/>
    <n v="200"/>
    <s v="SUV"/>
    <n v="4"/>
    <s v="Mid-range"/>
    <n v="13660"/>
    <n v="3.69"/>
    <n v="779321031.20000005"/>
  </r>
  <r>
    <x v="2"/>
    <s v="Model Y"/>
    <x v="5"/>
    <x v="2"/>
    <n v="109970.08"/>
    <n v="60"/>
    <n v="194"/>
    <n v="165"/>
    <s v="Coupe"/>
    <n v="4"/>
    <s v="Luxury"/>
    <n v="456748"/>
    <n v="3.5"/>
    <n v="50228614099.840004"/>
  </r>
  <r>
    <x v="6"/>
    <s v="i30"/>
    <x v="5"/>
    <x v="3"/>
    <n v="65007.57"/>
    <n v="44.2"/>
    <n v="150"/>
    <n v="174"/>
    <s v="Hatchback"/>
    <n v="4"/>
    <s v="Premium"/>
    <n v="138781"/>
    <n v="3.03"/>
    <n v="9021815572.1700001"/>
  </r>
  <r>
    <x v="4"/>
    <s v="e-tron"/>
    <x v="5"/>
    <x v="2"/>
    <n v="79195.78"/>
    <n v="74.7"/>
    <n v="275"/>
    <n v="162"/>
    <s v="Sedan"/>
    <n v="4"/>
    <s v="Premium"/>
    <n v="62967"/>
    <n v="3.57"/>
    <n v="4986720679.2600002"/>
  </r>
  <r>
    <x v="4"/>
    <s v="e-tron"/>
    <x v="5"/>
    <x v="2"/>
    <n v="84380.71"/>
    <n v="80"/>
    <n v="275"/>
    <n v="165"/>
    <s v="SUV"/>
    <n v="4"/>
    <s v="Premium"/>
    <n v="37226"/>
    <n v="3.53"/>
    <n v="3141156310.46"/>
  </r>
  <r>
    <x v="2"/>
    <s v="Model X"/>
    <x v="5"/>
    <x v="3"/>
    <n v="76635.5"/>
    <n v="45.2"/>
    <n v="150"/>
    <n v="175"/>
    <s v="SUV"/>
    <n v="5"/>
    <s v="Premium"/>
    <n v="167458"/>
    <n v="3.59"/>
    <n v="12833227559"/>
  </r>
  <r>
    <x v="5"/>
    <s v="Picanto EV"/>
    <x v="5"/>
    <x v="2"/>
    <n v="41302.85"/>
    <n v="54.4"/>
    <n v="210"/>
    <n v="128"/>
    <s v="Truck"/>
    <n v="5"/>
    <s v="Mid-range"/>
    <n v="124417"/>
    <n v="3.31"/>
    <n v="5138776688.4499998"/>
  </r>
  <r>
    <x v="3"/>
    <s v="Dolphin"/>
    <x v="5"/>
    <x v="1"/>
    <n v="53327.95"/>
    <n v="101.5"/>
    <n v="344"/>
    <n v="186"/>
    <s v="Sedan"/>
    <n v="4"/>
    <s v="Mid-range"/>
    <n v="120007"/>
    <n v="3.46"/>
    <n v="6399727295.6499996"/>
  </r>
  <r>
    <x v="12"/>
    <s v="Silverado EV"/>
    <x v="5"/>
    <x v="1"/>
    <n v="50051.199999999997"/>
    <n v="92.1"/>
    <n v="286"/>
    <n v="199"/>
    <s v="Sedan"/>
    <n v="5"/>
    <s v="Mid-range"/>
    <n v="17861"/>
    <n v="3.54"/>
    <n v="893964483.19999993"/>
  </r>
  <r>
    <x v="2"/>
    <s v="Cybertruck"/>
    <x v="5"/>
    <x v="2"/>
    <n v="69446.789999999994"/>
    <n v="55.6"/>
    <n v="196"/>
    <n v="155"/>
    <s v="Truck"/>
    <n v="4"/>
    <s v="Premium"/>
    <n v="214270"/>
    <n v="3.74"/>
    <n v="14880363693.299999"/>
  </r>
  <r>
    <x v="7"/>
    <s v="ID. Aero"/>
    <x v="5"/>
    <x v="4"/>
    <n v="89383.1"/>
    <n v="57.7"/>
    <n v="217"/>
    <n v="143"/>
    <s v="Truck"/>
    <n v="4"/>
    <s v="Premium"/>
    <n v="222817"/>
    <n v="3.39"/>
    <n v="19916074192.700001"/>
  </r>
  <r>
    <x v="3"/>
    <s v="Max"/>
    <x v="5"/>
    <x v="1"/>
    <n v="92829.9"/>
    <n v="82.3"/>
    <n v="285"/>
    <n v="200"/>
    <s v="SUV"/>
    <n v="5"/>
    <s v="Premium"/>
    <n v="235698"/>
    <n v="3.58"/>
    <n v="21879821770.199997"/>
  </r>
  <r>
    <x v="2"/>
    <s v="Cybertruck"/>
    <x v="5"/>
    <x v="4"/>
    <n v="35991.9"/>
    <n v="60.6"/>
    <n v="218"/>
    <n v="151"/>
    <s v="Truck"/>
    <n v="4"/>
    <s v="Mid-range"/>
    <n v="169730"/>
    <n v="3.71"/>
    <n v="6108905187"/>
  </r>
  <r>
    <x v="2"/>
    <s v="Model 3"/>
    <x v="5"/>
    <x v="2"/>
    <n v="88596.07"/>
    <n v="45.9"/>
    <n v="179"/>
    <n v="178"/>
    <s v="Van"/>
    <n v="5"/>
    <s v="Premium"/>
    <n v="124700"/>
    <n v="3.61"/>
    <n v="11047929929"/>
  </r>
  <r>
    <x v="2"/>
    <s v="Model S"/>
    <x v="5"/>
    <x v="2"/>
    <n v="43016.55"/>
    <n v="44.3"/>
    <n v="159"/>
    <n v="163"/>
    <s v="SUV"/>
    <n v="5"/>
    <s v="Mid-range"/>
    <n v="118264"/>
    <n v="3.47"/>
    <n v="5087309269.2000008"/>
  </r>
  <r>
    <x v="7"/>
    <s v="ID.4"/>
    <x v="5"/>
    <x v="1"/>
    <n v="66259.17"/>
    <n v="77.599999999999994"/>
    <n v="256"/>
    <n v="200"/>
    <s v="Sedan"/>
    <n v="4"/>
    <s v="Premium"/>
    <n v="296982"/>
    <n v="3.45"/>
    <n v="19677780824.939999"/>
  </r>
  <r>
    <x v="12"/>
    <s v="Bolt EV"/>
    <x v="5"/>
    <x v="4"/>
    <n v="93152"/>
    <n v="60.9"/>
    <n v="214"/>
    <n v="145"/>
    <s v="Sedan"/>
    <n v="5"/>
    <s v="Premium"/>
    <n v="20002"/>
    <n v="3.74"/>
    <n v="1863226304"/>
  </r>
  <r>
    <x v="4"/>
    <s v="e-tron GT"/>
    <x v="5"/>
    <x v="3"/>
    <n v="109816.18"/>
    <n v="60.8"/>
    <n v="222"/>
    <n v="139"/>
    <s v="Sedan"/>
    <n v="5"/>
    <s v="Luxury"/>
    <n v="73358"/>
    <n v="3.54"/>
    <n v="8055895332.4399996"/>
  </r>
  <r>
    <x v="6"/>
    <s v="Ioniq 6"/>
    <x v="5"/>
    <x v="3"/>
    <n v="63640"/>
    <n v="40.299999999999997"/>
    <n v="150"/>
    <n v="131"/>
    <s v="Truck"/>
    <n v="4"/>
    <s v="Mid-range"/>
    <n v="139571"/>
    <n v="3.2"/>
    <n v="8882298440"/>
  </r>
  <r>
    <x v="2"/>
    <s v="Model Y"/>
    <x v="5"/>
    <x v="0"/>
    <n v="161112.44"/>
    <n v="98.8"/>
    <n v="371"/>
    <n v="163"/>
    <s v="Coupe"/>
    <n v="4"/>
    <s v="Luxury"/>
    <n v="404800"/>
    <n v="4.22"/>
    <n v="65218315712"/>
  </r>
  <r>
    <x v="6"/>
    <s v="Ioniq 6"/>
    <x v="5"/>
    <x v="4"/>
    <n v="44861.53"/>
    <n v="84.1"/>
    <n v="305"/>
    <n v="172"/>
    <s v="Coupe"/>
    <n v="4"/>
    <s v="Mid-range"/>
    <n v="98434"/>
    <n v="3.53"/>
    <n v="4415899844.0199995"/>
  </r>
  <r>
    <x v="2"/>
    <s v="Model 3"/>
    <x v="5"/>
    <x v="1"/>
    <n v="42441.37"/>
    <n v="104.2"/>
    <n v="372"/>
    <n v="200"/>
    <s v="Truck"/>
    <n v="5"/>
    <s v="Mid-range"/>
    <n v="230471"/>
    <n v="4.32"/>
    <n v="9781504985.2700005"/>
  </r>
  <r>
    <x v="7"/>
    <s v="ID.4"/>
    <x v="5"/>
    <x v="0"/>
    <n v="47485.93"/>
    <n v="104.7"/>
    <n v="349"/>
    <n v="166"/>
    <s v="Sedan"/>
    <n v="4"/>
    <s v="Mid-range"/>
    <n v="243761"/>
    <n v="3.63"/>
    <n v="11575217782.73"/>
  </r>
  <r>
    <x v="3"/>
    <s v="Dolphin"/>
    <x v="5"/>
    <x v="1"/>
    <n v="53346.09"/>
    <n v="111"/>
    <n v="410"/>
    <n v="189"/>
    <s v="SUV"/>
    <n v="5"/>
    <s v="Mid-range"/>
    <n v="141126"/>
    <n v="4.1900000000000004"/>
    <n v="7528520297.3399992"/>
  </r>
  <r>
    <x v="13"/>
    <s v="EQC"/>
    <x v="5"/>
    <x v="0"/>
    <n v="162751.1"/>
    <n v="96.3"/>
    <n v="344"/>
    <n v="185"/>
    <s v="Sedan"/>
    <n v="5"/>
    <s v="Luxury"/>
    <n v="68195"/>
    <n v="4.28"/>
    <n v="11098811264.5"/>
  </r>
  <r>
    <x v="6"/>
    <s v="i30"/>
    <x v="5"/>
    <x v="3"/>
    <n v="41853.99"/>
    <n v="80.099999999999994"/>
    <n v="318"/>
    <n v="157"/>
    <s v="Hatchback"/>
    <n v="4"/>
    <s v="Mid-range"/>
    <n v="111448"/>
    <n v="3.65"/>
    <n v="4664543477.5199995"/>
  </r>
  <r>
    <x v="17"/>
    <s v="XC90 Recharge"/>
    <x v="5"/>
    <x v="4"/>
    <n v="96813.71"/>
    <n v="40.6"/>
    <n v="150"/>
    <n v="123"/>
    <s v="Van"/>
    <n v="5"/>
    <s v="Premium"/>
    <n v="10606"/>
    <n v="3.2"/>
    <n v="1026806208.2600001"/>
  </r>
  <r>
    <x v="2"/>
    <s v="Model Y"/>
    <x v="5"/>
    <x v="4"/>
    <n v="129623.74"/>
    <n v="54.6"/>
    <n v="210"/>
    <n v="132"/>
    <s v="Truck"/>
    <n v="5"/>
    <s v="Luxury"/>
    <n v="481115"/>
    <n v="3.49"/>
    <n v="62363925670.100006"/>
  </r>
  <r>
    <x v="1"/>
    <s v="Ocean"/>
    <x v="5"/>
    <x v="4"/>
    <n v="141027"/>
    <n v="54.1"/>
    <n v="190"/>
    <n v="168"/>
    <s v="Sedan"/>
    <n v="5"/>
    <s v="Luxury"/>
    <n v="11123"/>
    <n v="3.38"/>
    <n v="1568643321"/>
  </r>
  <r>
    <x v="9"/>
    <s v="i4"/>
    <x v="5"/>
    <x v="4"/>
    <n v="113836.67"/>
    <n v="71.5"/>
    <n v="253"/>
    <n v="152"/>
    <s v="SUV"/>
    <n v="4"/>
    <s v="Luxury"/>
    <n v="42535"/>
    <n v="3.47"/>
    <n v="4842042758.4499998"/>
  </r>
  <r>
    <x v="12"/>
    <s v="Silverado EV"/>
    <x v="5"/>
    <x v="3"/>
    <n v="51177.18"/>
    <n v="46.9"/>
    <n v="150"/>
    <n v="140"/>
    <s v="Van"/>
    <n v="4"/>
    <s v="Mid-range"/>
    <n v="14323"/>
    <n v="3.34"/>
    <n v="733010749.13999999"/>
  </r>
  <r>
    <x v="5"/>
    <s v="Niro EV"/>
    <x v="5"/>
    <x v="1"/>
    <n v="56005.31"/>
    <n v="102.7"/>
    <n v="361"/>
    <n v="184"/>
    <s v="Sedan"/>
    <n v="5"/>
    <s v="Mid-range"/>
    <n v="96451"/>
    <n v="3.9"/>
    <n v="5401768154.8099995"/>
  </r>
  <r>
    <x v="7"/>
    <s v="ID.3"/>
    <x v="5"/>
    <x v="1"/>
    <n v="88484.86"/>
    <n v="105.9"/>
    <n v="381"/>
    <n v="196"/>
    <s v="Coupe"/>
    <n v="3"/>
    <s v="Premium"/>
    <n v="285530"/>
    <n v="3.65"/>
    <n v="25265082075.799999"/>
  </r>
  <r>
    <x v="3"/>
    <s v="Max"/>
    <x v="5"/>
    <x v="4"/>
    <n v="104281.84"/>
    <n v="69.7"/>
    <n v="233"/>
    <n v="170"/>
    <s v="Van"/>
    <n v="4"/>
    <s v="Luxury"/>
    <n v="164080"/>
    <n v="3.52"/>
    <n v="17110564307.199999"/>
  </r>
  <r>
    <x v="3"/>
    <s v="Max"/>
    <x v="5"/>
    <x v="3"/>
    <n v="86288.72"/>
    <n v="81.900000000000006"/>
    <n v="311"/>
    <n v="174"/>
    <s v="Van"/>
    <n v="4"/>
    <s v="Premium"/>
    <n v="120560"/>
    <n v="3.71"/>
    <n v="10402968083.200001"/>
  </r>
  <r>
    <x v="5"/>
    <s v="Picanto EV"/>
    <x v="5"/>
    <x v="2"/>
    <n v="58803.16"/>
    <n v="70.099999999999994"/>
    <n v="248"/>
    <n v="153"/>
    <s v="Truck"/>
    <n v="4"/>
    <s v="Mid-range"/>
    <n v="111130"/>
    <n v="3.52"/>
    <n v="6534795170.8000002"/>
  </r>
  <r>
    <x v="3"/>
    <s v="Qin"/>
    <x v="5"/>
    <x v="1"/>
    <n v="122517.87"/>
    <n v="73.599999999999994"/>
    <n v="252"/>
    <n v="200"/>
    <s v="Hatchback"/>
    <n v="4"/>
    <s v="Luxury"/>
    <n v="150780"/>
    <n v="3.44"/>
    <n v="18473244438.599998"/>
  </r>
  <r>
    <x v="2"/>
    <s v="Model 3"/>
    <x v="5"/>
    <x v="2"/>
    <n v="90298.51"/>
    <n v="49.3"/>
    <n v="183"/>
    <n v="157"/>
    <s v="Sedan"/>
    <n v="3"/>
    <s v="Premium"/>
    <n v="163915"/>
    <n v="3.66"/>
    <n v="14801280266.65"/>
  </r>
  <r>
    <x v="4"/>
    <s v="Q4 e-tron"/>
    <x v="5"/>
    <x v="2"/>
    <n v="79689.05"/>
    <n v="81.7"/>
    <n v="278"/>
    <n v="148"/>
    <s v="Van"/>
    <n v="4"/>
    <s v="Premium"/>
    <n v="66705"/>
    <n v="3.5"/>
    <n v="5315658080.25"/>
  </r>
  <r>
    <x v="0"/>
    <s v="bZ4X"/>
    <x v="5"/>
    <x v="0"/>
    <n v="72608.92"/>
    <n v="97.1"/>
    <n v="334"/>
    <n v="156"/>
    <s v="Sedan"/>
    <n v="4"/>
    <s v="Premium"/>
    <n v="13954"/>
    <n v="3.57"/>
    <n v="1013184869.6799999"/>
  </r>
  <r>
    <x v="12"/>
    <s v="Equinox EV"/>
    <x v="5"/>
    <x v="4"/>
    <n v="91034.7"/>
    <n v="47.9"/>
    <n v="164"/>
    <n v="169"/>
    <s v="SUV"/>
    <n v="4"/>
    <s v="Premium"/>
    <n v="12825"/>
    <n v="3.46"/>
    <n v="1167520027.5"/>
  </r>
  <r>
    <x v="11"/>
    <s v="R3"/>
    <x v="5"/>
    <x v="2"/>
    <n v="70880.73"/>
    <n v="80.900000000000006"/>
    <n v="285"/>
    <n v="148"/>
    <s v="Truck"/>
    <n v="5"/>
    <s v="Premium"/>
    <n v="11173"/>
    <n v="3.44"/>
    <n v="791950396.28999996"/>
  </r>
  <r>
    <x v="2"/>
    <s v="Cybertruck"/>
    <x v="5"/>
    <x v="4"/>
    <n v="124865.93"/>
    <n v="64.900000000000006"/>
    <n v="241"/>
    <n v="124"/>
    <s v="Truck"/>
    <n v="4"/>
    <s v="Luxury"/>
    <n v="223231"/>
    <n v="3.65"/>
    <n v="27873946419.829998"/>
  </r>
  <r>
    <x v="13"/>
    <s v="EQG"/>
    <x v="5"/>
    <x v="3"/>
    <n v="139106.45000000001"/>
    <n v="61.4"/>
    <n v="208"/>
    <n v="150"/>
    <s v="Coupe"/>
    <n v="5"/>
    <s v="Luxury"/>
    <n v="49644"/>
    <n v="3.35"/>
    <n v="6905800603.8000002"/>
  </r>
  <r>
    <x v="6"/>
    <s v="i30"/>
    <x v="5"/>
    <x v="3"/>
    <n v="60050.99"/>
    <n v="47.8"/>
    <n v="165"/>
    <n v="133"/>
    <s v="Hatchback"/>
    <n v="4"/>
    <s v="Mid-range"/>
    <n v="138281"/>
    <n v="3.21"/>
    <n v="8303910948.1899996"/>
  </r>
  <r>
    <x v="13"/>
    <s v="EQE"/>
    <x v="5"/>
    <x v="3"/>
    <n v="103044.63"/>
    <n v="78.900000000000006"/>
    <n v="264"/>
    <n v="132"/>
    <s v="Van"/>
    <n v="5"/>
    <s v="Luxury"/>
    <n v="75663"/>
    <n v="3.56"/>
    <n v="7796665839.6900005"/>
  </r>
  <r>
    <x v="3"/>
    <s v="Qin"/>
    <x v="5"/>
    <x v="3"/>
    <n v="36623.25"/>
    <n v="43.3"/>
    <n v="164"/>
    <n v="139"/>
    <s v="Truck"/>
    <n v="5"/>
    <s v="Mid-range"/>
    <n v="185983"/>
    <n v="3.42"/>
    <n v="6811301904.75"/>
  </r>
  <r>
    <x v="7"/>
    <s v="ID.5"/>
    <x v="5"/>
    <x v="2"/>
    <n v="30097.01"/>
    <n v="74.3"/>
    <n v="267"/>
    <n v="127"/>
    <s v="Coupe"/>
    <n v="5"/>
    <s v="Budget"/>
    <n v="289031"/>
    <n v="3.27"/>
    <n v="8698968897.3099995"/>
  </r>
  <r>
    <x v="7"/>
    <s v="ID.3"/>
    <x v="5"/>
    <x v="4"/>
    <n v="94110.75"/>
    <n v="60.5"/>
    <n v="194"/>
    <n v="149"/>
    <s v="Van"/>
    <n v="5"/>
    <s v="Premium"/>
    <n v="225387"/>
    <n v="3.43"/>
    <n v="21211339610.25"/>
  </r>
  <r>
    <x v="2"/>
    <s v="Cybertruck"/>
    <x v="5"/>
    <x v="3"/>
    <n v="125305.65"/>
    <n v="42"/>
    <n v="158"/>
    <n v="136"/>
    <s v="Truck"/>
    <n v="4"/>
    <s v="Luxury"/>
    <n v="199754"/>
    <n v="3.28"/>
    <n v="25030304810.099998"/>
  </r>
  <r>
    <x v="8"/>
    <s v="Explorer EV"/>
    <x v="5"/>
    <x v="3"/>
    <n v="65329.39"/>
    <n v="49.5"/>
    <n v="157"/>
    <n v="165"/>
    <s v="Coupe"/>
    <n v="4"/>
    <s v="Premium"/>
    <n v="24686"/>
    <n v="3.21"/>
    <n v="1612721321.54"/>
  </r>
  <r>
    <x v="2"/>
    <s v="Model S"/>
    <x v="5"/>
    <x v="2"/>
    <n v="101976.23"/>
    <n v="83.7"/>
    <n v="284"/>
    <n v="139"/>
    <s v="Hatchback"/>
    <n v="5"/>
    <s v="Luxury"/>
    <n v="160905"/>
    <n v="3.89"/>
    <n v="16408485288.15"/>
  </r>
  <r>
    <x v="12"/>
    <s v="Equinox EV"/>
    <x v="5"/>
    <x v="1"/>
    <n v="83117.350000000006"/>
    <n v="106.5"/>
    <n v="362"/>
    <n v="200"/>
    <s v="SUV"/>
    <n v="3"/>
    <s v="Premium"/>
    <n v="17250"/>
    <n v="3.59"/>
    <n v="1433774287.5"/>
  </r>
  <r>
    <x v="9"/>
    <s v="i7"/>
    <x v="5"/>
    <x v="4"/>
    <n v="107462.71"/>
    <n v="63"/>
    <n v="242"/>
    <n v="175"/>
    <s v="Sedan"/>
    <n v="5"/>
    <s v="Luxury"/>
    <n v="59946"/>
    <n v="3.37"/>
    <n v="6441959613.6600008"/>
  </r>
  <r>
    <x v="3"/>
    <s v="Qin"/>
    <x v="5"/>
    <x v="2"/>
    <n v="43868.55"/>
    <n v="77.3"/>
    <n v="290"/>
    <n v="165"/>
    <s v="Coupe"/>
    <n v="5"/>
    <s v="Mid-range"/>
    <n v="211394"/>
    <n v="3.74"/>
    <n v="9273548258.7000008"/>
  </r>
  <r>
    <x v="7"/>
    <s v="ID. Aero"/>
    <x v="5"/>
    <x v="0"/>
    <n v="98049.57"/>
    <n v="79.3"/>
    <n v="271"/>
    <n v="178"/>
    <s v="Truck"/>
    <n v="4"/>
    <s v="Premium"/>
    <n v="232457"/>
    <n v="3.53"/>
    <n v="22792308893.490002"/>
  </r>
  <r>
    <x v="4"/>
    <s v="Q6 e-tron"/>
    <x v="5"/>
    <x v="2"/>
    <n v="91070.12"/>
    <n v="66.400000000000006"/>
    <n v="224"/>
    <n v="152"/>
    <s v="Sedan"/>
    <n v="3"/>
    <s v="Premium"/>
    <n v="69627"/>
    <n v="3.71"/>
    <n v="6340939245.2399998"/>
  </r>
  <r>
    <x v="8"/>
    <s v="Mustang Mach-E"/>
    <x v="5"/>
    <x v="2"/>
    <n v="31921.1"/>
    <n v="77.2"/>
    <n v="284"/>
    <n v="172"/>
    <s v="Coupe"/>
    <n v="5"/>
    <s v="Budget"/>
    <n v="21264"/>
    <n v="3.57"/>
    <n v="678770270.39999998"/>
  </r>
  <r>
    <x v="9"/>
    <s v="i7"/>
    <x v="5"/>
    <x v="3"/>
    <n v="56108.72"/>
    <n v="78.400000000000006"/>
    <n v="280"/>
    <n v="178"/>
    <s v="Hatchback"/>
    <n v="5"/>
    <s v="Mid-range"/>
    <n v="32771"/>
    <n v="3.55"/>
    <n v="1838738863.1200001"/>
  </r>
  <r>
    <x v="11"/>
    <s v="R1T"/>
    <x v="5"/>
    <x v="3"/>
    <n v="78693.27"/>
    <n v="63.6"/>
    <n v="243"/>
    <n v="171"/>
    <s v="Truck"/>
    <n v="4"/>
    <s v="Premium"/>
    <n v="14022"/>
    <n v="3.14"/>
    <n v="1103437031.9400001"/>
  </r>
  <r>
    <x v="6"/>
    <s v="Ioniq 6"/>
    <x v="5"/>
    <x v="3"/>
    <n v="46340.480000000003"/>
    <n v="70.599999999999994"/>
    <n v="240"/>
    <n v="133"/>
    <s v="Sedan"/>
    <n v="3"/>
    <s v="Mid-range"/>
    <n v="91894"/>
    <n v="3.21"/>
    <n v="4258412069.1200004"/>
  </r>
  <r>
    <x v="6"/>
    <s v="Ioniq 6"/>
    <x v="5"/>
    <x v="3"/>
    <n v="70402.19"/>
    <n v="49.9"/>
    <n v="170"/>
    <n v="148"/>
    <s v="Sedan"/>
    <n v="5"/>
    <s v="Premium"/>
    <n v="69074"/>
    <n v="3.3"/>
    <n v="4862960872.0600004"/>
  </r>
  <r>
    <x v="2"/>
    <s v="Cybertruck"/>
    <x v="5"/>
    <x v="4"/>
    <n v="104330.24000000001"/>
    <n v="50.1"/>
    <n v="185"/>
    <n v="145"/>
    <s v="Truck"/>
    <n v="4"/>
    <s v="Luxury"/>
    <n v="241443"/>
    <n v="3.82"/>
    <n v="25189806136.32"/>
  </r>
  <r>
    <x v="2"/>
    <s v="Model Y"/>
    <x v="5"/>
    <x v="1"/>
    <n v="146521.88"/>
    <n v="91.7"/>
    <n v="343"/>
    <n v="200"/>
    <s v="SUV"/>
    <n v="4"/>
    <s v="Luxury"/>
    <n v="406719"/>
    <n v="4.12"/>
    <n v="59593232511.720001"/>
  </r>
  <r>
    <x v="2"/>
    <s v="Model X"/>
    <x v="5"/>
    <x v="2"/>
    <n v="42945.26"/>
    <n v="77"/>
    <n v="266"/>
    <n v="148"/>
    <s v="SUV"/>
    <n v="5"/>
    <s v="Mid-range"/>
    <n v="202664"/>
    <n v="3.79"/>
    <n v="8703458172.6400013"/>
  </r>
  <r>
    <x v="4"/>
    <s v="e-tron"/>
    <x v="5"/>
    <x v="3"/>
    <n v="109441.61"/>
    <n v="51.1"/>
    <n v="161"/>
    <n v="151"/>
    <s v="Hatchback"/>
    <n v="4"/>
    <s v="Luxury"/>
    <n v="27623"/>
    <n v="3.34"/>
    <n v="3023105593.0300002"/>
  </r>
  <r>
    <x v="9"/>
    <s v="i5"/>
    <x v="5"/>
    <x v="4"/>
    <n v="79696.27"/>
    <n v="76.5"/>
    <n v="251"/>
    <n v="161"/>
    <s v="Truck"/>
    <n v="5"/>
    <s v="Premium"/>
    <n v="32509"/>
    <n v="3.24"/>
    <n v="2590846041.4300003"/>
  </r>
  <r>
    <x v="2"/>
    <s v="Model Y"/>
    <x v="5"/>
    <x v="3"/>
    <n v="85878.17"/>
    <n v="49.2"/>
    <n v="188"/>
    <n v="164"/>
    <s v="Sedan"/>
    <n v="4"/>
    <s v="Premium"/>
    <n v="499717"/>
    <n v="3.42"/>
    <n v="42914781477.889999"/>
  </r>
  <r>
    <x v="2"/>
    <s v="Model 3"/>
    <x v="5"/>
    <x v="4"/>
    <n v="60544.17"/>
    <n v="81.599999999999994"/>
    <n v="287"/>
    <n v="158"/>
    <s v="Truck"/>
    <n v="5"/>
    <s v="Mid-range"/>
    <n v="170776"/>
    <n v="3.98"/>
    <n v="10339491175.92"/>
  </r>
  <r>
    <x v="2"/>
    <s v="Model Y"/>
    <x v="5"/>
    <x v="3"/>
    <n v="122990.85"/>
    <n v="43.1"/>
    <n v="177"/>
    <n v="132"/>
    <s v="Hatchback"/>
    <n v="4"/>
    <s v="Luxury"/>
    <n v="444103"/>
    <n v="3.49"/>
    <n v="54620605457.550003"/>
  </r>
  <r>
    <x v="2"/>
    <s v="Model 3"/>
    <x v="5"/>
    <x v="3"/>
    <n v="77509.320000000007"/>
    <n v="78.599999999999994"/>
    <n v="256"/>
    <n v="130"/>
    <s v="Hatchback"/>
    <n v="3"/>
    <s v="Premium"/>
    <n v="156028"/>
    <n v="3.89"/>
    <n v="12093624180.960001"/>
  </r>
  <r>
    <x v="6"/>
    <s v="Ioniq 5"/>
    <x v="5"/>
    <x v="2"/>
    <n v="42592.08"/>
    <n v="73.400000000000006"/>
    <n v="215"/>
    <n v="154"/>
    <s v="Truck"/>
    <n v="4"/>
    <s v="Mid-range"/>
    <n v="124929"/>
    <n v="3.43"/>
    <n v="5320985962.3200006"/>
  </r>
  <r>
    <x v="6"/>
    <s v="Ioniq 6"/>
    <x v="5"/>
    <x v="1"/>
    <n v="107109.36"/>
    <n v="119.6"/>
    <n v="434"/>
    <n v="200"/>
    <s v="SUV"/>
    <n v="5"/>
    <s v="Luxury"/>
    <n v="92278"/>
    <n v="3.9"/>
    <n v="9883837522.0799999"/>
  </r>
  <r>
    <x v="2"/>
    <s v="Model Y"/>
    <x v="5"/>
    <x v="0"/>
    <n v="33796.25"/>
    <n v="90.1"/>
    <n v="295"/>
    <n v="183"/>
    <s v="SUV"/>
    <n v="5"/>
    <s v="Budget"/>
    <n v="476519"/>
    <n v="3.86"/>
    <n v="16104555253.75"/>
  </r>
  <r>
    <x v="4"/>
    <s v="e-tron GT"/>
    <x v="5"/>
    <x v="2"/>
    <n v="67634.789999999994"/>
    <n v="79.900000000000006"/>
    <n v="278"/>
    <n v="167"/>
    <s v="Sedan"/>
    <n v="4"/>
    <s v="Premium"/>
    <n v="62437"/>
    <n v="3.52"/>
    <n v="4222913383.2299995"/>
  </r>
  <r>
    <x v="11"/>
    <s v="R2"/>
    <x v="5"/>
    <x v="0"/>
    <n v="105675.37"/>
    <n v="104"/>
    <n v="386"/>
    <n v="173"/>
    <s v="SUV"/>
    <n v="5"/>
    <s v="Luxury"/>
    <n v="25421"/>
    <n v="3.88"/>
    <n v="2686373580.77"/>
  </r>
  <r>
    <x v="3"/>
    <s v="Dolphin"/>
    <x v="5"/>
    <x v="2"/>
    <n v="19398.189999999999"/>
    <n v="79.599999999999994"/>
    <n v="255"/>
    <n v="125"/>
    <s v="Van"/>
    <n v="4"/>
    <s v="Budget"/>
    <n v="165718"/>
    <n v="3.4"/>
    <n v="3214629250.4199996"/>
  </r>
  <r>
    <x v="12"/>
    <s v="Blazer EV"/>
    <x v="5"/>
    <x v="3"/>
    <n v="55791.9"/>
    <n v="43.1"/>
    <n v="150"/>
    <n v="150"/>
    <s v="SUV"/>
    <n v="5"/>
    <s v="Mid-range"/>
    <n v="16439"/>
    <n v="3.05"/>
    <n v="917163044.10000002"/>
  </r>
  <r>
    <x v="2"/>
    <s v="Model 3"/>
    <x v="5"/>
    <x v="4"/>
    <n v="151283.19"/>
    <n v="58.3"/>
    <n v="189"/>
    <n v="152"/>
    <s v="Sedan"/>
    <n v="5"/>
    <s v="Luxury"/>
    <n v="203592"/>
    <n v="3.49"/>
    <n v="30800047218.48"/>
  </r>
  <r>
    <x v="7"/>
    <s v="ID. Buzz"/>
    <x v="5"/>
    <x v="3"/>
    <n v="55247.47"/>
    <n v="53.5"/>
    <n v="199"/>
    <n v="170"/>
    <s v="Sedan"/>
    <n v="5"/>
    <s v="Mid-range"/>
    <n v="220284"/>
    <n v="3.29"/>
    <n v="12170133681.48"/>
  </r>
  <r>
    <x v="6"/>
    <s v="Ioniq 6"/>
    <x v="5"/>
    <x v="2"/>
    <n v="37922.42"/>
    <n v="50.5"/>
    <n v="150"/>
    <n v="155"/>
    <s v="SUV"/>
    <n v="3"/>
    <s v="Mid-range"/>
    <n v="75225"/>
    <n v="3.06"/>
    <n v="2852714044.5"/>
  </r>
  <r>
    <x v="2"/>
    <s v="Model S"/>
    <x v="5"/>
    <x v="3"/>
    <n v="75212.509999999995"/>
    <n v="79.3"/>
    <n v="260"/>
    <n v="154"/>
    <s v="Sedan"/>
    <n v="5"/>
    <s v="Premium"/>
    <n v="148099"/>
    <n v="3.93"/>
    <n v="11138897518.49"/>
  </r>
  <r>
    <x v="3"/>
    <s v="Atto 3"/>
    <x v="5"/>
    <x v="0"/>
    <n v="87159.360000000001"/>
    <n v="101.7"/>
    <n v="351"/>
    <n v="183"/>
    <s v="Truck"/>
    <n v="3"/>
    <s v="Premium"/>
    <n v="204628"/>
    <n v="3.58"/>
    <n v="17835245518.080002"/>
  </r>
  <r>
    <x v="2"/>
    <s v="Model Y"/>
    <x v="5"/>
    <x v="0"/>
    <n v="64135.13"/>
    <n v="97.7"/>
    <n v="359"/>
    <n v="171"/>
    <s v="Hatchback"/>
    <n v="4"/>
    <s v="Mid-range"/>
    <n v="427732"/>
    <n v="4.21"/>
    <n v="27432647425.16"/>
  </r>
  <r>
    <x v="7"/>
    <s v="ID.4"/>
    <x v="5"/>
    <x v="1"/>
    <n v="91483.89"/>
    <n v="74.2"/>
    <n v="246"/>
    <n v="199"/>
    <s v="Coupe"/>
    <n v="4"/>
    <s v="Premium"/>
    <n v="206750"/>
    <n v="3.64"/>
    <n v="18914294257.5"/>
  </r>
  <r>
    <x v="3"/>
    <s v="Dolphin"/>
    <x v="5"/>
    <x v="2"/>
    <n v="52144.09"/>
    <n v="43.5"/>
    <n v="150"/>
    <n v="178"/>
    <s v="Hatchback"/>
    <n v="4"/>
    <s v="Mid-range"/>
    <n v="212512"/>
    <n v="3.12"/>
    <n v="11081244854.08"/>
  </r>
  <r>
    <x v="2"/>
    <s v="Model 3"/>
    <x v="5"/>
    <x v="4"/>
    <n v="154568.94"/>
    <n v="68"/>
    <n v="235"/>
    <n v="170"/>
    <s v="Coupe"/>
    <n v="5"/>
    <s v="Luxury"/>
    <n v="245844"/>
    <n v="3.7"/>
    <n v="37999846485.360001"/>
  </r>
  <r>
    <x v="7"/>
    <s v="ID. Buzz"/>
    <x v="5"/>
    <x v="1"/>
    <n v="58007.82"/>
    <n v="105.3"/>
    <n v="382"/>
    <n v="188"/>
    <s v="Van"/>
    <n v="3"/>
    <s v="Mid-range"/>
    <n v="241176"/>
    <n v="3.98"/>
    <n v="13990093996.32"/>
  </r>
  <r>
    <x v="3"/>
    <s v="Leaf 50X"/>
    <x v="5"/>
    <x v="3"/>
    <n v="33650.32"/>
    <n v="63.9"/>
    <n v="231"/>
    <n v="134"/>
    <s v="Sedan"/>
    <n v="4"/>
    <s v="Budget"/>
    <n v="210399"/>
    <n v="3.56"/>
    <n v="7079993677.6800003"/>
  </r>
  <r>
    <x v="2"/>
    <s v="Model S"/>
    <x v="5"/>
    <x v="1"/>
    <n v="99545.7"/>
    <n v="74.099999999999994"/>
    <n v="250"/>
    <n v="190"/>
    <s v="Hatchback"/>
    <n v="4"/>
    <s v="Premium"/>
    <n v="244941"/>
    <n v="3.69"/>
    <n v="24382823303.700001"/>
  </r>
  <r>
    <x v="2"/>
    <s v="Model S"/>
    <x v="5"/>
    <x v="1"/>
    <n v="135540.84"/>
    <n v="85.8"/>
    <n v="296"/>
    <n v="188"/>
    <s v="SUV"/>
    <n v="5"/>
    <s v="Luxury"/>
    <n v="108193"/>
    <n v="3.98"/>
    <n v="14664570102.119999"/>
  </r>
  <r>
    <x v="4"/>
    <s v="Q6 e-tron"/>
    <x v="5"/>
    <x v="2"/>
    <n v="80914.990000000005"/>
    <n v="67.400000000000006"/>
    <n v="220"/>
    <n v="178"/>
    <s v="Sedan"/>
    <n v="5"/>
    <s v="Premium"/>
    <n v="22856"/>
    <n v="3.44"/>
    <n v="1849393011.4400001"/>
  </r>
  <r>
    <x v="7"/>
    <s v="ID.5"/>
    <x v="5"/>
    <x v="3"/>
    <n v="70801.47"/>
    <n v="60.4"/>
    <n v="204"/>
    <n v="137"/>
    <s v="SUV"/>
    <n v="5"/>
    <s v="Premium"/>
    <n v="299914"/>
    <n v="3.54"/>
    <n v="21234352073.580002"/>
  </r>
  <r>
    <x v="10"/>
    <n v="4"/>
    <x v="5"/>
    <x v="3"/>
    <n v="80679.27"/>
    <n v="41.3"/>
    <n v="155"/>
    <n v="170"/>
    <s v="Hatchback"/>
    <n v="5"/>
    <s v="Premium"/>
    <n v="7428"/>
    <n v="3.03"/>
    <n v="599285617.56000006"/>
  </r>
  <r>
    <x v="2"/>
    <s v="Model S"/>
    <x v="5"/>
    <x v="2"/>
    <n v="29088.57"/>
    <n v="79.3"/>
    <n v="262"/>
    <n v="148"/>
    <s v="Van"/>
    <n v="5"/>
    <s v="Budget"/>
    <n v="173989"/>
    <n v="4.17"/>
    <n v="5061091205.7299995"/>
  </r>
  <r>
    <x v="1"/>
    <s v="Ronin"/>
    <x v="5"/>
    <x v="4"/>
    <n v="67039.100000000006"/>
    <n v="75"/>
    <n v="271"/>
    <n v="127"/>
    <s v="Coupe"/>
    <n v="5"/>
    <s v="Premium"/>
    <n v="2336"/>
    <n v="3.5"/>
    <n v="156603337.60000002"/>
  </r>
  <r>
    <x v="11"/>
    <s v="R2"/>
    <x v="5"/>
    <x v="1"/>
    <n v="104305.19"/>
    <n v="112.7"/>
    <n v="429"/>
    <n v="200"/>
    <s v="Hatchback"/>
    <n v="4"/>
    <s v="Luxury"/>
    <n v="26219"/>
    <n v="4.08"/>
    <n v="2734777776.6100001"/>
  </r>
  <r>
    <x v="5"/>
    <s v="EV6"/>
    <x v="5"/>
    <x v="1"/>
    <n v="107335.21"/>
    <n v="101.2"/>
    <n v="372"/>
    <n v="187"/>
    <s v="Truck"/>
    <n v="5"/>
    <s v="Luxury"/>
    <n v="56222"/>
    <n v="3.63"/>
    <n v="6034600176.6199999"/>
  </r>
  <r>
    <x v="3"/>
    <s v="Dolphin"/>
    <x v="5"/>
    <x v="3"/>
    <n v="45068.52"/>
    <n v="56.6"/>
    <n v="195"/>
    <n v="162"/>
    <s v="Sedan"/>
    <n v="5"/>
    <s v="Mid-range"/>
    <n v="196546"/>
    <n v="3.22"/>
    <n v="8858037331.9200001"/>
  </r>
  <r>
    <x v="2"/>
    <s v="Model S"/>
    <x v="5"/>
    <x v="3"/>
    <n v="47711.51"/>
    <n v="47.2"/>
    <n v="173"/>
    <n v="154"/>
    <s v="Sedan"/>
    <n v="4"/>
    <s v="Mid-range"/>
    <n v="180408"/>
    <n v="3.58"/>
    <n v="8607538096.0799999"/>
  </r>
  <r>
    <x v="6"/>
    <s v="Ioniq 6"/>
    <x v="5"/>
    <x v="4"/>
    <n v="72308.960000000006"/>
    <n v="49.7"/>
    <n v="167"/>
    <n v="150"/>
    <s v="Van"/>
    <n v="3"/>
    <s v="Premium"/>
    <n v="143294"/>
    <n v="3.17"/>
    <n v="10361440114.240002"/>
  </r>
  <r>
    <x v="5"/>
    <s v="Sportage EV"/>
    <x v="5"/>
    <x v="0"/>
    <n v="37973.050000000003"/>
    <n v="76.2"/>
    <n v="263"/>
    <n v="172"/>
    <s v="SUV"/>
    <n v="4"/>
    <s v="Mid-range"/>
    <n v="66783"/>
    <n v="3.42"/>
    <n v="2535954198.1500001"/>
  </r>
  <r>
    <x v="2"/>
    <s v="Model S"/>
    <x v="5"/>
    <x v="0"/>
    <n v="89182.57"/>
    <n v="108.7"/>
    <n v="358"/>
    <n v="158"/>
    <s v="Truck"/>
    <n v="4"/>
    <s v="Premium"/>
    <n v="161378"/>
    <n v="4"/>
    <n v="14392104781.460001"/>
  </r>
  <r>
    <x v="6"/>
    <s v="Ioniq 5"/>
    <x v="5"/>
    <x v="0"/>
    <n v="49595.48"/>
    <n v="75.099999999999994"/>
    <n v="260"/>
    <n v="187"/>
    <s v="Coupe"/>
    <n v="5"/>
    <s v="Mid-range"/>
    <n v="108288"/>
    <n v="3.54"/>
    <n v="5370595338.2400007"/>
  </r>
  <r>
    <x v="2"/>
    <s v="Model S"/>
    <x v="5"/>
    <x v="2"/>
    <n v="99045.61"/>
    <n v="69.900000000000006"/>
    <n v="238"/>
    <n v="125"/>
    <s v="SUV"/>
    <n v="4"/>
    <s v="Premium"/>
    <n v="134937"/>
    <n v="3.58"/>
    <n v="13364917476.57"/>
  </r>
  <r>
    <x v="2"/>
    <s v="Cybertruck"/>
    <x v="5"/>
    <x v="4"/>
    <n v="160711.64000000001"/>
    <n v="76.8"/>
    <n v="290"/>
    <n v="153"/>
    <s v="Truck"/>
    <n v="5"/>
    <s v="Luxury"/>
    <n v="208796"/>
    <n v="3.95"/>
    <n v="33555947585.440002"/>
  </r>
  <r>
    <x v="8"/>
    <s v="E-Transit"/>
    <x v="5"/>
    <x v="3"/>
    <n v="43156.03"/>
    <n v="81.3"/>
    <n v="293"/>
    <n v="139"/>
    <s v="Van"/>
    <n v="4"/>
    <s v="Mid-range"/>
    <n v="34530"/>
    <n v="3.75"/>
    <n v="1490177715.8999999"/>
  </r>
  <r>
    <x v="12"/>
    <s v="Bolt EUV"/>
    <x v="5"/>
    <x v="2"/>
    <n v="38010.06"/>
    <n v="62.7"/>
    <n v="226"/>
    <n v="137"/>
    <s v="Hatchback"/>
    <n v="4"/>
    <s v="Mid-range"/>
    <n v="16274"/>
    <n v="3.18"/>
    <n v="618575716.43999994"/>
  </r>
  <r>
    <x v="3"/>
    <s v="Max"/>
    <x v="5"/>
    <x v="2"/>
    <n v="23230.02"/>
    <n v="80.599999999999994"/>
    <n v="262"/>
    <n v="151"/>
    <s v="Van"/>
    <n v="5"/>
    <s v="Budget"/>
    <n v="183226"/>
    <n v="3.75"/>
    <n v="4256343644.52"/>
  </r>
  <r>
    <x v="2"/>
    <s v="Model 3"/>
    <x v="5"/>
    <x v="4"/>
    <n v="106221.52"/>
    <n v="66.8"/>
    <n v="251"/>
    <n v="134"/>
    <s v="Sedan"/>
    <n v="4"/>
    <s v="Luxury"/>
    <n v="106799"/>
    <n v="3.65"/>
    <n v="11344352114.48"/>
  </r>
  <r>
    <x v="14"/>
    <s v="ET6"/>
    <x v="5"/>
    <x v="3"/>
    <n v="70152.19"/>
    <n v="44.1"/>
    <n v="160"/>
    <n v="156"/>
    <s v="Truck"/>
    <n v="5"/>
    <s v="Premium"/>
    <n v="21427"/>
    <n v="3"/>
    <n v="1503150975.1300001"/>
  </r>
  <r>
    <x v="2"/>
    <s v="Model Y"/>
    <x v="5"/>
    <x v="0"/>
    <n v="97027.38"/>
    <n v="108.3"/>
    <n v="372"/>
    <n v="170"/>
    <s v="Truck"/>
    <n v="5"/>
    <s v="Premium"/>
    <n v="401761"/>
    <n v="4.12"/>
    <n v="38981817216.18"/>
  </r>
  <r>
    <x v="8"/>
    <s v="F-150 Lightning"/>
    <x v="5"/>
    <x v="0"/>
    <n v="53281.67"/>
    <n v="84.7"/>
    <n v="295"/>
    <n v="173"/>
    <s v="Truck"/>
    <n v="4"/>
    <s v="Mid-range"/>
    <n v="59310"/>
    <n v="3.42"/>
    <n v="3160135847.6999998"/>
  </r>
  <r>
    <x v="2"/>
    <s v="Model X"/>
    <x v="5"/>
    <x v="0"/>
    <n v="92231.53"/>
    <n v="76"/>
    <n v="264"/>
    <n v="177"/>
    <s v="Van"/>
    <n v="4"/>
    <s v="Premium"/>
    <n v="226342"/>
    <n v="3.56"/>
    <n v="20875868963.259998"/>
  </r>
  <r>
    <x v="7"/>
    <s v="ID. Aero"/>
    <x v="5"/>
    <x v="0"/>
    <n v="102771.71"/>
    <n v="104.2"/>
    <n v="392"/>
    <n v="174"/>
    <s v="Van"/>
    <n v="4"/>
    <s v="Luxury"/>
    <n v="235887"/>
    <n v="3.78"/>
    <n v="24242510356.77"/>
  </r>
  <r>
    <x v="7"/>
    <s v="ID. Aero"/>
    <x v="5"/>
    <x v="0"/>
    <n v="97037.17"/>
    <n v="79.8"/>
    <n v="284"/>
    <n v="167"/>
    <s v="Coupe"/>
    <n v="4"/>
    <s v="Premium"/>
    <n v="292071"/>
    <n v="3.47"/>
    <n v="28341743279.07"/>
  </r>
  <r>
    <x v="6"/>
    <s v="i30"/>
    <x v="5"/>
    <x v="0"/>
    <n v="81032.960000000006"/>
    <n v="109.2"/>
    <n v="372"/>
    <n v="171"/>
    <s v="Coupe"/>
    <n v="5"/>
    <s v="Premium"/>
    <n v="132543"/>
    <n v="3.49"/>
    <n v="10740351617.280001"/>
  </r>
  <r>
    <x v="6"/>
    <s v="Ioniq"/>
    <x v="5"/>
    <x v="3"/>
    <n v="59265.27"/>
    <n v="76.5"/>
    <n v="288"/>
    <n v="166"/>
    <s v="Van"/>
    <n v="5"/>
    <s v="Mid-range"/>
    <n v="55296"/>
    <n v="3.41"/>
    <n v="3277132369.9199996"/>
  </r>
  <r>
    <x v="3"/>
    <s v="Dolphin"/>
    <x v="5"/>
    <x v="0"/>
    <n v="24263.38"/>
    <n v="90.6"/>
    <n v="313"/>
    <n v="165"/>
    <s v="Coupe"/>
    <n v="4"/>
    <s v="Budget"/>
    <n v="185360"/>
    <n v="3.79"/>
    <n v="4497460116.8000002"/>
  </r>
  <r>
    <x v="7"/>
    <s v="ID. Buzz"/>
    <x v="5"/>
    <x v="2"/>
    <n v="65624.38"/>
    <n v="83.8"/>
    <n v="327"/>
    <n v="166"/>
    <s v="Sedan"/>
    <n v="5"/>
    <s v="Premium"/>
    <n v="228265"/>
    <n v="3.75"/>
    <n v="14979749100.700001"/>
  </r>
  <r>
    <x v="5"/>
    <s v="EV6"/>
    <x v="5"/>
    <x v="2"/>
    <n v="34297.300000000003"/>
    <n v="40.9"/>
    <n v="150"/>
    <n v="156"/>
    <s v="Coupe"/>
    <n v="4"/>
    <s v="Budget"/>
    <n v="124108"/>
    <n v="3.31"/>
    <n v="4256569308.4000006"/>
  </r>
  <r>
    <x v="2"/>
    <s v="Model 3"/>
    <x v="5"/>
    <x v="0"/>
    <n v="37324.82"/>
    <n v="100.2"/>
    <n v="350"/>
    <n v="169"/>
    <s v="Coupe"/>
    <n v="3"/>
    <s v="Mid-range"/>
    <n v="182729"/>
    <n v="3.94"/>
    <n v="6820327033.7799997"/>
  </r>
  <r>
    <x v="2"/>
    <s v="Model 3"/>
    <x v="5"/>
    <x v="2"/>
    <n v="39961.089999999997"/>
    <n v="82.4"/>
    <n v="271"/>
    <n v="140"/>
    <s v="Hatchback"/>
    <n v="5"/>
    <s v="Mid-range"/>
    <n v="132702"/>
    <n v="3.97"/>
    <n v="5302916565.1799994"/>
  </r>
  <r>
    <x v="8"/>
    <s v="F-150 Lightning"/>
    <x v="5"/>
    <x v="3"/>
    <n v="71166.509999999995"/>
    <n v="63.6"/>
    <n v="211"/>
    <n v="168"/>
    <s v="Truck"/>
    <n v="4"/>
    <s v="Premium"/>
    <n v="29813"/>
    <n v="3.63"/>
    <n v="2121687162.6299999"/>
  </r>
  <r>
    <x v="6"/>
    <s v="Kona Electric"/>
    <x v="5"/>
    <x v="3"/>
    <n v="33895.78"/>
    <n v="72.7"/>
    <n v="271"/>
    <n v="148"/>
    <s v="Sedan"/>
    <n v="4"/>
    <s v="Budget"/>
    <n v="74203"/>
    <n v="3.74"/>
    <n v="2515168563.3399997"/>
  </r>
  <r>
    <x v="2"/>
    <s v="Model X"/>
    <x v="5"/>
    <x v="3"/>
    <n v="81903.39"/>
    <n v="69.099999999999994"/>
    <n v="257"/>
    <n v="170"/>
    <s v="Sedan"/>
    <n v="4"/>
    <s v="Premium"/>
    <n v="135577"/>
    <n v="3.78"/>
    <n v="11104215906.030001"/>
  </r>
  <r>
    <x v="8"/>
    <s v="F-150 Lightning"/>
    <x v="5"/>
    <x v="4"/>
    <n v="44324.9"/>
    <n v="61.8"/>
    <n v="198"/>
    <n v="139"/>
    <s v="Truck"/>
    <n v="4"/>
    <s v="Mid-range"/>
    <n v="57644"/>
    <n v="3.48"/>
    <n v="2555064535.5999999"/>
  </r>
  <r>
    <x v="4"/>
    <s v="e-tron"/>
    <x v="5"/>
    <x v="3"/>
    <n v="114471.43"/>
    <n v="76.2"/>
    <n v="231"/>
    <n v="152"/>
    <s v="Van"/>
    <n v="4"/>
    <s v="Luxury"/>
    <n v="21563"/>
    <n v="3.5"/>
    <n v="2468347445.0899997"/>
  </r>
  <r>
    <x v="13"/>
    <s v="GLE EV"/>
    <x v="5"/>
    <x v="0"/>
    <n v="83712.42"/>
    <n v="97.4"/>
    <n v="338"/>
    <n v="170"/>
    <s v="Van"/>
    <n v="3"/>
    <s v="Premium"/>
    <n v="37695"/>
    <n v="3.9"/>
    <n v="3155539671.9000001"/>
  </r>
  <r>
    <x v="7"/>
    <s v="ID. Aero"/>
    <x v="5"/>
    <x v="0"/>
    <n v="92182.9"/>
    <n v="103.2"/>
    <n v="359"/>
    <n v="194"/>
    <s v="Sedan"/>
    <n v="5"/>
    <s v="Premium"/>
    <n v="254291"/>
    <n v="3.6"/>
    <n v="23441281823.899998"/>
  </r>
  <r>
    <x v="8"/>
    <s v="Explorer EV"/>
    <x v="5"/>
    <x v="2"/>
    <n v="31805.75"/>
    <n v="48.6"/>
    <n v="157"/>
    <n v="168"/>
    <s v="Truck"/>
    <n v="4"/>
    <s v="Budget"/>
    <n v="49546"/>
    <n v="3.24"/>
    <n v="1575847689.5"/>
  </r>
  <r>
    <x v="12"/>
    <s v="Bolt EUV"/>
    <x v="5"/>
    <x v="3"/>
    <n v="29502.2"/>
    <n v="67.8"/>
    <n v="248"/>
    <n v="142"/>
    <s v="Hatchback"/>
    <n v="4"/>
    <s v="Budget"/>
    <n v="19509"/>
    <n v="3.46"/>
    <n v="575558419.80000007"/>
  </r>
  <r>
    <x v="3"/>
    <s v="Atto 3"/>
    <x v="5"/>
    <x v="1"/>
    <n v="94900.11"/>
    <n v="105.2"/>
    <n v="381"/>
    <n v="190"/>
    <s v="Hatchback"/>
    <n v="5"/>
    <s v="Premium"/>
    <n v="172031"/>
    <n v="3.92"/>
    <n v="16325760823.41"/>
  </r>
  <r>
    <x v="6"/>
    <s v="Ioniq"/>
    <x v="5"/>
    <x v="1"/>
    <n v="95402.2"/>
    <n v="91.6"/>
    <n v="321"/>
    <n v="187"/>
    <s v="Coupe"/>
    <n v="4"/>
    <s v="Premium"/>
    <n v="124589"/>
    <n v="3.85"/>
    <n v="11886064695.799999"/>
  </r>
  <r>
    <x v="0"/>
    <s v="bZ Compact SUV"/>
    <x v="5"/>
    <x v="0"/>
    <n v="84185.72"/>
    <n v="103.8"/>
    <n v="377"/>
    <n v="165"/>
    <s v="SUV"/>
    <n v="5"/>
    <s v="Premium"/>
    <n v="15914"/>
    <n v="3.93"/>
    <n v="1339731548.0799999"/>
  </r>
  <r>
    <x v="5"/>
    <s v="Sportage EV"/>
    <x v="5"/>
    <x v="4"/>
    <n v="76146.100000000006"/>
    <n v="42.4"/>
    <n v="175"/>
    <n v="146"/>
    <s v="SUV"/>
    <n v="4"/>
    <s v="Premium"/>
    <n v="86432"/>
    <n v="3.41"/>
    <n v="6581459715.2000008"/>
  </r>
  <r>
    <x v="13"/>
    <s v="GLE EV"/>
    <x v="5"/>
    <x v="4"/>
    <n v="158316.82999999999"/>
    <n v="76"/>
    <n v="241"/>
    <n v="164"/>
    <s v="Van"/>
    <n v="5"/>
    <s v="Luxury"/>
    <n v="22636"/>
    <n v="3.82"/>
    <n v="3583659763.8799996"/>
  </r>
  <r>
    <x v="11"/>
    <s v="R3"/>
    <x v="5"/>
    <x v="1"/>
    <n v="109164.41"/>
    <n v="79.599999999999994"/>
    <n v="288"/>
    <n v="197"/>
    <s v="Hatchback"/>
    <n v="5"/>
    <s v="Luxury"/>
    <n v="19234"/>
    <n v="3.75"/>
    <n v="2099668261.9400001"/>
  </r>
  <r>
    <x v="5"/>
    <s v="Niro EV"/>
    <x v="5"/>
    <x v="4"/>
    <n v="108567.95"/>
    <n v="56.3"/>
    <n v="197"/>
    <n v="165"/>
    <s v="Van"/>
    <n v="4"/>
    <s v="Luxury"/>
    <n v="139588"/>
    <n v="3.58"/>
    <n v="15154783004.6"/>
  </r>
  <r>
    <x v="11"/>
    <s v="R3"/>
    <x v="5"/>
    <x v="2"/>
    <n v="79068.679999999993"/>
    <n v="62.9"/>
    <n v="236"/>
    <n v="146"/>
    <s v="SUV"/>
    <n v="5"/>
    <s v="Premium"/>
    <n v="25139"/>
    <n v="3.32"/>
    <n v="1987707546.5199997"/>
  </r>
  <r>
    <x v="2"/>
    <s v="Model 3"/>
    <x v="5"/>
    <x v="2"/>
    <n v="38136.97"/>
    <n v="76"/>
    <n v="284"/>
    <n v="142"/>
    <s v="Sedan"/>
    <n v="5"/>
    <s v="Mid-range"/>
    <n v="113015"/>
    <n v="3.93"/>
    <n v="4310049664.5500002"/>
  </r>
  <r>
    <x v="7"/>
    <s v="ID. Buzz"/>
    <x v="5"/>
    <x v="4"/>
    <n v="45327.13"/>
    <n v="67.8"/>
    <n v="261"/>
    <n v="132"/>
    <s v="Coupe"/>
    <n v="4"/>
    <s v="Mid-range"/>
    <n v="299882"/>
    <n v="3.61"/>
    <n v="13592790398.66"/>
  </r>
  <r>
    <x v="15"/>
    <s v="Macan Electric"/>
    <x v="5"/>
    <x v="3"/>
    <n v="185796.61"/>
    <n v="78.099999999999994"/>
    <n v="296"/>
    <n v="148"/>
    <s v="Coupe"/>
    <n v="4"/>
    <s v="Luxury"/>
    <n v="21608"/>
    <n v="3.85"/>
    <n v="4014693148.8799996"/>
  </r>
  <r>
    <x v="13"/>
    <s v="EQG"/>
    <x v="5"/>
    <x v="0"/>
    <n v="94596.53"/>
    <n v="77.5"/>
    <n v="267"/>
    <n v="167"/>
    <s v="Coupe"/>
    <n v="5"/>
    <s v="Premium"/>
    <n v="48573"/>
    <n v="3.82"/>
    <n v="4594837251.6899996"/>
  </r>
  <r>
    <x v="11"/>
    <s v="R2"/>
    <x v="5"/>
    <x v="2"/>
    <n v="79447.62"/>
    <n v="60.5"/>
    <n v="184"/>
    <n v="158"/>
    <s v="Truck"/>
    <n v="5"/>
    <s v="Premium"/>
    <n v="21177"/>
    <n v="3.42"/>
    <n v="1682462248.74"/>
  </r>
  <r>
    <x v="6"/>
    <s v="i30"/>
    <x v="5"/>
    <x v="3"/>
    <n v="30172.57"/>
    <n v="82.9"/>
    <n v="283"/>
    <n v="137"/>
    <s v="Truck"/>
    <n v="3"/>
    <s v="Budget"/>
    <n v="76614"/>
    <n v="3.55"/>
    <n v="2311641277.98"/>
  </r>
  <r>
    <x v="6"/>
    <s v="Ioniq 5"/>
    <x v="5"/>
    <x v="0"/>
    <n v="50915.71"/>
    <n v="81"/>
    <n v="278"/>
    <n v="183"/>
    <s v="Sedan"/>
    <n v="3"/>
    <s v="Mid-range"/>
    <n v="54316"/>
    <n v="3.5"/>
    <n v="2765537704.3600001"/>
  </r>
  <r>
    <x v="3"/>
    <s v="Atto 3"/>
    <x v="5"/>
    <x v="0"/>
    <n v="99107.520000000004"/>
    <n v="98.9"/>
    <n v="347"/>
    <n v="177"/>
    <s v="Hatchback"/>
    <n v="5"/>
    <s v="Premium"/>
    <n v="190865"/>
    <n v="3.32"/>
    <n v="18916156804.799999"/>
  </r>
  <r>
    <x v="12"/>
    <s v="Bolt EV"/>
    <x v="5"/>
    <x v="2"/>
    <n v="60512.959999999999"/>
    <n v="58.6"/>
    <n v="258"/>
    <n v="146"/>
    <s v="Hatchback"/>
    <n v="5"/>
    <s v="Mid-range"/>
    <n v="12934"/>
    <n v="3.42"/>
    <n v="782674624.63999999"/>
  </r>
  <r>
    <x v="2"/>
    <s v="Model S"/>
    <x v="5"/>
    <x v="1"/>
    <n v="68593.72"/>
    <n v="107.6"/>
    <n v="361"/>
    <n v="192"/>
    <s v="Coupe"/>
    <n v="5"/>
    <s v="Premium"/>
    <n v="245974"/>
    <n v="4.2300000000000004"/>
    <n v="16872271683.280001"/>
  </r>
  <r>
    <x v="2"/>
    <s v="Cybertruck"/>
    <x v="5"/>
    <x v="3"/>
    <n v="61013.48"/>
    <n v="45.2"/>
    <n v="156"/>
    <n v="151"/>
    <s v="Truck"/>
    <n v="3"/>
    <s v="Mid-range"/>
    <n v="132800"/>
    <n v="3.35"/>
    <n v="8102590144"/>
  </r>
  <r>
    <x v="6"/>
    <s v="Ioniq 5"/>
    <x v="5"/>
    <x v="2"/>
    <n v="68602.240000000005"/>
    <n v="75.7"/>
    <n v="260"/>
    <n v="164"/>
    <s v="SUV"/>
    <n v="5"/>
    <s v="Premium"/>
    <n v="109721"/>
    <n v="3.31"/>
    <n v="7527106375.0400009"/>
  </r>
  <r>
    <x v="5"/>
    <s v="Niro EV"/>
    <x v="5"/>
    <x v="4"/>
    <n v="64726.92"/>
    <n v="52.3"/>
    <n v="203"/>
    <n v="136"/>
    <s v="Truck"/>
    <n v="5"/>
    <s v="Mid-range"/>
    <n v="135916"/>
    <n v="3.12"/>
    <n v="8797424058.7199993"/>
  </r>
  <r>
    <x v="9"/>
    <s v="i3"/>
    <x v="5"/>
    <x v="2"/>
    <n v="93156.19"/>
    <n v="74.599999999999994"/>
    <n v="254"/>
    <n v="143"/>
    <s v="Van"/>
    <n v="4"/>
    <s v="Premium"/>
    <n v="71204"/>
    <n v="3.55"/>
    <n v="6633093352.7600002"/>
  </r>
  <r>
    <x v="7"/>
    <s v="ID.4"/>
    <x v="5"/>
    <x v="2"/>
    <n v="78698.7"/>
    <n v="67.400000000000006"/>
    <n v="200"/>
    <n v="164"/>
    <s v="Coupe"/>
    <n v="5"/>
    <s v="Premium"/>
    <n v="200182"/>
    <n v="3.41"/>
    <n v="15754063163.4"/>
  </r>
  <r>
    <x v="5"/>
    <s v="EV6"/>
    <x v="5"/>
    <x v="2"/>
    <n v="60524.160000000003"/>
    <n v="58.8"/>
    <n v="217"/>
    <n v="148"/>
    <s v="Coupe"/>
    <n v="4"/>
    <s v="Mid-range"/>
    <n v="105178"/>
    <n v="3.37"/>
    <n v="6365810100.4800005"/>
  </r>
  <r>
    <x v="6"/>
    <s v="Ioniq 5"/>
    <x v="5"/>
    <x v="2"/>
    <n v="46385.14"/>
    <n v="84.1"/>
    <n v="301"/>
    <n v="148"/>
    <s v="Truck"/>
    <n v="4"/>
    <s v="Mid-range"/>
    <n v="58564"/>
    <n v="3.62"/>
    <n v="2716499338.96"/>
  </r>
  <r>
    <x v="8"/>
    <s v="Explorer EV"/>
    <x v="5"/>
    <x v="1"/>
    <n v="106247.4"/>
    <n v="72.900000000000006"/>
    <n v="277"/>
    <n v="200"/>
    <s v="Coupe"/>
    <n v="5"/>
    <s v="Luxury"/>
    <n v="49209"/>
    <n v="3.4"/>
    <n v="5228328306.5999994"/>
  </r>
  <r>
    <x v="6"/>
    <s v="Ioniq"/>
    <x v="5"/>
    <x v="0"/>
    <n v="74693.36"/>
    <n v="95.4"/>
    <n v="340"/>
    <n v="186"/>
    <s v="Hatchback"/>
    <n v="5"/>
    <s v="Premium"/>
    <n v="138161"/>
    <n v="3.52"/>
    <n v="10319709310.960001"/>
  </r>
  <r>
    <x v="7"/>
    <s v="ID.5"/>
    <x v="5"/>
    <x v="3"/>
    <n v="60218.55"/>
    <n v="82.8"/>
    <n v="240"/>
    <n v="163"/>
    <s v="Van"/>
    <n v="5"/>
    <s v="Mid-range"/>
    <n v="290126"/>
    <n v="3.59"/>
    <n v="17470967037.299999"/>
  </r>
  <r>
    <x v="2"/>
    <s v="Model 3"/>
    <x v="5"/>
    <x v="1"/>
    <n v="58452.94"/>
    <n v="77.2"/>
    <n v="274"/>
    <n v="183"/>
    <s v="Van"/>
    <n v="3"/>
    <s v="Mid-range"/>
    <n v="216013"/>
    <n v="3.86"/>
    <n v="12626594928.220001"/>
  </r>
  <r>
    <x v="3"/>
    <s v="Dolphin"/>
    <x v="5"/>
    <x v="3"/>
    <n v="82759.69"/>
    <n v="73.3"/>
    <n v="235"/>
    <n v="151"/>
    <s v="SUV"/>
    <n v="3"/>
    <s v="Premium"/>
    <n v="125776"/>
    <n v="3.36"/>
    <n v="10409182769.440001"/>
  </r>
  <r>
    <x v="7"/>
    <s v="ID.4"/>
    <x v="5"/>
    <x v="2"/>
    <n v="65061.9"/>
    <n v="65.099999999999994"/>
    <n v="212"/>
    <n v="137"/>
    <s v="Coupe"/>
    <n v="5"/>
    <s v="Premium"/>
    <n v="282957"/>
    <n v="3.68"/>
    <n v="18409720038.299999"/>
  </r>
  <r>
    <x v="12"/>
    <s v="Bolt EV"/>
    <x v="5"/>
    <x v="1"/>
    <n v="60210.65"/>
    <n v="70.400000000000006"/>
    <n v="258"/>
    <n v="200"/>
    <s v="Coupe"/>
    <n v="4"/>
    <s v="Mid-range"/>
    <n v="23288"/>
    <n v="3.63"/>
    <n v="1402185617.2"/>
  </r>
  <r>
    <x v="2"/>
    <s v="Model S"/>
    <x v="5"/>
    <x v="1"/>
    <n v="140244.92000000001"/>
    <n v="75.7"/>
    <n v="265"/>
    <n v="187"/>
    <s v="Sedan"/>
    <n v="5"/>
    <s v="Luxury"/>
    <n v="186365"/>
    <n v="3.84"/>
    <n v="26136744515.800003"/>
  </r>
  <r>
    <x v="3"/>
    <s v="Seagull"/>
    <x v="5"/>
    <x v="2"/>
    <n v="31665.46"/>
    <n v="68.3"/>
    <n v="217"/>
    <n v="171"/>
    <s v="Van"/>
    <n v="5"/>
    <s v="Budget"/>
    <n v="162790"/>
    <n v="3.33"/>
    <n v="5154820233.3999996"/>
  </r>
  <r>
    <x v="2"/>
    <s v="Model 3"/>
    <x v="5"/>
    <x v="0"/>
    <n v="91388.05"/>
    <n v="100.1"/>
    <n v="350"/>
    <n v="168"/>
    <s v="Sedan"/>
    <n v="4"/>
    <s v="Premium"/>
    <n v="148700"/>
    <n v="3.99"/>
    <n v="13589403035"/>
  </r>
  <r>
    <x v="13"/>
    <s v="EQS"/>
    <x v="5"/>
    <x v="2"/>
    <n v="136918.85"/>
    <n v="55.5"/>
    <n v="195"/>
    <n v="148"/>
    <s v="Coupe"/>
    <n v="5"/>
    <s v="Luxury"/>
    <n v="59537"/>
    <n v="3.51"/>
    <n v="8151737572.4500008"/>
  </r>
  <r>
    <x v="7"/>
    <s v="ID. Aero"/>
    <x v="5"/>
    <x v="1"/>
    <n v="68256.27"/>
    <n v="92.8"/>
    <n v="334"/>
    <n v="182"/>
    <s v="Sedan"/>
    <n v="5"/>
    <s v="Premium"/>
    <n v="215601"/>
    <n v="3.82"/>
    <n v="14716120068.27"/>
  </r>
  <r>
    <x v="9"/>
    <s v="i3"/>
    <x v="5"/>
    <x v="4"/>
    <n v="127970.02"/>
    <n v="52.7"/>
    <n v="181"/>
    <n v="171"/>
    <s v="Coupe"/>
    <n v="5"/>
    <s v="Luxury"/>
    <n v="25659"/>
    <n v="3.39"/>
    <n v="3283582743.1800003"/>
  </r>
  <r>
    <x v="2"/>
    <s v="Model X"/>
    <x v="5"/>
    <x v="1"/>
    <n v="40997.300000000003"/>
    <n v="73.3"/>
    <n v="261"/>
    <n v="198"/>
    <s v="Sedan"/>
    <n v="5"/>
    <s v="Mid-range"/>
    <n v="192699"/>
    <n v="3.73"/>
    <n v="7900138712.7000008"/>
  </r>
  <r>
    <x v="2"/>
    <s v="Model X"/>
    <x v="5"/>
    <x v="2"/>
    <n v="76806.22"/>
    <n v="41.8"/>
    <n v="166"/>
    <n v="152"/>
    <s v="Sedan"/>
    <n v="5"/>
    <s v="Premium"/>
    <n v="136111"/>
    <n v="3.64"/>
    <n v="10454171410.42"/>
  </r>
  <r>
    <x v="2"/>
    <s v="Cybertruck"/>
    <x v="5"/>
    <x v="2"/>
    <n v="96810.26"/>
    <n v="47.9"/>
    <n v="153"/>
    <n v="146"/>
    <s v="Truck"/>
    <n v="4"/>
    <s v="Premium"/>
    <n v="113593"/>
    <n v="3.86"/>
    <n v="10996967864.18"/>
  </r>
  <r>
    <x v="7"/>
    <s v="ID.3"/>
    <x v="5"/>
    <x v="2"/>
    <n v="47861.91"/>
    <n v="65.3"/>
    <n v="231"/>
    <n v="161"/>
    <s v="Sedan"/>
    <n v="3"/>
    <s v="Mid-range"/>
    <n v="247700"/>
    <n v="3.21"/>
    <n v="11855395107"/>
  </r>
  <r>
    <x v="4"/>
    <s v="Q4 e-tron"/>
    <x v="5"/>
    <x v="2"/>
    <n v="84123.81"/>
    <n v="68.5"/>
    <n v="247"/>
    <n v="149"/>
    <s v="Hatchback"/>
    <n v="4"/>
    <s v="Premium"/>
    <n v="60155"/>
    <n v="3.29"/>
    <n v="5060467790.5500002"/>
  </r>
  <r>
    <x v="8"/>
    <s v="Mustang Mach-E"/>
    <x v="5"/>
    <x v="1"/>
    <n v="60546.720000000001"/>
    <n v="113"/>
    <n v="423"/>
    <n v="200"/>
    <s v="Coupe"/>
    <n v="3"/>
    <s v="Mid-range"/>
    <n v="27560"/>
    <n v="3.76"/>
    <n v="1668667603.2"/>
  </r>
  <r>
    <x v="2"/>
    <s v="Cybertruck"/>
    <x v="5"/>
    <x v="4"/>
    <n v="170547.81"/>
    <n v="44.5"/>
    <n v="153"/>
    <n v="132"/>
    <s v="Truck"/>
    <n v="4"/>
    <s v="Luxury"/>
    <n v="192321"/>
    <n v="3.6"/>
    <n v="32799925367.009998"/>
  </r>
  <r>
    <x v="6"/>
    <s v="Ioniq 6"/>
    <x v="5"/>
    <x v="4"/>
    <n v="100947.83"/>
    <n v="60.5"/>
    <n v="195"/>
    <n v="135"/>
    <s v="Hatchback"/>
    <n v="5"/>
    <s v="Luxury"/>
    <n v="101360"/>
    <n v="3.44"/>
    <n v="10232072048.799999"/>
  </r>
  <r>
    <x v="10"/>
    <n v="2"/>
    <x v="5"/>
    <x v="1"/>
    <n v="93833.94"/>
    <n v="111.8"/>
    <n v="383"/>
    <n v="200"/>
    <s v="Coupe"/>
    <n v="5"/>
    <s v="Premium"/>
    <n v="6307"/>
    <n v="3.42"/>
    <n v="591810659.58000004"/>
  </r>
  <r>
    <x v="2"/>
    <s v="Cybertruck"/>
    <x v="5"/>
    <x v="3"/>
    <n v="127335.12"/>
    <n v="71.900000000000006"/>
    <n v="270"/>
    <n v="175"/>
    <s v="Truck"/>
    <n v="5"/>
    <s v="Luxury"/>
    <n v="188107"/>
    <n v="3.78"/>
    <n v="23952627417.84"/>
  </r>
  <r>
    <x v="11"/>
    <s v="R2"/>
    <x v="5"/>
    <x v="1"/>
    <n v="117871.06"/>
    <n v="81.900000000000006"/>
    <n v="280"/>
    <n v="199"/>
    <s v="Truck"/>
    <n v="5"/>
    <s v="Luxury"/>
    <n v="14378"/>
    <n v="3.8"/>
    <n v="1694750100.6800001"/>
  </r>
  <r>
    <x v="2"/>
    <s v="Model X"/>
    <x v="5"/>
    <x v="1"/>
    <n v="126875.08"/>
    <n v="98.3"/>
    <n v="345"/>
    <n v="198"/>
    <s v="Van"/>
    <n v="5"/>
    <s v="Luxury"/>
    <n v="158417"/>
    <n v="3.71"/>
    <n v="20099169548.360001"/>
  </r>
  <r>
    <x v="9"/>
    <s v="i5"/>
    <x v="5"/>
    <x v="1"/>
    <n v="83830.66"/>
    <n v="91.7"/>
    <n v="316"/>
    <n v="188"/>
    <s v="Truck"/>
    <n v="4"/>
    <s v="Premium"/>
    <n v="61677"/>
    <n v="3.43"/>
    <n v="5170423616.8200006"/>
  </r>
  <r>
    <x v="2"/>
    <s v="Model S"/>
    <x v="5"/>
    <x v="2"/>
    <n v="29411.54"/>
    <n v="61.2"/>
    <n v="220"/>
    <n v="127"/>
    <s v="Hatchback"/>
    <n v="5"/>
    <s v="Budget"/>
    <n v="206579"/>
    <n v="3.63"/>
    <n v="6075806521.6599998"/>
  </r>
  <r>
    <x v="2"/>
    <s v="Cybertruck"/>
    <x v="5"/>
    <x v="4"/>
    <n v="131326.82"/>
    <n v="44.5"/>
    <n v="172"/>
    <n v="164"/>
    <s v="Truck"/>
    <n v="5"/>
    <s v="Luxury"/>
    <n v="195107"/>
    <n v="3.68"/>
    <n v="25622781869.740002"/>
  </r>
  <r>
    <x v="2"/>
    <s v="Model X"/>
    <x v="5"/>
    <x v="2"/>
    <n v="106034.49"/>
    <n v="82.6"/>
    <n v="286"/>
    <n v="151"/>
    <s v="Van"/>
    <n v="5"/>
    <s v="Luxury"/>
    <n v="136623"/>
    <n v="3.7"/>
    <n v="14486750127.27"/>
  </r>
  <r>
    <x v="5"/>
    <s v="Picanto EV"/>
    <x v="5"/>
    <x v="2"/>
    <n v="33502.19"/>
    <n v="82.4"/>
    <n v="304"/>
    <n v="144"/>
    <s v="Van"/>
    <n v="4"/>
    <s v="Budget"/>
    <n v="70571"/>
    <n v="3.47"/>
    <n v="2364283050.4900002"/>
  </r>
  <r>
    <x v="3"/>
    <s v="Seagull"/>
    <x v="5"/>
    <x v="4"/>
    <n v="98579.06"/>
    <n v="64.3"/>
    <n v="224"/>
    <n v="143"/>
    <s v="Coupe"/>
    <n v="5"/>
    <s v="Premium"/>
    <n v="142672"/>
    <n v="3.25"/>
    <n v="14064471648.32"/>
  </r>
  <r>
    <x v="3"/>
    <s v="Atto 3"/>
    <x v="5"/>
    <x v="0"/>
    <n v="32535.18"/>
    <n v="92"/>
    <n v="307"/>
    <n v="175"/>
    <s v="Sedan"/>
    <n v="4"/>
    <s v="Budget"/>
    <n v="218123"/>
    <n v="3.53"/>
    <n v="7096671067.1400003"/>
  </r>
  <r>
    <x v="12"/>
    <s v="Bolt EUV"/>
    <x v="5"/>
    <x v="4"/>
    <n v="61871.83"/>
    <n v="57.9"/>
    <n v="176"/>
    <n v="168"/>
    <s v="Hatchback"/>
    <n v="5"/>
    <s v="Mid-range"/>
    <n v="10487"/>
    <n v="3.16"/>
    <n v="648849881.21000004"/>
  </r>
  <r>
    <x v="5"/>
    <s v="Sportage EV"/>
    <x v="5"/>
    <x v="1"/>
    <n v="72347.59"/>
    <n v="112"/>
    <n v="369"/>
    <n v="185"/>
    <s v="SUV"/>
    <n v="3"/>
    <s v="Premium"/>
    <n v="144057"/>
    <n v="3.62"/>
    <n v="10422176772.629999"/>
  </r>
  <r>
    <x v="6"/>
    <s v="Ioniq 6"/>
    <x v="5"/>
    <x v="1"/>
    <n v="47415.02"/>
    <n v="112.3"/>
    <n v="399"/>
    <n v="200"/>
    <s v="Hatchback"/>
    <n v="5"/>
    <s v="Mid-range"/>
    <n v="102665"/>
    <n v="3.98"/>
    <n v="4867863028.2999992"/>
  </r>
  <r>
    <x v="14"/>
    <s v="EC6"/>
    <x v="5"/>
    <x v="4"/>
    <n v="83405.89"/>
    <n v="75.400000000000006"/>
    <n v="277"/>
    <n v="164"/>
    <s v="Van"/>
    <n v="5"/>
    <s v="Premium"/>
    <n v="11073"/>
    <n v="3.32"/>
    <n v="923553419.97000003"/>
  </r>
  <r>
    <x v="2"/>
    <s v="Model 3"/>
    <x v="5"/>
    <x v="0"/>
    <n v="84190.57"/>
    <n v="98"/>
    <n v="350"/>
    <n v="182"/>
    <s v="Coupe"/>
    <n v="4"/>
    <s v="Premium"/>
    <n v="181874"/>
    <n v="3.94"/>
    <n v="15312075728.180002"/>
  </r>
  <r>
    <x v="3"/>
    <s v="Dolphin"/>
    <x v="5"/>
    <x v="2"/>
    <n v="53719.72"/>
    <n v="48.4"/>
    <n v="150"/>
    <n v="160"/>
    <s v="Hatchback"/>
    <n v="3"/>
    <s v="Mid-range"/>
    <n v="246801"/>
    <n v="3.15"/>
    <n v="13258080615.720001"/>
  </r>
  <r>
    <x v="2"/>
    <s v="Model X"/>
    <x v="5"/>
    <x v="0"/>
    <n v="153915.44"/>
    <n v="92"/>
    <n v="309"/>
    <n v="177"/>
    <s v="Van"/>
    <n v="5"/>
    <s v="Luxury"/>
    <n v="210826"/>
    <n v="3.64"/>
    <n v="32449376553.439999"/>
  </r>
  <r>
    <x v="12"/>
    <s v="Equinox EV"/>
    <x v="5"/>
    <x v="3"/>
    <n v="28857.9"/>
    <n v="80"/>
    <n v="326"/>
    <n v="147"/>
    <s v="SUV"/>
    <n v="4"/>
    <s v="Budget"/>
    <n v="24599"/>
    <n v="3.71"/>
    <n v="709875482.10000002"/>
  </r>
  <r>
    <x v="8"/>
    <s v="F-150 Lightning"/>
    <x v="5"/>
    <x v="0"/>
    <n v="91074.2"/>
    <n v="83.3"/>
    <n v="309"/>
    <n v="165"/>
    <s v="Truck"/>
    <n v="5"/>
    <s v="Premium"/>
    <n v="78477"/>
    <n v="3.54"/>
    <n v="7147229993.3999996"/>
  </r>
  <r>
    <x v="3"/>
    <s v="Max"/>
    <x v="5"/>
    <x v="4"/>
    <n v="100296.35"/>
    <n v="81.5"/>
    <n v="290"/>
    <n v="143"/>
    <s v="Hatchback"/>
    <n v="4"/>
    <s v="Luxury"/>
    <n v="155370"/>
    <n v="3.84"/>
    <n v="15583043899.5"/>
  </r>
  <r>
    <x v="0"/>
    <s v="bZ Compact SUV"/>
    <x v="5"/>
    <x v="2"/>
    <n v="65608.600000000006"/>
    <n v="60.1"/>
    <n v="208"/>
    <n v="154"/>
    <s v="SUV"/>
    <n v="4"/>
    <s v="Premium"/>
    <n v="24977"/>
    <n v="3.36"/>
    <n v="1638706002.2"/>
  </r>
  <r>
    <x v="5"/>
    <s v="Sportage EV"/>
    <x v="5"/>
    <x v="4"/>
    <n v="81244.23"/>
    <n v="54.9"/>
    <n v="181"/>
    <n v="149"/>
    <s v="SUV"/>
    <n v="5"/>
    <s v="Premium"/>
    <n v="70466"/>
    <n v="3.28"/>
    <n v="5724955911.1799994"/>
  </r>
  <r>
    <x v="12"/>
    <s v="Silverado EV"/>
    <x v="5"/>
    <x v="4"/>
    <n v="46867.37"/>
    <n v="59.3"/>
    <n v="232"/>
    <n v="135"/>
    <s v="Sedan"/>
    <n v="5"/>
    <s v="Mid-range"/>
    <n v="24354"/>
    <n v="3.3"/>
    <n v="1141407928.98"/>
  </r>
  <r>
    <x v="3"/>
    <s v="Max"/>
    <x v="5"/>
    <x v="0"/>
    <n v="26705.48"/>
    <n v="85.3"/>
    <n v="273"/>
    <n v="169"/>
    <s v="Truck"/>
    <n v="4"/>
    <s v="Budget"/>
    <n v="188547"/>
    <n v="3.41"/>
    <n v="5035238137.5599995"/>
  </r>
  <r>
    <x v="3"/>
    <s v="Dolphin"/>
    <x v="5"/>
    <x v="1"/>
    <n v="98821.6"/>
    <n v="98.4"/>
    <n v="363"/>
    <n v="189"/>
    <s v="Hatchback"/>
    <n v="4"/>
    <s v="Premium"/>
    <n v="172137"/>
    <n v="3.93"/>
    <n v="17010853759.200001"/>
  </r>
  <r>
    <x v="15"/>
    <s v="Macan Electric"/>
    <x v="5"/>
    <x v="3"/>
    <n v="186969.89"/>
    <n v="80.5"/>
    <n v="291"/>
    <n v="132"/>
    <s v="Hatchback"/>
    <n v="5"/>
    <s v="Luxury"/>
    <n v="29154"/>
    <n v="4.28"/>
    <n v="5450920173.0600004"/>
  </r>
  <r>
    <x v="2"/>
    <s v="Cybertruck"/>
    <x v="5"/>
    <x v="3"/>
    <n v="98006.33"/>
    <n v="50.5"/>
    <n v="177"/>
    <n v="138"/>
    <s v="Truck"/>
    <n v="4"/>
    <s v="Premium"/>
    <n v="113383"/>
    <n v="3.75"/>
    <n v="11112251714.389999"/>
  </r>
  <r>
    <x v="3"/>
    <s v="Dolphin"/>
    <x v="5"/>
    <x v="2"/>
    <n v="52113.75"/>
    <n v="54.9"/>
    <n v="221"/>
    <n v="148"/>
    <s v="Coupe"/>
    <n v="4"/>
    <s v="Mid-range"/>
    <n v="186712"/>
    <n v="3.38"/>
    <n v="9730262490"/>
  </r>
  <r>
    <x v="13"/>
    <s v="EQC"/>
    <x v="5"/>
    <x v="4"/>
    <n v="91108.2"/>
    <n v="66.3"/>
    <n v="223"/>
    <n v="157"/>
    <s v="Van"/>
    <n v="5"/>
    <s v="Premium"/>
    <n v="58124"/>
    <n v="3.6"/>
    <n v="5295573016.8000002"/>
  </r>
  <r>
    <x v="2"/>
    <s v="Model 3"/>
    <x v="5"/>
    <x v="4"/>
    <n v="137916.62"/>
    <n v="66"/>
    <n v="216"/>
    <n v="158"/>
    <s v="SUV"/>
    <n v="5"/>
    <s v="Luxury"/>
    <n v="132643"/>
    <n v="3.73"/>
    <n v="18293674226.66"/>
  </r>
  <r>
    <x v="12"/>
    <s v="Bolt EUV"/>
    <x v="5"/>
    <x v="1"/>
    <n v="62330.93"/>
    <n v="108"/>
    <n v="376"/>
    <n v="200"/>
    <s v="Truck"/>
    <n v="4"/>
    <s v="Mid-range"/>
    <n v="27154"/>
    <n v="3.92"/>
    <n v="1692534073.22"/>
  </r>
  <r>
    <x v="3"/>
    <s v="Qin"/>
    <x v="5"/>
    <x v="3"/>
    <n v="29108.23"/>
    <n v="44.5"/>
    <n v="170"/>
    <n v="165"/>
    <s v="Hatchback"/>
    <n v="5"/>
    <s v="Budget"/>
    <n v="179440"/>
    <n v="3.4"/>
    <n v="5223180791.1999998"/>
  </r>
  <r>
    <x v="12"/>
    <s v="Bolt EUV"/>
    <x v="5"/>
    <x v="1"/>
    <n v="81159.740000000005"/>
    <n v="104.4"/>
    <n v="379"/>
    <n v="200"/>
    <s v="Truck"/>
    <n v="4"/>
    <s v="Premium"/>
    <n v="28393"/>
    <n v="3.84"/>
    <n v="2304368497.8200002"/>
  </r>
  <r>
    <x v="2"/>
    <s v="Model 3"/>
    <x v="5"/>
    <x v="2"/>
    <n v="80586.23"/>
    <n v="77.900000000000006"/>
    <n v="274"/>
    <n v="149"/>
    <s v="Van"/>
    <n v="5"/>
    <s v="Premium"/>
    <n v="243472"/>
    <n v="3.8"/>
    <n v="19620490590.559998"/>
  </r>
  <r>
    <x v="3"/>
    <s v="Qin"/>
    <x v="5"/>
    <x v="3"/>
    <n v="79451.820000000007"/>
    <n v="66.3"/>
    <n v="253"/>
    <n v="158"/>
    <s v="Hatchback"/>
    <n v="5"/>
    <s v="Premium"/>
    <n v="216726"/>
    <n v="3.44"/>
    <n v="17219275141.32"/>
  </r>
  <r>
    <x v="8"/>
    <s v="E-Transit"/>
    <x v="5"/>
    <x v="2"/>
    <n v="47442.7"/>
    <n v="70.8"/>
    <n v="237"/>
    <n v="153"/>
    <s v="Van"/>
    <n v="4"/>
    <s v="Mid-range"/>
    <n v="71700"/>
    <n v="3.47"/>
    <n v="3401641590"/>
  </r>
  <r>
    <x v="3"/>
    <s v="Leaf 50X"/>
    <x v="5"/>
    <x v="3"/>
    <n v="32451.41"/>
    <n v="72.900000000000006"/>
    <n v="268"/>
    <n v="148"/>
    <s v="Coupe"/>
    <n v="4"/>
    <s v="Budget"/>
    <n v="104392"/>
    <n v="3.51"/>
    <n v="3387667592.7199998"/>
  </r>
  <r>
    <x v="2"/>
    <s v="Model 3"/>
    <x v="5"/>
    <x v="2"/>
    <n v="108727.13"/>
    <n v="41.1"/>
    <n v="150"/>
    <n v="131"/>
    <s v="Truck"/>
    <n v="3"/>
    <s v="Luxury"/>
    <n v="118818"/>
    <n v="3.3"/>
    <n v="12918740132.34"/>
  </r>
  <r>
    <x v="6"/>
    <s v="Ioniq 5"/>
    <x v="5"/>
    <x v="2"/>
    <n v="34994.42"/>
    <n v="79.099999999999994"/>
    <n v="269"/>
    <n v="142"/>
    <s v="Hatchback"/>
    <n v="3"/>
    <s v="Budget"/>
    <n v="123225"/>
    <n v="3.52"/>
    <n v="4312187404.5"/>
  </r>
  <r>
    <x v="8"/>
    <s v="Mustang Mach-E"/>
    <x v="5"/>
    <x v="0"/>
    <n v="70076.78"/>
    <n v="107.7"/>
    <n v="396"/>
    <n v="185"/>
    <s v="Truck"/>
    <n v="3"/>
    <s v="Premium"/>
    <n v="52702"/>
    <n v="3.92"/>
    <n v="3693186459.5599999"/>
  </r>
  <r>
    <x v="7"/>
    <s v="ID.3"/>
    <x v="5"/>
    <x v="1"/>
    <n v="52326.27"/>
    <n v="115.4"/>
    <n v="383"/>
    <n v="200"/>
    <s v="SUV"/>
    <n v="5"/>
    <s v="Mid-range"/>
    <n v="248780"/>
    <n v="3.88"/>
    <n v="13017729450.599998"/>
  </r>
  <r>
    <x v="9"/>
    <s v="i5"/>
    <x v="5"/>
    <x v="2"/>
    <n v="68260.210000000006"/>
    <n v="52.1"/>
    <n v="191"/>
    <n v="171"/>
    <s v="SUV"/>
    <n v="4"/>
    <s v="Premium"/>
    <n v="78488"/>
    <n v="3.02"/>
    <n v="5357607362.4800005"/>
  </r>
  <r>
    <x v="10"/>
    <n v="2"/>
    <x v="5"/>
    <x v="2"/>
    <n v="91715.74"/>
    <n v="62.6"/>
    <n v="234"/>
    <n v="155"/>
    <s v="Hatchback"/>
    <n v="5"/>
    <s v="Premium"/>
    <n v="2292"/>
    <n v="3.52"/>
    <n v="210212476.08000001"/>
  </r>
  <r>
    <x v="8"/>
    <s v="Explorer EV"/>
    <x v="5"/>
    <x v="2"/>
    <n v="55304.32"/>
    <n v="58.4"/>
    <n v="191"/>
    <n v="164"/>
    <s v="SUV"/>
    <n v="5"/>
    <s v="Mid-range"/>
    <n v="32117"/>
    <n v="3.32"/>
    <n v="1776208845.4400001"/>
  </r>
  <r>
    <x v="3"/>
    <s v="Dolphin"/>
    <x v="5"/>
    <x v="1"/>
    <n v="30282.11"/>
    <n v="100"/>
    <n v="331"/>
    <n v="200"/>
    <s v="Van"/>
    <n v="5"/>
    <s v="Budget"/>
    <n v="180781"/>
    <n v="4.04"/>
    <n v="5474430127.9099998"/>
  </r>
  <r>
    <x v="3"/>
    <s v="Dolphin"/>
    <x v="5"/>
    <x v="3"/>
    <n v="83813.38"/>
    <n v="70"/>
    <n v="271"/>
    <n v="166"/>
    <s v="SUV"/>
    <n v="3"/>
    <s v="Premium"/>
    <n v="193467"/>
    <n v="3.4"/>
    <n v="16215123188.460001"/>
  </r>
  <r>
    <x v="2"/>
    <s v="Model Y"/>
    <x v="5"/>
    <x v="1"/>
    <n v="63323.17"/>
    <n v="90.5"/>
    <n v="314"/>
    <n v="195"/>
    <s v="Coupe"/>
    <n v="5"/>
    <s v="Mid-range"/>
    <n v="404935"/>
    <n v="3.92"/>
    <n v="25641767843.950001"/>
  </r>
  <r>
    <x v="3"/>
    <s v="Atto 3"/>
    <x v="5"/>
    <x v="0"/>
    <n v="51946.07"/>
    <n v="98.3"/>
    <n v="331"/>
    <n v="185"/>
    <s v="Sedan"/>
    <n v="5"/>
    <s v="Mid-range"/>
    <n v="247778"/>
    <n v="3.61"/>
    <n v="12871093332.459999"/>
  </r>
  <r>
    <x v="8"/>
    <s v="E-Transit"/>
    <x v="5"/>
    <x v="3"/>
    <n v="44718.1"/>
    <n v="71.7"/>
    <n v="258"/>
    <n v="157"/>
    <s v="Hatchback"/>
    <n v="5"/>
    <s v="Mid-range"/>
    <n v="41551"/>
    <n v="3.51"/>
    <n v="1858081773.0999999"/>
  </r>
  <r>
    <x v="7"/>
    <s v="ID. Aero"/>
    <x v="5"/>
    <x v="4"/>
    <n v="112803.13"/>
    <n v="81.2"/>
    <n v="297"/>
    <n v="158"/>
    <s v="Truck"/>
    <n v="4"/>
    <s v="Luxury"/>
    <n v="225327"/>
    <n v="3.76"/>
    <n v="25417590873.510002"/>
  </r>
  <r>
    <x v="4"/>
    <s v="e-tron GT"/>
    <x v="5"/>
    <x v="0"/>
    <n v="126392.96000000001"/>
    <n v="109.8"/>
    <n v="384"/>
    <n v="176"/>
    <s v="Sedan"/>
    <n v="4"/>
    <s v="Luxury"/>
    <n v="38380"/>
    <n v="4.0199999999999996"/>
    <n v="4850961804.8000002"/>
  </r>
  <r>
    <x v="0"/>
    <s v="bZ Compact SUV"/>
    <x v="5"/>
    <x v="4"/>
    <n v="79560.179999999993"/>
    <n v="48.9"/>
    <n v="199"/>
    <n v="167"/>
    <s v="SUV"/>
    <n v="5"/>
    <s v="Premium"/>
    <n v="12847"/>
    <n v="3.03"/>
    <n v="1022109632.4599999"/>
  </r>
  <r>
    <x v="6"/>
    <s v="Ioniq"/>
    <x v="5"/>
    <x v="1"/>
    <n v="56648.45"/>
    <n v="77.2"/>
    <n v="256"/>
    <n v="200"/>
    <s v="Truck"/>
    <n v="4"/>
    <s v="Mid-range"/>
    <n v="120189"/>
    <n v="3.68"/>
    <n v="6808520557.0499992"/>
  </r>
  <r>
    <x v="2"/>
    <s v="Model Y"/>
    <x v="5"/>
    <x v="4"/>
    <n v="126346.84"/>
    <n v="62.5"/>
    <n v="253"/>
    <n v="147"/>
    <s v="SUV"/>
    <n v="4"/>
    <s v="Luxury"/>
    <n v="433007"/>
    <n v="3.92"/>
    <n v="54709066147.879997"/>
  </r>
  <r>
    <x v="17"/>
    <s v="XC40 Recharge"/>
    <x v="5"/>
    <x v="0"/>
    <n v="79465"/>
    <n v="100.9"/>
    <n v="373"/>
    <n v="183"/>
    <s v="Van"/>
    <n v="5"/>
    <s v="Premium"/>
    <n v="9072"/>
    <n v="4"/>
    <n v="720906480"/>
  </r>
  <r>
    <x v="7"/>
    <s v="ID. Buzz"/>
    <x v="5"/>
    <x v="0"/>
    <n v="97039.06"/>
    <n v="100.7"/>
    <n v="357"/>
    <n v="191"/>
    <s v="Coupe"/>
    <n v="4"/>
    <s v="Premium"/>
    <n v="224398"/>
    <n v="3.79"/>
    <n v="21775370985.880001"/>
  </r>
  <r>
    <x v="12"/>
    <s v="Blazer EV"/>
    <x v="5"/>
    <x v="4"/>
    <n v="80502.600000000006"/>
    <n v="78.599999999999994"/>
    <n v="262"/>
    <n v="176"/>
    <s v="Sedan"/>
    <n v="3"/>
    <s v="Premium"/>
    <n v="14992"/>
    <n v="3.62"/>
    <n v="1206894979.2"/>
  </r>
  <r>
    <x v="2"/>
    <s v="Model 3"/>
    <x v="5"/>
    <x v="0"/>
    <n v="31639.64"/>
    <n v="77.2"/>
    <n v="287"/>
    <n v="172"/>
    <s v="Coupe"/>
    <n v="5"/>
    <s v="Budget"/>
    <n v="146342"/>
    <n v="4"/>
    <n v="4630208196.8800001"/>
  </r>
  <r>
    <x v="3"/>
    <s v="Atto 3"/>
    <x v="5"/>
    <x v="1"/>
    <n v="81358.02"/>
    <n v="82.4"/>
    <n v="282"/>
    <n v="195"/>
    <s v="Sedan"/>
    <n v="4"/>
    <s v="Premium"/>
    <n v="108251"/>
    <n v="3.65"/>
    <n v="8807087023.0200005"/>
  </r>
  <r>
    <x v="3"/>
    <s v="Dolphin"/>
    <x v="5"/>
    <x v="2"/>
    <n v="73207.320000000007"/>
    <n v="69.3"/>
    <n v="232"/>
    <n v="152"/>
    <s v="Hatchback"/>
    <n v="4"/>
    <s v="Premium"/>
    <n v="205374"/>
    <n v="3.21"/>
    <n v="15034880137.680002"/>
  </r>
  <r>
    <x v="13"/>
    <s v="EQE"/>
    <x v="5"/>
    <x v="4"/>
    <n v="112650.99"/>
    <n v="53.9"/>
    <n v="165"/>
    <n v="148"/>
    <s v="SUV"/>
    <n v="4"/>
    <s v="Luxury"/>
    <n v="79068"/>
    <n v="3.36"/>
    <n v="8907088477.3199997"/>
  </r>
  <r>
    <x v="2"/>
    <s v="Model S"/>
    <x v="5"/>
    <x v="3"/>
    <n v="58831.27"/>
    <n v="45"/>
    <n v="150"/>
    <n v="147"/>
    <s v="Sedan"/>
    <n v="5"/>
    <s v="Mid-range"/>
    <n v="150860"/>
    <n v="3.42"/>
    <n v="8875285392.1999989"/>
  </r>
  <r>
    <x v="7"/>
    <s v="ID.3"/>
    <x v="5"/>
    <x v="0"/>
    <n v="70858.100000000006"/>
    <n v="90.5"/>
    <n v="274"/>
    <n v="163"/>
    <s v="Truck"/>
    <n v="5"/>
    <s v="Premium"/>
    <n v="251846"/>
    <n v="3.59"/>
    <n v="17845329052.600002"/>
  </r>
  <r>
    <x v="3"/>
    <s v="Yuan Plus"/>
    <x v="5"/>
    <x v="2"/>
    <n v="73712.39"/>
    <n v="44.1"/>
    <n v="173"/>
    <n v="126"/>
    <s v="Sedan"/>
    <n v="4"/>
    <s v="Premium"/>
    <n v="243890"/>
    <n v="3.08"/>
    <n v="17977714797.099998"/>
  </r>
  <r>
    <x v="6"/>
    <s v="Ioniq"/>
    <x v="5"/>
    <x v="3"/>
    <n v="65291.37"/>
    <n v="83.7"/>
    <n v="283"/>
    <n v="150"/>
    <s v="Van"/>
    <n v="5"/>
    <s v="Premium"/>
    <n v="99183"/>
    <n v="3.55"/>
    <n v="6475793950.71"/>
  </r>
  <r>
    <x v="2"/>
    <s v="Cybertruck"/>
    <x v="5"/>
    <x v="2"/>
    <n v="64862.04"/>
    <n v="68.099999999999994"/>
    <n v="237"/>
    <n v="145"/>
    <s v="Truck"/>
    <n v="5"/>
    <s v="Mid-range"/>
    <n v="237113"/>
    <n v="3.85"/>
    <n v="15379632890.52"/>
  </r>
  <r>
    <x v="13"/>
    <s v="EQS"/>
    <x v="5"/>
    <x v="3"/>
    <n v="131964.76"/>
    <n v="47"/>
    <n v="157"/>
    <n v="160"/>
    <s v="Coupe"/>
    <n v="4"/>
    <s v="Luxury"/>
    <n v="62952"/>
    <n v="3.64"/>
    <n v="8307445571.5200005"/>
  </r>
  <r>
    <x v="3"/>
    <s v="Seagull"/>
    <x v="5"/>
    <x v="3"/>
    <n v="37099.25"/>
    <n v="64.7"/>
    <n v="205"/>
    <n v="171"/>
    <s v="Hatchback"/>
    <n v="5"/>
    <s v="Mid-range"/>
    <n v="163441"/>
    <n v="3.69"/>
    <n v="6063538519.25"/>
  </r>
  <r>
    <x v="4"/>
    <s v="Q4 e-tron"/>
    <x v="5"/>
    <x v="3"/>
    <n v="55204.45"/>
    <n v="65.400000000000006"/>
    <n v="223"/>
    <n v="164"/>
    <s v="Hatchback"/>
    <n v="4"/>
    <s v="Mid-range"/>
    <n v="48087"/>
    <n v="3.24"/>
    <n v="2654616387.1500001"/>
  </r>
  <r>
    <x v="8"/>
    <s v="E-Transit"/>
    <x v="5"/>
    <x v="3"/>
    <n v="63604.01"/>
    <n v="40"/>
    <n v="150"/>
    <n v="148"/>
    <s v="Hatchback"/>
    <n v="4"/>
    <s v="Mid-range"/>
    <n v="36824"/>
    <n v="3.23"/>
    <n v="2342154064.2400002"/>
  </r>
  <r>
    <x v="13"/>
    <s v="EQS"/>
    <x v="5"/>
    <x v="3"/>
    <n v="99348.31"/>
    <n v="48.9"/>
    <n v="189"/>
    <n v="150"/>
    <s v="Coupe"/>
    <n v="4"/>
    <s v="Premium"/>
    <n v="79812"/>
    <n v="3.77"/>
    <n v="7929187317.7200003"/>
  </r>
  <r>
    <x v="13"/>
    <s v="EQC"/>
    <x v="5"/>
    <x v="2"/>
    <n v="124226.17"/>
    <n v="74.2"/>
    <n v="253"/>
    <n v="164"/>
    <s v="SUV"/>
    <n v="4"/>
    <s v="Luxury"/>
    <n v="40173"/>
    <n v="3.67"/>
    <n v="4990537927.4099998"/>
  </r>
  <r>
    <x v="12"/>
    <s v="Blazer EV"/>
    <x v="5"/>
    <x v="2"/>
    <n v="34616.61"/>
    <n v="73.900000000000006"/>
    <n v="287"/>
    <n v="167"/>
    <s v="Coupe"/>
    <n v="4"/>
    <s v="Budget"/>
    <n v="24423"/>
    <n v="3.83"/>
    <n v="845441466.02999997"/>
  </r>
  <r>
    <x v="13"/>
    <s v="EQS"/>
    <x v="5"/>
    <x v="0"/>
    <n v="183986.43"/>
    <n v="100.6"/>
    <n v="365"/>
    <n v="193"/>
    <s v="Hatchback"/>
    <n v="5"/>
    <s v="Luxury"/>
    <n v="50432"/>
    <n v="4.09"/>
    <n v="9278803637.7600002"/>
  </r>
  <r>
    <x v="2"/>
    <s v="Cybertruck"/>
    <x v="5"/>
    <x v="1"/>
    <n v="56352.74"/>
    <n v="82.9"/>
    <n v="297"/>
    <n v="200"/>
    <s v="Truck"/>
    <n v="4"/>
    <s v="Mid-range"/>
    <n v="197115"/>
    <n v="3.86"/>
    <n v="11107970345.1"/>
  </r>
  <r>
    <x v="12"/>
    <s v="Blazer EV"/>
    <x v="5"/>
    <x v="2"/>
    <n v="63436.73"/>
    <n v="52.8"/>
    <n v="186"/>
    <n v="130"/>
    <s v="Truck"/>
    <n v="5"/>
    <s v="Mid-range"/>
    <n v="13397"/>
    <n v="3.49"/>
    <n v="849861871.81000006"/>
  </r>
  <r>
    <x v="9"/>
    <s v="i5"/>
    <x v="5"/>
    <x v="2"/>
    <n v="84667.26"/>
    <n v="78.3"/>
    <n v="258"/>
    <n v="141"/>
    <s v="Truck"/>
    <n v="3"/>
    <s v="Premium"/>
    <n v="39763"/>
    <n v="3.26"/>
    <n v="3366624259.3799996"/>
  </r>
  <r>
    <x v="9"/>
    <s v="iX"/>
    <x v="5"/>
    <x v="3"/>
    <n v="92031.99"/>
    <n v="74.599999999999994"/>
    <n v="257"/>
    <n v="166"/>
    <s v="Sedan"/>
    <n v="5"/>
    <s v="Premium"/>
    <n v="29936"/>
    <n v="3.7"/>
    <n v="2755069652.6400003"/>
  </r>
  <r>
    <x v="8"/>
    <s v="Explorer EV"/>
    <x v="5"/>
    <x v="4"/>
    <n v="66422.789999999994"/>
    <n v="77.900000000000006"/>
    <n v="263"/>
    <n v="149"/>
    <s v="Van"/>
    <n v="5"/>
    <s v="Premium"/>
    <n v="56669"/>
    <n v="3.69"/>
    <n v="3764113086.5099998"/>
  </r>
  <r>
    <x v="2"/>
    <s v="Cybertruck"/>
    <x v="5"/>
    <x v="4"/>
    <n v="52220.2"/>
    <n v="69.099999999999994"/>
    <n v="211"/>
    <n v="172"/>
    <s v="Truck"/>
    <n v="5"/>
    <s v="Mid-range"/>
    <n v="119997"/>
    <n v="3.75"/>
    <n v="6266267339.3999996"/>
  </r>
  <r>
    <x v="12"/>
    <s v="Equinox EV"/>
    <x v="5"/>
    <x v="0"/>
    <n v="84366.720000000001"/>
    <n v="76.7"/>
    <n v="244"/>
    <n v="185"/>
    <s v="SUV"/>
    <n v="4"/>
    <s v="Premium"/>
    <n v="6773"/>
    <n v="3.64"/>
    <n v="571415794.56000006"/>
  </r>
  <r>
    <x v="5"/>
    <s v="EV9"/>
    <x v="5"/>
    <x v="0"/>
    <n v="93514.06"/>
    <n v="80.2"/>
    <n v="278"/>
    <n v="179"/>
    <s v="SUV"/>
    <n v="5"/>
    <s v="Premium"/>
    <n v="120989"/>
    <n v="3.34"/>
    <n v="11314172605.34"/>
  </r>
  <r>
    <x v="2"/>
    <s v="Model S"/>
    <x v="5"/>
    <x v="3"/>
    <n v="67256.69"/>
    <n v="74.099999999999994"/>
    <n v="249"/>
    <n v="156"/>
    <s v="Truck"/>
    <n v="5"/>
    <s v="Premium"/>
    <n v="149284"/>
    <n v="3.76"/>
    <n v="10040347709.960001"/>
  </r>
  <r>
    <x v="14"/>
    <s v="EL6"/>
    <x v="5"/>
    <x v="3"/>
    <n v="65308.05"/>
    <n v="45.9"/>
    <n v="171"/>
    <n v="156"/>
    <s v="Sedan"/>
    <n v="5"/>
    <s v="Premium"/>
    <n v="19253"/>
    <n v="3.04"/>
    <n v="1257375886.6500001"/>
  </r>
  <r>
    <x v="2"/>
    <s v="Model Y"/>
    <x v="5"/>
    <x v="4"/>
    <n v="154034.20000000001"/>
    <n v="80.599999999999994"/>
    <n v="277"/>
    <n v="146"/>
    <s v="Hatchback"/>
    <n v="5"/>
    <s v="Luxury"/>
    <n v="428866"/>
    <n v="3.69"/>
    <n v="66060031217.200005"/>
  </r>
  <r>
    <x v="3"/>
    <s v="Seagull"/>
    <x v="5"/>
    <x v="3"/>
    <n v="26964.92"/>
    <n v="56.1"/>
    <n v="166"/>
    <n v="165"/>
    <s v="Van"/>
    <n v="5"/>
    <s v="Budget"/>
    <n v="131090"/>
    <n v="3.27"/>
    <n v="3534831362.7999997"/>
  </r>
  <r>
    <x v="5"/>
    <s v="EV9"/>
    <x v="5"/>
    <x v="0"/>
    <n v="74000.570000000007"/>
    <n v="102.9"/>
    <n v="371"/>
    <n v="187"/>
    <s v="SUV"/>
    <n v="5"/>
    <s v="Premium"/>
    <n v="137133"/>
    <n v="3.72"/>
    <n v="10147920165.810001"/>
  </r>
  <r>
    <x v="3"/>
    <s v="Atto 3"/>
    <x v="5"/>
    <x v="4"/>
    <n v="81058.7"/>
    <n v="78.3"/>
    <n v="260"/>
    <n v="160"/>
    <s v="Van"/>
    <n v="4"/>
    <s v="Premium"/>
    <n v="230802"/>
    <n v="3.44"/>
    <n v="18708510077.399998"/>
  </r>
  <r>
    <x v="2"/>
    <s v="Model 3"/>
    <x v="5"/>
    <x v="1"/>
    <n v="112635.62"/>
    <n v="91.1"/>
    <n v="305"/>
    <n v="195"/>
    <s v="Truck"/>
    <n v="5"/>
    <s v="Luxury"/>
    <n v="126461"/>
    <n v="4.1399999999999997"/>
    <n v="14244013140.82"/>
  </r>
  <r>
    <x v="2"/>
    <s v="Model X"/>
    <x v="5"/>
    <x v="1"/>
    <n v="92160.09"/>
    <n v="115.6"/>
    <n v="400"/>
    <n v="200"/>
    <s v="Sedan"/>
    <n v="4"/>
    <s v="Premium"/>
    <n v="139912"/>
    <n v="4.17"/>
    <n v="12894302512.08"/>
  </r>
  <r>
    <x v="9"/>
    <s v="i3"/>
    <x v="5"/>
    <x v="3"/>
    <n v="69070.75"/>
    <n v="82"/>
    <n v="304"/>
    <n v="143"/>
    <s v="Van"/>
    <n v="4"/>
    <s v="Premium"/>
    <n v="73019"/>
    <n v="3.53"/>
    <n v="5043477094.25"/>
  </r>
  <r>
    <x v="3"/>
    <s v="Yuan Plus"/>
    <x v="5"/>
    <x v="3"/>
    <n v="28078.09"/>
    <n v="44.7"/>
    <n v="150"/>
    <n v="156"/>
    <s v="Sedan"/>
    <n v="3"/>
    <s v="Budget"/>
    <n v="207345"/>
    <n v="3.08"/>
    <n v="5821851571.0500002"/>
  </r>
  <r>
    <x v="7"/>
    <s v="ID. Buzz"/>
    <x v="5"/>
    <x v="3"/>
    <n v="34913.449999999997"/>
    <n v="57.9"/>
    <n v="187"/>
    <n v="145"/>
    <s v="Hatchback"/>
    <n v="5"/>
    <s v="Budget"/>
    <n v="204604"/>
    <n v="3.5"/>
    <n v="7143431523.7999992"/>
  </r>
  <r>
    <x v="3"/>
    <s v="Yuan Plus"/>
    <x v="5"/>
    <x v="1"/>
    <n v="113906.34"/>
    <n v="84.5"/>
    <n v="315"/>
    <n v="200"/>
    <s v="Truck"/>
    <n v="3"/>
    <s v="Luxury"/>
    <n v="193570"/>
    <n v="3.68"/>
    <n v="22048850233.799999"/>
  </r>
  <r>
    <x v="2"/>
    <s v="Model S"/>
    <x v="5"/>
    <x v="0"/>
    <n v="67690.460000000006"/>
    <n v="92.6"/>
    <n v="317"/>
    <n v="179"/>
    <s v="Hatchback"/>
    <n v="4"/>
    <s v="Premium"/>
    <n v="187975"/>
    <n v="3.94"/>
    <n v="12724114218.500002"/>
  </r>
  <r>
    <x v="7"/>
    <s v="ID. Buzz"/>
    <x v="5"/>
    <x v="3"/>
    <n v="71667.28"/>
    <n v="81.5"/>
    <n v="282"/>
    <n v="156"/>
    <s v="Van"/>
    <n v="3"/>
    <s v="Premium"/>
    <n v="285418"/>
    <n v="3.48"/>
    <n v="20455131723.040001"/>
  </r>
  <r>
    <x v="14"/>
    <s v="EC6"/>
    <x v="5"/>
    <x v="4"/>
    <n v="103197.25"/>
    <n v="46.4"/>
    <n v="161"/>
    <n v="163"/>
    <s v="Van"/>
    <n v="4"/>
    <s v="Luxury"/>
    <n v="20886"/>
    <n v="3.24"/>
    <n v="2155377763.5"/>
  </r>
  <r>
    <x v="9"/>
    <s v="i7"/>
    <x v="5"/>
    <x v="1"/>
    <n v="150935.25"/>
    <n v="119.6"/>
    <n v="423"/>
    <n v="200"/>
    <s v="Hatchback"/>
    <n v="5"/>
    <s v="Luxury"/>
    <n v="49006"/>
    <n v="3.99"/>
    <n v="7396732861.5"/>
  </r>
  <r>
    <x v="3"/>
    <s v="Seagull"/>
    <x v="5"/>
    <x v="0"/>
    <n v="32710.87"/>
    <n v="88.5"/>
    <n v="321"/>
    <n v="192"/>
    <s v="Truck"/>
    <n v="5"/>
    <s v="Budget"/>
    <n v="169948"/>
    <n v="3.62"/>
    <n v="5559146934.7600002"/>
  </r>
  <r>
    <x v="3"/>
    <s v="Max"/>
    <x v="5"/>
    <x v="1"/>
    <n v="118077.25"/>
    <n v="109.3"/>
    <n v="391"/>
    <n v="191"/>
    <s v="Sedan"/>
    <n v="5"/>
    <s v="Luxury"/>
    <n v="103364"/>
    <n v="3.72"/>
    <n v="12204936869"/>
  </r>
  <r>
    <x v="2"/>
    <s v="Model Y"/>
    <x v="5"/>
    <x v="3"/>
    <n v="92379.520000000004"/>
    <n v="84.7"/>
    <n v="300"/>
    <n v="130"/>
    <s v="Sedan"/>
    <n v="4"/>
    <s v="Premium"/>
    <n v="461008"/>
    <n v="3.78"/>
    <n v="42587697756.160004"/>
  </r>
  <r>
    <x v="1"/>
    <s v="Ronin"/>
    <x v="5"/>
    <x v="4"/>
    <n v="106306.01"/>
    <n v="80.2"/>
    <n v="270"/>
    <n v="140"/>
    <s v="Van"/>
    <n v="5"/>
    <s v="Luxury"/>
    <n v="8757"/>
    <n v="3.62"/>
    <n v="930921729.56999993"/>
  </r>
  <r>
    <x v="13"/>
    <s v="GLE EV"/>
    <x v="5"/>
    <x v="4"/>
    <n v="111590.33"/>
    <n v="69.8"/>
    <n v="216"/>
    <n v="161"/>
    <s v="SUV"/>
    <n v="4"/>
    <s v="Luxury"/>
    <n v="58457"/>
    <n v="3.3"/>
    <n v="6523235920.8100004"/>
  </r>
  <r>
    <x v="8"/>
    <s v="F-150 Lightning"/>
    <x v="5"/>
    <x v="4"/>
    <n v="79279.61"/>
    <n v="59.6"/>
    <n v="194"/>
    <n v="139"/>
    <s v="Truck"/>
    <n v="5"/>
    <s v="Premium"/>
    <n v="67161"/>
    <n v="3.21"/>
    <n v="5324497887.21"/>
  </r>
  <r>
    <x v="2"/>
    <s v="Model S"/>
    <x v="5"/>
    <x v="2"/>
    <n v="41533.410000000003"/>
    <n v="81.099999999999994"/>
    <n v="287"/>
    <n v="145"/>
    <s v="Hatchback"/>
    <n v="4"/>
    <s v="Mid-range"/>
    <n v="205263"/>
    <n v="3.88"/>
    <n v="8525272336.8300009"/>
  </r>
  <r>
    <x v="2"/>
    <s v="Model S"/>
    <x v="5"/>
    <x v="4"/>
    <n v="131664.51"/>
    <n v="56.1"/>
    <n v="197"/>
    <n v="167"/>
    <s v="SUV"/>
    <n v="5"/>
    <s v="Luxury"/>
    <n v="124407"/>
    <n v="3.58"/>
    <n v="16379986695.570002"/>
  </r>
  <r>
    <x v="5"/>
    <s v="EV9"/>
    <x v="5"/>
    <x v="2"/>
    <n v="31082.43"/>
    <n v="50.7"/>
    <n v="177"/>
    <n v="143"/>
    <s v="SUV"/>
    <n v="5"/>
    <s v="Budget"/>
    <n v="76695"/>
    <n v="3.1"/>
    <n v="2383866968.8499999"/>
  </r>
  <r>
    <x v="3"/>
    <s v="Seagull"/>
    <x v="5"/>
    <x v="4"/>
    <n v="111062.23"/>
    <n v="40.6"/>
    <n v="162"/>
    <n v="136"/>
    <s v="Truck"/>
    <n v="4"/>
    <s v="Luxury"/>
    <n v="149002"/>
    <n v="3.28"/>
    <n v="16548494394.459999"/>
  </r>
  <r>
    <x v="8"/>
    <s v="Explorer EV"/>
    <x v="5"/>
    <x v="4"/>
    <n v="56654.61"/>
    <n v="62.9"/>
    <n v="233"/>
    <n v="156"/>
    <s v="Van"/>
    <n v="5"/>
    <s v="Mid-range"/>
    <n v="41791"/>
    <n v="3.47"/>
    <n v="2367652806.5100002"/>
  </r>
  <r>
    <x v="7"/>
    <s v="ID. Buzz"/>
    <x v="5"/>
    <x v="3"/>
    <n v="85586.86"/>
    <n v="50.5"/>
    <n v="179"/>
    <n v="160"/>
    <s v="Truck"/>
    <n v="3"/>
    <s v="Premium"/>
    <n v="259718"/>
    <n v="3"/>
    <n v="22228448105.48"/>
  </r>
  <r>
    <x v="8"/>
    <s v="E-Transit"/>
    <x v="5"/>
    <x v="3"/>
    <n v="32151.97"/>
    <n v="58.3"/>
    <n v="176"/>
    <n v="169"/>
    <s v="Hatchback"/>
    <n v="4"/>
    <s v="Budget"/>
    <n v="25887"/>
    <n v="3.14"/>
    <n v="832318047.38999999"/>
  </r>
  <r>
    <x v="2"/>
    <s v="Model X"/>
    <x v="5"/>
    <x v="1"/>
    <n v="99111.24"/>
    <n v="103.7"/>
    <n v="345"/>
    <n v="182"/>
    <s v="Truck"/>
    <n v="5"/>
    <s v="Premium"/>
    <n v="160176"/>
    <n v="4.04"/>
    <n v="15875241978.240002"/>
  </r>
  <r>
    <x v="6"/>
    <s v="Kona Electric"/>
    <x v="5"/>
    <x v="2"/>
    <n v="46056.18"/>
    <n v="74.8"/>
    <n v="259"/>
    <n v="153"/>
    <s v="Sedan"/>
    <n v="5"/>
    <s v="Mid-range"/>
    <n v="143815"/>
    <n v="3.55"/>
    <n v="6623569526.6999998"/>
  </r>
  <r>
    <x v="5"/>
    <s v="Picanto EV"/>
    <x v="5"/>
    <x v="1"/>
    <n v="88002.42"/>
    <n v="95.9"/>
    <n v="334"/>
    <n v="200"/>
    <s v="SUV"/>
    <n v="5"/>
    <s v="Premium"/>
    <n v="60132"/>
    <n v="3.63"/>
    <n v="5291761519.4399996"/>
  </r>
  <r>
    <x v="12"/>
    <s v="Equinox EV"/>
    <x v="5"/>
    <x v="2"/>
    <n v="57562.96"/>
    <n v="48"/>
    <n v="172"/>
    <n v="154"/>
    <s v="SUV"/>
    <n v="5"/>
    <s v="Mid-range"/>
    <n v="18527"/>
    <n v="3.44"/>
    <n v="1066468959.92"/>
  </r>
  <r>
    <x v="2"/>
    <s v="Model 3"/>
    <x v="5"/>
    <x v="3"/>
    <n v="39764.730000000003"/>
    <n v="62.8"/>
    <n v="218"/>
    <n v="135"/>
    <s v="Truck"/>
    <n v="5"/>
    <s v="Mid-range"/>
    <n v="177083"/>
    <n v="3.7"/>
    <n v="7041657682.5900002"/>
  </r>
  <r>
    <x v="3"/>
    <s v="Dolphin"/>
    <x v="5"/>
    <x v="0"/>
    <n v="23723.54"/>
    <n v="84.2"/>
    <n v="308"/>
    <n v="185"/>
    <s v="Truck"/>
    <n v="4"/>
    <s v="Budget"/>
    <n v="224275"/>
    <n v="3.65"/>
    <n v="5320596933.5"/>
  </r>
  <r>
    <x v="2"/>
    <s v="Model Y"/>
    <x v="5"/>
    <x v="0"/>
    <n v="71009.25"/>
    <n v="81"/>
    <n v="305"/>
    <n v="162"/>
    <s v="Van"/>
    <n v="4"/>
    <s v="Premium"/>
    <n v="465765"/>
    <n v="3.91"/>
    <n v="33073623326.25"/>
  </r>
  <r>
    <x v="7"/>
    <s v="ID.5"/>
    <x v="5"/>
    <x v="2"/>
    <n v="36800.160000000003"/>
    <n v="48.1"/>
    <n v="169"/>
    <n v="152"/>
    <s v="SUV"/>
    <n v="5"/>
    <s v="Mid-range"/>
    <n v="290748"/>
    <n v="3.43"/>
    <n v="10699572919.68"/>
  </r>
  <r>
    <x v="2"/>
    <s v="Cybertruck"/>
    <x v="5"/>
    <x v="4"/>
    <n v="81977.77"/>
    <n v="68.400000000000006"/>
    <n v="192"/>
    <n v="155"/>
    <s v="Truck"/>
    <n v="5"/>
    <s v="Premium"/>
    <n v="146854"/>
    <n v="3.53"/>
    <n v="12038763435.58"/>
  </r>
  <r>
    <x v="2"/>
    <s v="Model S"/>
    <x v="5"/>
    <x v="1"/>
    <n v="94641.12"/>
    <n v="111.8"/>
    <n v="362"/>
    <n v="200"/>
    <s v="SUV"/>
    <n v="4"/>
    <s v="Premium"/>
    <n v="235320"/>
    <n v="4.03"/>
    <n v="22270948358.399998"/>
  </r>
  <r>
    <x v="14"/>
    <s v="EC6"/>
    <x v="5"/>
    <x v="3"/>
    <n v="73079.97"/>
    <n v="50.5"/>
    <n v="174"/>
    <n v="143"/>
    <s v="Coupe"/>
    <n v="4"/>
    <s v="Premium"/>
    <n v="11643"/>
    <n v="3.03"/>
    <n v="850870090.71000004"/>
  </r>
  <r>
    <x v="2"/>
    <s v="Model S"/>
    <x v="5"/>
    <x v="2"/>
    <n v="106992.78"/>
    <n v="50.9"/>
    <n v="162"/>
    <n v="152"/>
    <s v="Coupe"/>
    <n v="5"/>
    <s v="Luxury"/>
    <n v="178229"/>
    <n v="3.58"/>
    <n v="19069216186.619999"/>
  </r>
  <r>
    <x v="12"/>
    <s v="Bolt EUV"/>
    <x v="5"/>
    <x v="0"/>
    <n v="51965.01"/>
    <n v="75.8"/>
    <n v="297"/>
    <n v="177"/>
    <s v="Coupe"/>
    <n v="5"/>
    <s v="Mid-range"/>
    <n v="28326"/>
    <n v="3.65"/>
    <n v="1471960873.26"/>
  </r>
  <r>
    <x v="13"/>
    <s v="EQC"/>
    <x v="5"/>
    <x v="0"/>
    <n v="136371.95000000001"/>
    <n v="98.8"/>
    <n v="323"/>
    <n v="180"/>
    <s v="Coupe"/>
    <n v="4"/>
    <s v="Luxury"/>
    <n v="34019"/>
    <n v="4.25"/>
    <n v="4639237367.0500002"/>
  </r>
  <r>
    <x v="8"/>
    <s v="Explorer EV"/>
    <x v="5"/>
    <x v="2"/>
    <n v="45556.75"/>
    <n v="57.9"/>
    <n v="221"/>
    <n v="153"/>
    <s v="Coupe"/>
    <n v="5"/>
    <s v="Mid-range"/>
    <n v="46977"/>
    <n v="3.32"/>
    <n v="2140119444.75"/>
  </r>
  <r>
    <x v="6"/>
    <s v="i30"/>
    <x v="5"/>
    <x v="3"/>
    <n v="66375.02"/>
    <n v="59.8"/>
    <n v="232"/>
    <n v="143"/>
    <s v="Coupe"/>
    <n v="4"/>
    <s v="Premium"/>
    <n v="125248"/>
    <n v="3.22"/>
    <n v="8313338504.96"/>
  </r>
  <r>
    <x v="12"/>
    <s v="Bolt EUV"/>
    <x v="5"/>
    <x v="1"/>
    <n v="68553.58"/>
    <n v="80.599999999999994"/>
    <n v="282"/>
    <n v="193"/>
    <s v="SUV"/>
    <n v="5"/>
    <s v="Premium"/>
    <n v="27343"/>
    <n v="3.55"/>
    <n v="1874460537.9400001"/>
  </r>
  <r>
    <x v="3"/>
    <s v="Seagull"/>
    <x v="5"/>
    <x v="0"/>
    <n v="57737.75"/>
    <n v="106.1"/>
    <n v="383"/>
    <n v="189"/>
    <s v="Coupe"/>
    <n v="4"/>
    <s v="Mid-range"/>
    <n v="108943"/>
    <n v="4.12"/>
    <n v="6290123698.25"/>
  </r>
  <r>
    <x v="8"/>
    <s v="E-Transit"/>
    <x v="5"/>
    <x v="0"/>
    <n v="54602.2"/>
    <n v="96"/>
    <n v="344"/>
    <n v="181"/>
    <s v="Van"/>
    <n v="3"/>
    <s v="Mid-range"/>
    <n v="50891"/>
    <n v="3.53"/>
    <n v="2778760560.1999998"/>
  </r>
  <r>
    <x v="5"/>
    <s v="Sportage EV"/>
    <x v="5"/>
    <x v="0"/>
    <n v="76787.3"/>
    <n v="75.400000000000006"/>
    <n v="275"/>
    <n v="171"/>
    <s v="SUV"/>
    <n v="4"/>
    <s v="Premium"/>
    <n v="116634"/>
    <n v="3.71"/>
    <n v="8956009948.2000008"/>
  </r>
  <r>
    <x v="16"/>
    <s v="SU7"/>
    <x v="5"/>
    <x v="4"/>
    <n v="55513.599999999999"/>
    <n v="48.7"/>
    <n v="150"/>
    <n v="162"/>
    <s v="Sedan"/>
    <n v="4"/>
    <s v="Mid-range"/>
    <n v="22327"/>
    <n v="3.32"/>
    <n v="1239452147.2"/>
  </r>
  <r>
    <x v="9"/>
    <s v="i4"/>
    <x v="5"/>
    <x v="2"/>
    <n v="84529.75"/>
    <n v="77.3"/>
    <n v="276"/>
    <n v="176"/>
    <s v="Hatchback"/>
    <n v="4"/>
    <s v="Premium"/>
    <n v="25679"/>
    <n v="3.71"/>
    <n v="2170639450.25"/>
  </r>
  <r>
    <x v="2"/>
    <s v="Model S"/>
    <x v="5"/>
    <x v="2"/>
    <n v="97308.1"/>
    <n v="56.4"/>
    <n v="188"/>
    <n v="153"/>
    <s v="SUV"/>
    <n v="4"/>
    <s v="Premium"/>
    <n v="239872"/>
    <n v="3.7"/>
    <n v="23341488563.200001"/>
  </r>
  <r>
    <x v="2"/>
    <s v="Model X"/>
    <x v="5"/>
    <x v="4"/>
    <n v="35653.980000000003"/>
    <n v="52"/>
    <n v="162"/>
    <n v="146"/>
    <s v="Truck"/>
    <n v="4"/>
    <s v="Mid-range"/>
    <n v="228295"/>
    <n v="3.58"/>
    <n v="8139625364.1000004"/>
  </r>
  <r>
    <x v="6"/>
    <s v="Ioniq 6"/>
    <x v="5"/>
    <x v="0"/>
    <n v="80040.399999999994"/>
    <n v="81.099999999999994"/>
    <n v="284"/>
    <n v="181"/>
    <s v="Truck"/>
    <n v="5"/>
    <s v="Premium"/>
    <n v="146157"/>
    <n v="3.67"/>
    <n v="11698464742.799999"/>
  </r>
  <r>
    <x v="12"/>
    <s v="Equinox EV"/>
    <x v="5"/>
    <x v="2"/>
    <n v="64750.83"/>
    <n v="60.4"/>
    <n v="230"/>
    <n v="137"/>
    <s v="SUV"/>
    <n v="4"/>
    <s v="Mid-range"/>
    <n v="23069"/>
    <n v="3.62"/>
    <n v="1493736897.27"/>
  </r>
  <r>
    <x v="15"/>
    <s v="Taycan"/>
    <x v="5"/>
    <x v="4"/>
    <n v="111303.96"/>
    <n v="67.099999999999994"/>
    <n v="242"/>
    <n v="145"/>
    <s v="Van"/>
    <n v="5"/>
    <s v="Luxury"/>
    <n v="5234"/>
    <n v="3.75"/>
    <n v="582564926.63999999"/>
  </r>
  <r>
    <x v="13"/>
    <s v="EQE"/>
    <x v="5"/>
    <x v="4"/>
    <n v="198768.13"/>
    <n v="55.6"/>
    <n v="194"/>
    <n v="170"/>
    <s v="SUV"/>
    <n v="5"/>
    <s v="Luxury"/>
    <n v="77200"/>
    <n v="3.68"/>
    <n v="15344899636"/>
  </r>
  <r>
    <x v="7"/>
    <s v="ID. Buzz"/>
    <x v="5"/>
    <x v="4"/>
    <n v="116578.08"/>
    <n v="55.4"/>
    <n v="182"/>
    <n v="147"/>
    <s v="Van"/>
    <n v="3"/>
    <s v="Luxury"/>
    <n v="202014"/>
    <n v="3.21"/>
    <n v="23550404253.119999"/>
  </r>
  <r>
    <x v="4"/>
    <s v="e-tron"/>
    <x v="5"/>
    <x v="3"/>
    <n v="77807.960000000006"/>
    <n v="46.7"/>
    <n v="186"/>
    <n v="131"/>
    <s v="Van"/>
    <n v="5"/>
    <s v="Premium"/>
    <n v="67104"/>
    <n v="3.14"/>
    <n v="5221225347.8400002"/>
  </r>
  <r>
    <x v="7"/>
    <s v="ID.4"/>
    <x v="5"/>
    <x v="2"/>
    <n v="78903.539999999994"/>
    <n v="67.099999999999994"/>
    <n v="237"/>
    <n v="169"/>
    <s v="Van"/>
    <n v="5"/>
    <s v="Premium"/>
    <n v="283626"/>
    <n v="3.43"/>
    <n v="22379095436.039997"/>
  </r>
  <r>
    <x v="4"/>
    <s v="Q4 e-tron"/>
    <x v="5"/>
    <x v="3"/>
    <n v="119850.54"/>
    <n v="74.400000000000006"/>
    <n v="257"/>
    <n v="160"/>
    <s v="Sedan"/>
    <n v="5"/>
    <s v="Luxury"/>
    <n v="48973"/>
    <n v="3.68"/>
    <n v="5869440495.4200001"/>
  </r>
  <r>
    <x v="3"/>
    <s v="Atto 3"/>
    <x v="5"/>
    <x v="4"/>
    <n v="45553.77"/>
    <n v="71.900000000000006"/>
    <n v="240"/>
    <n v="134"/>
    <s v="SUV"/>
    <n v="5"/>
    <s v="Mid-range"/>
    <n v="119429"/>
    <n v="3.24"/>
    <n v="5440441197.3299999"/>
  </r>
  <r>
    <x v="3"/>
    <s v="Atto 3"/>
    <x v="5"/>
    <x v="4"/>
    <n v="26326.68"/>
    <n v="42.7"/>
    <n v="150"/>
    <n v="152"/>
    <s v="Van"/>
    <n v="4"/>
    <s v="Budget"/>
    <n v="129109"/>
    <n v="3.09"/>
    <n v="3399011328.1199999"/>
  </r>
  <r>
    <x v="2"/>
    <s v="Model 3"/>
    <x v="5"/>
    <x v="4"/>
    <n v="130541.56"/>
    <n v="71.2"/>
    <n v="238"/>
    <n v="152"/>
    <s v="Hatchback"/>
    <n v="4"/>
    <s v="Luxury"/>
    <n v="190536"/>
    <n v="3.76"/>
    <n v="24872866676.16"/>
  </r>
  <r>
    <x v="1"/>
    <s v="Ronin"/>
    <x v="5"/>
    <x v="2"/>
    <n v="60986.5"/>
    <n v="42.7"/>
    <n v="150"/>
    <n v="137"/>
    <s v="Van"/>
    <n v="5"/>
    <s v="Mid-range"/>
    <n v="2488"/>
    <n v="3.18"/>
    <n v="151734412"/>
  </r>
  <r>
    <x v="3"/>
    <s v="Leaf 50X"/>
    <x v="5"/>
    <x v="4"/>
    <n v="96175.42"/>
    <n v="50.5"/>
    <n v="159"/>
    <n v="164"/>
    <s v="Hatchback"/>
    <n v="3"/>
    <s v="Premium"/>
    <n v="232340"/>
    <n v="3.27"/>
    <n v="22345397082.799999"/>
  </r>
  <r>
    <x v="9"/>
    <s v="i7"/>
    <x v="5"/>
    <x v="1"/>
    <n v="162797.03"/>
    <n v="103.1"/>
    <n v="369"/>
    <n v="193"/>
    <s v="Van"/>
    <n v="5"/>
    <s v="Luxury"/>
    <n v="27119"/>
    <n v="3.48"/>
    <n v="4414892656.5699997"/>
  </r>
  <r>
    <x v="8"/>
    <s v="Explorer EV"/>
    <x v="5"/>
    <x v="4"/>
    <n v="59495.32"/>
    <n v="76.8"/>
    <n v="282"/>
    <n v="161"/>
    <s v="Truck"/>
    <n v="5"/>
    <s v="Mid-range"/>
    <n v="62617"/>
    <n v="3.81"/>
    <n v="3725418452.4400001"/>
  </r>
  <r>
    <x v="1"/>
    <s v="Ocean"/>
    <x v="5"/>
    <x v="0"/>
    <n v="66660.45"/>
    <n v="93.7"/>
    <n v="290"/>
    <n v="186"/>
    <s v="Coupe"/>
    <n v="5"/>
    <s v="Premium"/>
    <n v="12789"/>
    <n v="3.33"/>
    <n v="852520495.04999995"/>
  </r>
  <r>
    <x v="6"/>
    <s v="i30"/>
    <x v="5"/>
    <x v="0"/>
    <n v="70681.91"/>
    <n v="86.7"/>
    <n v="309"/>
    <n v="176"/>
    <s v="SUV"/>
    <n v="4"/>
    <s v="Premium"/>
    <n v="50014"/>
    <n v="3.59"/>
    <n v="3535085046.7400002"/>
  </r>
  <r>
    <x v="13"/>
    <s v="EQS"/>
    <x v="5"/>
    <x v="1"/>
    <n v="94342.22"/>
    <n v="95.8"/>
    <n v="324"/>
    <n v="192"/>
    <s v="SUV"/>
    <n v="4"/>
    <s v="Premium"/>
    <n v="56423"/>
    <n v="3.88"/>
    <n v="5323071079.0600004"/>
  </r>
  <r>
    <x v="2"/>
    <s v="Model X"/>
    <x v="5"/>
    <x v="0"/>
    <n v="100199.56"/>
    <n v="90.8"/>
    <n v="321"/>
    <n v="171"/>
    <s v="Hatchback"/>
    <n v="4"/>
    <s v="Luxury"/>
    <n v="197625"/>
    <n v="3.78"/>
    <n v="19801938045"/>
  </r>
  <r>
    <x v="2"/>
    <s v="Model Y"/>
    <x v="5"/>
    <x v="1"/>
    <n v="135068.35"/>
    <n v="116.4"/>
    <n v="393"/>
    <n v="193"/>
    <s v="Sedan"/>
    <n v="5"/>
    <s v="Luxury"/>
    <n v="419874"/>
    <n v="4.32"/>
    <n v="56711688387.900002"/>
  </r>
  <r>
    <x v="2"/>
    <s v="Model Y"/>
    <x v="5"/>
    <x v="3"/>
    <n v="28188.639999999999"/>
    <n v="40.299999999999997"/>
    <n v="150"/>
    <n v="141"/>
    <s v="SUV"/>
    <n v="3"/>
    <s v="Budget"/>
    <n v="412935"/>
    <n v="3.53"/>
    <n v="11640076058.4"/>
  </r>
  <r>
    <x v="3"/>
    <s v="Yuan Plus"/>
    <x v="5"/>
    <x v="3"/>
    <n v="32633.03"/>
    <n v="80"/>
    <n v="279"/>
    <n v="144"/>
    <s v="Truck"/>
    <n v="5"/>
    <s v="Budget"/>
    <n v="106393"/>
    <n v="3.6"/>
    <n v="3471925960.79"/>
  </r>
  <r>
    <x v="2"/>
    <s v="Model S"/>
    <x v="5"/>
    <x v="1"/>
    <n v="61791.69"/>
    <n v="82"/>
    <n v="283"/>
    <n v="200"/>
    <s v="Sedan"/>
    <n v="5"/>
    <s v="Mid-range"/>
    <n v="214239"/>
    <n v="3.64"/>
    <n v="13238189873.91"/>
  </r>
  <r>
    <x v="6"/>
    <s v="Ioniq 5"/>
    <x v="5"/>
    <x v="1"/>
    <n v="97448.38"/>
    <n v="102"/>
    <n v="335"/>
    <n v="187"/>
    <s v="Coupe"/>
    <n v="3"/>
    <s v="Premium"/>
    <n v="81695"/>
    <n v="3.65"/>
    <n v="7961045404.1000004"/>
  </r>
  <r>
    <x v="14"/>
    <s v="ET6"/>
    <x v="5"/>
    <x v="2"/>
    <n v="75082.66"/>
    <n v="69"/>
    <n v="236"/>
    <n v="173"/>
    <s v="Sedan"/>
    <n v="5"/>
    <s v="Premium"/>
    <n v="6090"/>
    <n v="3.63"/>
    <n v="457253399.40000004"/>
  </r>
  <r>
    <x v="2"/>
    <s v="Model Y"/>
    <x v="5"/>
    <x v="4"/>
    <n v="56042.12"/>
    <n v="66.900000000000006"/>
    <n v="222"/>
    <n v="139"/>
    <s v="Coupe"/>
    <n v="4"/>
    <s v="Mid-range"/>
    <n v="439817"/>
    <n v="3.53"/>
    <n v="24648277092.040001"/>
  </r>
  <r>
    <x v="2"/>
    <s v="Model Y"/>
    <x v="5"/>
    <x v="2"/>
    <n v="102064.68"/>
    <n v="49.3"/>
    <n v="183"/>
    <n v="163"/>
    <s v="SUV"/>
    <n v="5"/>
    <s v="Luxury"/>
    <n v="469259"/>
    <n v="3.73"/>
    <n v="47894769672.119995"/>
  </r>
  <r>
    <x v="11"/>
    <s v="R3"/>
    <x v="5"/>
    <x v="0"/>
    <n v="105185.41"/>
    <n v="109.2"/>
    <n v="352"/>
    <n v="187"/>
    <s v="Hatchback"/>
    <n v="4"/>
    <s v="Luxury"/>
    <n v="20140"/>
    <n v="3.46"/>
    <n v="2118434157.4000001"/>
  </r>
  <r>
    <x v="2"/>
    <s v="Model X"/>
    <x v="5"/>
    <x v="4"/>
    <n v="155604.37"/>
    <n v="46.7"/>
    <n v="150"/>
    <n v="177"/>
    <s v="Van"/>
    <n v="4"/>
    <s v="Luxury"/>
    <n v="240825"/>
    <n v="3.17"/>
    <n v="37473422405.25"/>
  </r>
  <r>
    <x v="9"/>
    <s v="i4"/>
    <x v="5"/>
    <x v="4"/>
    <n v="134002.07"/>
    <n v="78.3"/>
    <n v="245"/>
    <n v="132"/>
    <s v="Coupe"/>
    <n v="5"/>
    <s v="Luxury"/>
    <n v="54751"/>
    <n v="3.42"/>
    <n v="7336747334.5700006"/>
  </r>
  <r>
    <x v="13"/>
    <s v="EQE"/>
    <x v="5"/>
    <x v="2"/>
    <n v="125283.58"/>
    <n v="75.599999999999994"/>
    <n v="264"/>
    <n v="138"/>
    <s v="Truck"/>
    <n v="4"/>
    <s v="Luxury"/>
    <n v="50741"/>
    <n v="4.1900000000000004"/>
    <n v="6357014132.7799997"/>
  </r>
  <r>
    <x v="2"/>
    <s v="Model 3"/>
    <x v="5"/>
    <x v="4"/>
    <n v="127858.88"/>
    <n v="71.8"/>
    <n v="285"/>
    <n v="142"/>
    <s v="SUV"/>
    <n v="5"/>
    <s v="Luxury"/>
    <n v="125874"/>
    <n v="3.89"/>
    <n v="16094108661.120001"/>
  </r>
  <r>
    <x v="2"/>
    <s v="Cybertruck"/>
    <x v="5"/>
    <x v="3"/>
    <n v="114028.98"/>
    <n v="65.3"/>
    <n v="249"/>
    <n v="137"/>
    <s v="Truck"/>
    <n v="5"/>
    <s v="Luxury"/>
    <n v="169238"/>
    <n v="3.54"/>
    <n v="19298036517.239998"/>
  </r>
  <r>
    <x v="1"/>
    <s v="Ocean"/>
    <x v="5"/>
    <x v="3"/>
    <n v="47756.59"/>
    <n v="60.7"/>
    <n v="225"/>
    <n v="158"/>
    <s v="Sedan"/>
    <n v="4"/>
    <s v="Mid-range"/>
    <n v="6983"/>
    <n v="3.23"/>
    <n v="333484267.96999997"/>
  </r>
  <r>
    <x v="6"/>
    <s v="i30"/>
    <x v="5"/>
    <x v="3"/>
    <n v="33127.96"/>
    <n v="41.6"/>
    <n v="164"/>
    <n v="129"/>
    <s v="SUV"/>
    <n v="5"/>
    <s v="Budget"/>
    <n v="138439"/>
    <n v="3.06"/>
    <n v="4586201654.4399996"/>
  </r>
  <r>
    <x v="5"/>
    <s v="Niro EV"/>
    <x v="5"/>
    <x v="4"/>
    <n v="52664.7"/>
    <n v="45"/>
    <n v="151"/>
    <n v="133"/>
    <s v="SUV"/>
    <n v="5"/>
    <s v="Mid-range"/>
    <n v="62015"/>
    <n v="3.3"/>
    <n v="3266001370.5"/>
  </r>
  <r>
    <x v="11"/>
    <s v="R2"/>
    <x v="5"/>
    <x v="4"/>
    <n v="100224.89"/>
    <n v="43.2"/>
    <n v="157"/>
    <n v="137"/>
    <s v="Sedan"/>
    <n v="4"/>
    <s v="Luxury"/>
    <n v="10726"/>
    <n v="3"/>
    <n v="1075012170.1400001"/>
  </r>
  <r>
    <x v="9"/>
    <s v="i4"/>
    <x v="5"/>
    <x v="2"/>
    <n v="66795.11"/>
    <n v="65"/>
    <n v="246"/>
    <n v="171"/>
    <s v="Coupe"/>
    <n v="5"/>
    <s v="Premium"/>
    <n v="50876"/>
    <n v="3.34"/>
    <n v="3398268016.3600001"/>
  </r>
  <r>
    <x v="9"/>
    <s v="i3"/>
    <x v="5"/>
    <x v="0"/>
    <n v="102396.37"/>
    <n v="96.6"/>
    <n v="340"/>
    <n v="184"/>
    <s v="Hatchback"/>
    <n v="5"/>
    <s v="Luxury"/>
    <n v="35285"/>
    <n v="3.65"/>
    <n v="3613055915.4499998"/>
  </r>
  <r>
    <x v="3"/>
    <s v="Seagull"/>
    <x v="5"/>
    <x v="0"/>
    <n v="53276.57"/>
    <n v="102.1"/>
    <n v="367"/>
    <n v="177"/>
    <s v="Coupe"/>
    <n v="4"/>
    <s v="Mid-range"/>
    <n v="242908"/>
    <n v="4.26"/>
    <n v="12941305065.559999"/>
  </r>
  <r>
    <x v="9"/>
    <s v="i5"/>
    <x v="5"/>
    <x v="2"/>
    <n v="102104.07"/>
    <n v="55.1"/>
    <n v="174"/>
    <n v="165"/>
    <s v="SUV"/>
    <n v="3"/>
    <s v="Luxury"/>
    <n v="30235"/>
    <n v="3.27"/>
    <n v="3087116556.4500003"/>
  </r>
  <r>
    <x v="7"/>
    <s v="ID.3"/>
    <x v="5"/>
    <x v="3"/>
    <n v="62840.41"/>
    <n v="71.400000000000006"/>
    <n v="268"/>
    <n v="159"/>
    <s v="Hatchback"/>
    <n v="5"/>
    <s v="Mid-range"/>
    <n v="242781"/>
    <n v="3.79"/>
    <n v="15256457580.210001"/>
  </r>
  <r>
    <x v="2"/>
    <s v="Model S"/>
    <x v="5"/>
    <x v="4"/>
    <n v="84149.31"/>
    <n v="75.3"/>
    <n v="252"/>
    <n v="143"/>
    <s v="Sedan"/>
    <n v="4"/>
    <s v="Premium"/>
    <n v="224851"/>
    <n v="3.64"/>
    <n v="18921056502.810001"/>
  </r>
  <r>
    <x v="9"/>
    <s v="iX"/>
    <x v="5"/>
    <x v="3"/>
    <n v="71216.91"/>
    <n v="62.4"/>
    <n v="239"/>
    <n v="171"/>
    <s v="Van"/>
    <n v="4"/>
    <s v="Premium"/>
    <n v="70121"/>
    <n v="3.47"/>
    <n v="4993800946.1100006"/>
  </r>
  <r>
    <x v="7"/>
    <s v="ID. Buzz"/>
    <x v="5"/>
    <x v="3"/>
    <n v="87726.28"/>
    <n v="40.6"/>
    <n v="161"/>
    <n v="133"/>
    <s v="Van"/>
    <n v="5"/>
    <s v="Premium"/>
    <n v="253183"/>
    <n v="3.49"/>
    <n v="22210802749.239998"/>
  </r>
  <r>
    <x v="4"/>
    <s v="Q6 e-tron"/>
    <x v="5"/>
    <x v="1"/>
    <n v="99175.33"/>
    <n v="93.3"/>
    <n v="334"/>
    <n v="185"/>
    <s v="Coupe"/>
    <n v="5"/>
    <s v="Premium"/>
    <n v="77677"/>
    <n v="3.68"/>
    <n v="7703642108.4099998"/>
  </r>
  <r>
    <x v="7"/>
    <s v="ID. Aero"/>
    <x v="5"/>
    <x v="3"/>
    <n v="87997.46"/>
    <n v="42.5"/>
    <n v="150"/>
    <n v="129"/>
    <s v="SUV"/>
    <n v="4"/>
    <s v="Premium"/>
    <n v="228031"/>
    <n v="3.16"/>
    <n v="20066148801.260002"/>
  </r>
  <r>
    <x v="3"/>
    <s v="Leaf 50X"/>
    <x v="5"/>
    <x v="2"/>
    <n v="25853.85"/>
    <n v="83.7"/>
    <n v="278"/>
    <n v="157"/>
    <s v="Truck"/>
    <n v="5"/>
    <s v="Budget"/>
    <n v="106382"/>
    <n v="3.56"/>
    <n v="2750384270.6999998"/>
  </r>
  <r>
    <x v="9"/>
    <s v="i3"/>
    <x v="5"/>
    <x v="0"/>
    <n v="66806.73"/>
    <n v="104.8"/>
    <n v="353"/>
    <n v="170"/>
    <s v="Coupe"/>
    <n v="4"/>
    <s v="Premium"/>
    <n v="37357"/>
    <n v="3.74"/>
    <n v="2495699012.6099997"/>
  </r>
  <r>
    <x v="8"/>
    <s v="F-150 Lightning"/>
    <x v="5"/>
    <x v="0"/>
    <n v="69759.03"/>
    <n v="87.5"/>
    <n v="324"/>
    <n v="162"/>
    <s v="Truck"/>
    <n v="4"/>
    <s v="Premium"/>
    <n v="57497"/>
    <n v="3.67"/>
    <n v="4010934947.9099998"/>
  </r>
  <r>
    <x v="2"/>
    <s v="Model X"/>
    <x v="5"/>
    <x v="0"/>
    <n v="119926.96"/>
    <n v="80.900000000000006"/>
    <n v="277"/>
    <n v="177"/>
    <s v="Van"/>
    <n v="4"/>
    <s v="Luxury"/>
    <n v="137895"/>
    <n v="4.12"/>
    <n v="16537328149.200001"/>
  </r>
  <r>
    <x v="7"/>
    <s v="ID.3"/>
    <x v="5"/>
    <x v="2"/>
    <n v="73427.05"/>
    <n v="43.7"/>
    <n v="150"/>
    <n v="164"/>
    <s v="Hatchback"/>
    <n v="4"/>
    <s v="Premium"/>
    <n v="258880"/>
    <n v="3.26"/>
    <n v="19008794704"/>
  </r>
  <r>
    <x v="7"/>
    <s v="ID. Aero"/>
    <x v="5"/>
    <x v="0"/>
    <n v="61721.97"/>
    <n v="88.9"/>
    <n v="293"/>
    <n v="174"/>
    <s v="SUV"/>
    <n v="4"/>
    <s v="Mid-range"/>
    <n v="292808"/>
    <n v="3.65"/>
    <n v="18072686591.760002"/>
  </r>
  <r>
    <x v="7"/>
    <s v="ID.4"/>
    <x v="5"/>
    <x v="2"/>
    <n v="70848.39"/>
    <n v="47.9"/>
    <n v="178"/>
    <n v="160"/>
    <s v="Hatchback"/>
    <n v="4"/>
    <s v="Premium"/>
    <n v="282558"/>
    <n v="3.33"/>
    <n v="20018779381.619999"/>
  </r>
  <r>
    <x v="2"/>
    <s v="Model Y"/>
    <x v="5"/>
    <x v="0"/>
    <n v="139788.5"/>
    <n v="103.7"/>
    <n v="335"/>
    <n v="164"/>
    <s v="Coupe"/>
    <n v="4"/>
    <s v="Luxury"/>
    <n v="402120"/>
    <n v="3.78"/>
    <n v="56211751620"/>
  </r>
  <r>
    <x v="9"/>
    <s v="i3"/>
    <x v="5"/>
    <x v="4"/>
    <n v="108403.17"/>
    <n v="84.9"/>
    <n v="286"/>
    <n v="165"/>
    <s v="Truck"/>
    <n v="5"/>
    <s v="Luxury"/>
    <n v="60610"/>
    <n v="3.5"/>
    <n v="6570316133.6999998"/>
  </r>
  <r>
    <x v="3"/>
    <s v="Atto 3"/>
    <x v="5"/>
    <x v="0"/>
    <n v="28903.55"/>
    <n v="96.2"/>
    <n v="330"/>
    <n v="180"/>
    <s v="Hatchback"/>
    <n v="4"/>
    <s v="Budget"/>
    <n v="225650"/>
    <n v="3.6"/>
    <n v="6522086057.5"/>
  </r>
  <r>
    <x v="7"/>
    <s v="ID. Buzz"/>
    <x v="5"/>
    <x v="4"/>
    <n v="88650.96"/>
    <n v="83.9"/>
    <n v="297"/>
    <n v="146"/>
    <s v="Sedan"/>
    <n v="4"/>
    <s v="Premium"/>
    <n v="243258"/>
    <n v="3.56"/>
    <n v="21565055227.68"/>
  </r>
  <r>
    <x v="8"/>
    <s v="Explorer EV"/>
    <x v="5"/>
    <x v="2"/>
    <n v="31999.38"/>
    <n v="73.5"/>
    <n v="219"/>
    <n v="163"/>
    <s v="Truck"/>
    <n v="4"/>
    <s v="Budget"/>
    <n v="25220"/>
    <n v="3.43"/>
    <n v="807024363.60000002"/>
  </r>
  <r>
    <x v="8"/>
    <s v="E-Transit"/>
    <x v="5"/>
    <x v="0"/>
    <n v="97440.5"/>
    <n v="95"/>
    <n v="331"/>
    <n v="173"/>
    <s v="Coupe"/>
    <n v="4"/>
    <s v="Premium"/>
    <n v="26936"/>
    <n v="3.72"/>
    <n v="2624657308"/>
  </r>
  <r>
    <x v="2"/>
    <s v="Model X"/>
    <x v="5"/>
    <x v="4"/>
    <n v="133807.79999999999"/>
    <n v="41.7"/>
    <n v="150"/>
    <n v="161"/>
    <s v="Truck"/>
    <n v="4"/>
    <s v="Luxury"/>
    <n v="225294"/>
    <n v="3.41"/>
    <n v="30146094493.199997"/>
  </r>
  <r>
    <x v="2"/>
    <s v="Model S"/>
    <x v="5"/>
    <x v="0"/>
    <n v="43022.879999999997"/>
    <n v="101.7"/>
    <n v="396"/>
    <n v="178"/>
    <s v="Coupe"/>
    <n v="5"/>
    <s v="Mid-range"/>
    <n v="177801"/>
    <n v="4.2"/>
    <n v="7649511086.8799992"/>
  </r>
  <r>
    <x v="9"/>
    <s v="i5"/>
    <x v="5"/>
    <x v="0"/>
    <n v="119539.21"/>
    <n v="109.1"/>
    <n v="391"/>
    <n v="183"/>
    <s v="Sedan"/>
    <n v="3"/>
    <s v="Luxury"/>
    <n v="49676"/>
    <n v="3.74"/>
    <n v="5938229795.96"/>
  </r>
  <r>
    <x v="4"/>
    <s v="e-tron"/>
    <x v="5"/>
    <x v="2"/>
    <n v="71446.39"/>
    <n v="60.1"/>
    <n v="202"/>
    <n v="150"/>
    <s v="Sedan"/>
    <n v="5"/>
    <s v="Premium"/>
    <n v="60589"/>
    <n v="3.47"/>
    <n v="4328865323.71"/>
  </r>
  <r>
    <x v="3"/>
    <s v="Atto 3"/>
    <x v="5"/>
    <x v="2"/>
    <n v="61646.7"/>
    <n v="48.1"/>
    <n v="150"/>
    <n v="145"/>
    <s v="Truck"/>
    <n v="4"/>
    <s v="Mid-range"/>
    <n v="115977"/>
    <n v="3.16"/>
    <n v="7149599325.8999996"/>
  </r>
  <r>
    <x v="2"/>
    <s v="Model 3"/>
    <x v="5"/>
    <x v="0"/>
    <n v="112948.48"/>
    <n v="78.099999999999994"/>
    <n v="261"/>
    <n v="169"/>
    <s v="Truck"/>
    <n v="5"/>
    <s v="Luxury"/>
    <n v="130244"/>
    <n v="3.47"/>
    <n v="14710861829.119999"/>
  </r>
  <r>
    <x v="6"/>
    <s v="Kona Electric"/>
    <x v="5"/>
    <x v="1"/>
    <n v="91101"/>
    <n v="93.1"/>
    <n v="300"/>
    <n v="193"/>
    <s v="Van"/>
    <n v="5"/>
    <s v="Premium"/>
    <n v="95350"/>
    <n v="3.54"/>
    <n v="8686480350"/>
  </r>
  <r>
    <x v="3"/>
    <s v="Atto 3"/>
    <x v="5"/>
    <x v="0"/>
    <n v="104231.93"/>
    <n v="79.599999999999994"/>
    <n v="254"/>
    <n v="186"/>
    <s v="Van"/>
    <n v="4"/>
    <s v="Luxury"/>
    <n v="190907"/>
    <n v="3.49"/>
    <n v="19898605060.509998"/>
  </r>
  <r>
    <x v="8"/>
    <s v="Mustang Mach-E"/>
    <x v="5"/>
    <x v="3"/>
    <n v="68547.740000000005"/>
    <n v="40.5"/>
    <n v="153"/>
    <n v="168"/>
    <s v="Coupe"/>
    <n v="5"/>
    <s v="Premium"/>
    <n v="25642"/>
    <n v="3.34"/>
    <n v="1757701149.0800002"/>
  </r>
  <r>
    <x v="5"/>
    <s v="EV6"/>
    <x v="5"/>
    <x v="0"/>
    <n v="46513"/>
    <n v="99"/>
    <n v="349"/>
    <n v="182"/>
    <s v="Truck"/>
    <n v="4"/>
    <s v="Mid-range"/>
    <n v="124966"/>
    <n v="3.94"/>
    <n v="5812543558"/>
  </r>
  <r>
    <x v="12"/>
    <s v="Bolt EV"/>
    <x v="5"/>
    <x v="2"/>
    <n v="34507.25"/>
    <n v="66.400000000000006"/>
    <n v="230"/>
    <n v="167"/>
    <s v="Truck"/>
    <n v="5"/>
    <s v="Budget"/>
    <n v="18832"/>
    <n v="3.2"/>
    <n v="649840532"/>
  </r>
  <r>
    <x v="2"/>
    <s v="Model X"/>
    <x v="5"/>
    <x v="2"/>
    <n v="30686.17"/>
    <n v="65.2"/>
    <n v="245"/>
    <n v="138"/>
    <s v="Sedan"/>
    <n v="5"/>
    <s v="Budget"/>
    <n v="248383"/>
    <n v="3.55"/>
    <n v="7621922963.1099997"/>
  </r>
  <r>
    <x v="9"/>
    <s v="i3"/>
    <x v="5"/>
    <x v="3"/>
    <n v="75699.03"/>
    <n v="67.400000000000006"/>
    <n v="240"/>
    <n v="172"/>
    <s v="Sedan"/>
    <n v="5"/>
    <s v="Premium"/>
    <n v="23009"/>
    <n v="3.46"/>
    <n v="1741758981.27"/>
  </r>
  <r>
    <x v="2"/>
    <s v="Model S"/>
    <x v="5"/>
    <x v="4"/>
    <n v="102510.62"/>
    <n v="40.799999999999997"/>
    <n v="150"/>
    <n v="140"/>
    <s v="Coupe"/>
    <n v="4"/>
    <s v="Luxury"/>
    <n v="206373"/>
    <n v="3.59"/>
    <n v="21155424181.259998"/>
  </r>
  <r>
    <x v="12"/>
    <s v="Bolt EUV"/>
    <x v="5"/>
    <x v="0"/>
    <n v="74596.820000000007"/>
    <n v="94.2"/>
    <n v="323"/>
    <n v="178"/>
    <s v="Truck"/>
    <n v="4"/>
    <s v="Premium"/>
    <n v="14842"/>
    <n v="3.62"/>
    <n v="1107166002.4400001"/>
  </r>
  <r>
    <x v="2"/>
    <s v="Model S"/>
    <x v="5"/>
    <x v="2"/>
    <n v="93767.76"/>
    <n v="58.4"/>
    <n v="202"/>
    <n v="133"/>
    <s v="Sedan"/>
    <n v="4"/>
    <s v="Premium"/>
    <n v="129076"/>
    <n v="3.36"/>
    <n v="12103167389.76"/>
  </r>
  <r>
    <x v="9"/>
    <s v="iX"/>
    <x v="5"/>
    <x v="4"/>
    <n v="133858.15"/>
    <n v="74.7"/>
    <n v="287"/>
    <n v="169"/>
    <s v="SUV"/>
    <n v="5"/>
    <s v="Luxury"/>
    <n v="27376"/>
    <n v="3.39"/>
    <n v="3664500714.3999996"/>
  </r>
  <r>
    <x v="3"/>
    <s v="Leaf 50X"/>
    <x v="5"/>
    <x v="4"/>
    <n v="71227.02"/>
    <n v="54.5"/>
    <n v="216"/>
    <n v="174"/>
    <s v="Sedan"/>
    <n v="4"/>
    <s v="Premium"/>
    <n v="114165"/>
    <n v="3.2"/>
    <n v="8131632738.3000002"/>
  </r>
  <r>
    <x v="9"/>
    <s v="i4"/>
    <x v="5"/>
    <x v="3"/>
    <n v="84568.67"/>
    <n v="83.7"/>
    <n v="285"/>
    <n v="143"/>
    <s v="Sedan"/>
    <n v="4"/>
    <s v="Premium"/>
    <n v="62828"/>
    <n v="3.51"/>
    <n v="5313280398.7600002"/>
  </r>
  <r>
    <x v="5"/>
    <s v="Niro EV"/>
    <x v="5"/>
    <x v="1"/>
    <n v="52082.5"/>
    <n v="92.9"/>
    <n v="337"/>
    <n v="200"/>
    <s v="Hatchback"/>
    <n v="5"/>
    <s v="Mid-range"/>
    <n v="99623"/>
    <n v="3.84"/>
    <n v="5188614897.5"/>
  </r>
  <r>
    <x v="9"/>
    <s v="iX"/>
    <x v="5"/>
    <x v="0"/>
    <n v="135695.35"/>
    <n v="105.1"/>
    <n v="363"/>
    <n v="192"/>
    <s v="Hatchback"/>
    <n v="4"/>
    <s v="Luxury"/>
    <n v="36974"/>
    <n v="3.78"/>
    <n v="5017199870.9000006"/>
  </r>
  <r>
    <x v="5"/>
    <s v="Niro EV"/>
    <x v="5"/>
    <x v="4"/>
    <n v="65977.95"/>
    <n v="56"/>
    <n v="198"/>
    <n v="130"/>
    <s v="Coupe"/>
    <n v="4"/>
    <s v="Premium"/>
    <n v="91348"/>
    <n v="3.44"/>
    <n v="6026953776.5999994"/>
  </r>
  <r>
    <x v="12"/>
    <s v="Bolt EUV"/>
    <x v="5"/>
    <x v="3"/>
    <n v="36433.269999999997"/>
    <n v="44.4"/>
    <n v="150"/>
    <n v="161"/>
    <s v="Hatchback"/>
    <n v="5"/>
    <s v="Mid-range"/>
    <n v="27128"/>
    <n v="3.23"/>
    <n v="988361748.55999994"/>
  </r>
  <r>
    <x v="12"/>
    <s v="Equinox EV"/>
    <x v="5"/>
    <x v="0"/>
    <n v="49790.46"/>
    <n v="91.9"/>
    <n v="322"/>
    <n v="180"/>
    <s v="SUV"/>
    <n v="5"/>
    <s v="Mid-range"/>
    <n v="29595"/>
    <n v="3.76"/>
    <n v="1473548663.7"/>
  </r>
  <r>
    <x v="2"/>
    <s v="Model S"/>
    <x v="5"/>
    <x v="4"/>
    <n v="135056.97"/>
    <n v="63"/>
    <n v="231"/>
    <n v="135"/>
    <s v="SUV"/>
    <n v="5"/>
    <s v="Luxury"/>
    <n v="107596"/>
    <n v="3.88"/>
    <n v="14531589744.120001"/>
  </r>
  <r>
    <x v="2"/>
    <s v="Model 3"/>
    <x v="5"/>
    <x v="2"/>
    <n v="50205.39"/>
    <n v="40.299999999999997"/>
    <n v="150"/>
    <n v="169"/>
    <s v="Van"/>
    <n v="3"/>
    <s v="Mid-range"/>
    <n v="169041"/>
    <n v="3.2"/>
    <n v="8486769330.9899998"/>
  </r>
  <r>
    <x v="3"/>
    <s v="Max"/>
    <x v="5"/>
    <x v="2"/>
    <n v="24481.15"/>
    <n v="41.9"/>
    <n v="150"/>
    <n v="137"/>
    <s v="Sedan"/>
    <n v="3"/>
    <s v="Budget"/>
    <n v="176238"/>
    <n v="3.06"/>
    <n v="4314508913.6999998"/>
  </r>
  <r>
    <x v="2"/>
    <s v="Cybertruck"/>
    <x v="5"/>
    <x v="2"/>
    <n v="88007.74"/>
    <n v="64.2"/>
    <n v="223"/>
    <n v="171"/>
    <s v="Truck"/>
    <n v="4"/>
    <s v="Premium"/>
    <n v="102752"/>
    <n v="3.5"/>
    <n v="9042971300.4800014"/>
  </r>
  <r>
    <x v="8"/>
    <s v="Explorer EV"/>
    <x v="5"/>
    <x v="1"/>
    <n v="75193.899999999994"/>
    <n v="76.099999999999994"/>
    <n v="227"/>
    <n v="193"/>
    <s v="Sedan"/>
    <n v="4"/>
    <s v="Premium"/>
    <n v="31804"/>
    <n v="3.45"/>
    <n v="2391466795.5999999"/>
  </r>
  <r>
    <x v="5"/>
    <s v="Niro EV"/>
    <x v="5"/>
    <x v="1"/>
    <n v="111745.56"/>
    <n v="82.5"/>
    <n v="289"/>
    <n v="183"/>
    <s v="Truck"/>
    <n v="4"/>
    <s v="Luxury"/>
    <n v="96875"/>
    <n v="3.43"/>
    <n v="10825351125"/>
  </r>
  <r>
    <x v="9"/>
    <s v="i5"/>
    <x v="5"/>
    <x v="3"/>
    <n v="69328.91"/>
    <n v="57.6"/>
    <n v="225"/>
    <n v="142"/>
    <s v="SUV"/>
    <n v="5"/>
    <s v="Premium"/>
    <n v="73975"/>
    <n v="3.26"/>
    <n v="5128606117.25"/>
  </r>
  <r>
    <x v="3"/>
    <s v="Seagull"/>
    <x v="5"/>
    <x v="0"/>
    <n v="79832.09"/>
    <n v="92"/>
    <n v="328"/>
    <n v="171"/>
    <s v="SUV"/>
    <n v="5"/>
    <s v="Premium"/>
    <n v="242291"/>
    <n v="3.55"/>
    <n v="19342596918.189999"/>
  </r>
  <r>
    <x v="5"/>
    <s v="EV6"/>
    <x v="5"/>
    <x v="4"/>
    <n v="61993.33"/>
    <n v="49.9"/>
    <n v="183"/>
    <n v="168"/>
    <s v="Sedan"/>
    <n v="4"/>
    <s v="Mid-range"/>
    <n v="65237"/>
    <n v="3.14"/>
    <n v="4044258869.21"/>
  </r>
  <r>
    <x v="12"/>
    <s v="Blazer EV"/>
    <x v="5"/>
    <x v="0"/>
    <n v="34424.61"/>
    <n v="103.6"/>
    <n v="370"/>
    <n v="163"/>
    <s v="Sedan"/>
    <n v="4"/>
    <s v="Budget"/>
    <n v="20827"/>
    <n v="3.59"/>
    <n v="716961352.47000003"/>
  </r>
  <r>
    <x v="6"/>
    <s v="Kona Electric"/>
    <x v="5"/>
    <x v="3"/>
    <n v="53515.28"/>
    <n v="50.9"/>
    <n v="176"/>
    <n v="147"/>
    <s v="Hatchback"/>
    <n v="5"/>
    <s v="Mid-range"/>
    <n v="93480"/>
    <n v="3.41"/>
    <n v="5002608374.3999996"/>
  </r>
  <r>
    <x v="0"/>
    <s v="bZ4X"/>
    <x v="5"/>
    <x v="3"/>
    <n v="46568.71"/>
    <n v="69.2"/>
    <n v="216"/>
    <n v="165"/>
    <s v="SUV"/>
    <n v="5"/>
    <s v="Mid-range"/>
    <n v="1982"/>
    <n v="3.52"/>
    <n v="92299183.219999999"/>
  </r>
  <r>
    <x v="2"/>
    <s v="Model X"/>
    <x v="5"/>
    <x v="2"/>
    <n v="95625.9"/>
    <n v="64.099999999999994"/>
    <n v="229"/>
    <n v="138"/>
    <s v="Coupe"/>
    <n v="5"/>
    <s v="Premium"/>
    <n v="233990"/>
    <n v="3.63"/>
    <n v="22375504341"/>
  </r>
  <r>
    <x v="7"/>
    <s v="ID. Buzz"/>
    <x v="5"/>
    <x v="3"/>
    <n v="48208.86"/>
    <n v="79"/>
    <n v="288"/>
    <n v="152"/>
    <s v="Sedan"/>
    <n v="5"/>
    <s v="Mid-range"/>
    <n v="272524"/>
    <n v="3.48"/>
    <n v="13138071362.639999"/>
  </r>
  <r>
    <x v="7"/>
    <s v="ID.4"/>
    <x v="5"/>
    <x v="3"/>
    <n v="76084.88"/>
    <n v="51.2"/>
    <n v="165"/>
    <n v="149"/>
    <s v="Hatchback"/>
    <n v="4"/>
    <s v="Premium"/>
    <n v="264457"/>
    <n v="3.12"/>
    <n v="20121179110.16"/>
  </r>
  <r>
    <x v="5"/>
    <s v="EV9"/>
    <x v="5"/>
    <x v="0"/>
    <n v="39329.81"/>
    <n v="94"/>
    <n v="300"/>
    <n v="189"/>
    <s v="SUV"/>
    <n v="5"/>
    <s v="Mid-range"/>
    <n v="139592"/>
    <n v="3.62"/>
    <n v="5490126837.5199995"/>
  </r>
  <r>
    <x v="6"/>
    <s v="Kona Electric"/>
    <x v="5"/>
    <x v="1"/>
    <n v="83020.490000000005"/>
    <n v="119.5"/>
    <n v="412"/>
    <n v="188"/>
    <s v="Sedan"/>
    <n v="4"/>
    <s v="Premium"/>
    <n v="65013"/>
    <n v="3.72"/>
    <n v="5397411116.3699999"/>
  </r>
  <r>
    <x v="12"/>
    <s v="Bolt EV"/>
    <x v="5"/>
    <x v="0"/>
    <n v="37683.39"/>
    <n v="98.3"/>
    <n v="363"/>
    <n v="166"/>
    <s v="Truck"/>
    <n v="4"/>
    <s v="Mid-range"/>
    <n v="20559"/>
    <n v="3.37"/>
    <n v="774732815.00999999"/>
  </r>
  <r>
    <x v="2"/>
    <s v="Model Y"/>
    <x v="5"/>
    <x v="4"/>
    <n v="40474.28"/>
    <n v="53.8"/>
    <n v="163"/>
    <n v="148"/>
    <s v="SUV"/>
    <n v="4"/>
    <s v="Mid-range"/>
    <n v="484636"/>
    <n v="3.69"/>
    <n v="19615293162.079998"/>
  </r>
  <r>
    <x v="12"/>
    <s v="Bolt EUV"/>
    <x v="5"/>
    <x v="4"/>
    <n v="47998.86"/>
    <n v="60.9"/>
    <n v="202"/>
    <n v="159"/>
    <s v="Van"/>
    <n v="5"/>
    <s v="Mid-range"/>
    <n v="2175"/>
    <n v="3.23"/>
    <n v="104397520.5"/>
  </r>
  <r>
    <x v="3"/>
    <s v="Qin"/>
    <x v="5"/>
    <x v="4"/>
    <n v="101756.01"/>
    <n v="70.7"/>
    <n v="259"/>
    <n v="139"/>
    <s v="Coupe"/>
    <n v="5"/>
    <s v="Luxury"/>
    <n v="207780"/>
    <n v="3.62"/>
    <n v="21142863757.799999"/>
  </r>
  <r>
    <x v="11"/>
    <s v="R3"/>
    <x v="5"/>
    <x v="3"/>
    <n v="79722.649999999994"/>
    <n v="80.900000000000006"/>
    <n v="261"/>
    <n v="173"/>
    <s v="SUV"/>
    <n v="5"/>
    <s v="Premium"/>
    <n v="28225"/>
    <n v="3.26"/>
    <n v="2250171796.25"/>
  </r>
  <r>
    <x v="6"/>
    <s v="Ioniq 5"/>
    <x v="5"/>
    <x v="4"/>
    <n v="65433.15"/>
    <n v="41.9"/>
    <n v="150"/>
    <n v="179"/>
    <s v="Sedan"/>
    <n v="5"/>
    <s v="Premium"/>
    <n v="78985"/>
    <n v="3.32"/>
    <n v="5168237352.75"/>
  </r>
  <r>
    <x v="7"/>
    <s v="ID.5"/>
    <x v="5"/>
    <x v="3"/>
    <n v="60858.6"/>
    <n v="63.9"/>
    <n v="242"/>
    <n v="165"/>
    <s v="Sedan"/>
    <n v="4"/>
    <s v="Mid-range"/>
    <n v="280770"/>
    <n v="3.65"/>
    <n v="17087269122"/>
  </r>
  <r>
    <x v="13"/>
    <s v="EQG"/>
    <x v="5"/>
    <x v="4"/>
    <n v="128362.44"/>
    <n v="46.9"/>
    <n v="168"/>
    <n v="141"/>
    <s v="Coupe"/>
    <n v="4"/>
    <s v="Luxury"/>
    <n v="79528"/>
    <n v="3.66"/>
    <n v="10208408128.32"/>
  </r>
  <r>
    <x v="2"/>
    <s v="Model 3"/>
    <x v="5"/>
    <x v="3"/>
    <n v="103423.57"/>
    <n v="67.2"/>
    <n v="226"/>
    <n v="149"/>
    <s v="Hatchback"/>
    <n v="5"/>
    <s v="Luxury"/>
    <n v="136780"/>
    <n v="3.7"/>
    <n v="14146275904.6"/>
  </r>
  <r>
    <x v="7"/>
    <s v="ID.3"/>
    <x v="5"/>
    <x v="0"/>
    <n v="46681.91"/>
    <n v="83.1"/>
    <n v="285"/>
    <n v="181"/>
    <s v="Coupe"/>
    <n v="5"/>
    <s v="Mid-range"/>
    <n v="243592"/>
    <n v="3.37"/>
    <n v="11371339820.720001"/>
  </r>
  <r>
    <x v="2"/>
    <s v="Model Y"/>
    <x v="5"/>
    <x v="2"/>
    <n v="38868.67"/>
    <n v="48"/>
    <n v="150"/>
    <n v="171"/>
    <s v="Coupe"/>
    <n v="4"/>
    <s v="Mid-range"/>
    <n v="420151"/>
    <n v="3.64"/>
    <n v="16330710569.17"/>
  </r>
  <r>
    <x v="3"/>
    <s v="Seagull"/>
    <x v="5"/>
    <x v="3"/>
    <n v="53845.68"/>
    <n v="43.7"/>
    <n v="161"/>
    <n v="125"/>
    <s v="Hatchback"/>
    <n v="4"/>
    <s v="Mid-range"/>
    <n v="196975"/>
    <n v="3.39"/>
    <n v="10606252818"/>
  </r>
  <r>
    <x v="13"/>
    <s v="EQG"/>
    <x v="5"/>
    <x v="4"/>
    <n v="153235.91"/>
    <n v="48.7"/>
    <n v="182"/>
    <n v="133"/>
    <s v="Sedan"/>
    <n v="5"/>
    <s v="Luxury"/>
    <n v="44720"/>
    <n v="3.56"/>
    <n v="6852709895.1999998"/>
  </r>
  <r>
    <x v="2"/>
    <s v="Model X"/>
    <x v="5"/>
    <x v="4"/>
    <n v="60275.05"/>
    <n v="61.4"/>
    <n v="220"/>
    <n v="143"/>
    <s v="SUV"/>
    <n v="4"/>
    <s v="Mid-range"/>
    <n v="226355"/>
    <n v="3.72"/>
    <n v="13643558942.75"/>
  </r>
  <r>
    <x v="13"/>
    <s v="EQC"/>
    <x v="5"/>
    <x v="4"/>
    <n v="202973.51"/>
    <n v="74.099999999999994"/>
    <n v="259"/>
    <n v="152"/>
    <s v="Sedan"/>
    <n v="5"/>
    <s v="Luxury"/>
    <n v="22987"/>
    <n v="3.81"/>
    <n v="4665752074.3699999"/>
  </r>
  <r>
    <x v="8"/>
    <s v="Explorer EV"/>
    <x v="5"/>
    <x v="0"/>
    <n v="69671.759999999995"/>
    <n v="106.4"/>
    <n v="373"/>
    <n v="161"/>
    <s v="Coupe"/>
    <n v="5"/>
    <s v="Premium"/>
    <n v="49288"/>
    <n v="3.95"/>
    <n v="3433981706.8799996"/>
  </r>
  <r>
    <x v="6"/>
    <s v="Ioniq 5"/>
    <x v="5"/>
    <x v="3"/>
    <n v="63434.69"/>
    <n v="78"/>
    <n v="279"/>
    <n v="124"/>
    <s v="Truck"/>
    <n v="5"/>
    <s v="Mid-range"/>
    <n v="133046"/>
    <n v="3.73"/>
    <n v="8439731765.7400007"/>
  </r>
  <r>
    <x v="7"/>
    <s v="ID.5"/>
    <x v="5"/>
    <x v="0"/>
    <n v="101757.37"/>
    <n v="83.1"/>
    <n v="278"/>
    <n v="176"/>
    <s v="Sedan"/>
    <n v="4"/>
    <s v="Luxury"/>
    <n v="269645"/>
    <n v="3.59"/>
    <n v="27438366033.649998"/>
  </r>
  <r>
    <x v="0"/>
    <s v="bZ4X"/>
    <x v="5"/>
    <x v="3"/>
    <n v="48846.720000000001"/>
    <n v="75.400000000000006"/>
    <n v="274"/>
    <n v="159"/>
    <s v="Coupe"/>
    <n v="5"/>
    <s v="Mid-range"/>
    <n v="21759"/>
    <n v="3.51"/>
    <n v="1062855780.48"/>
  </r>
  <r>
    <x v="2"/>
    <s v="Model 3"/>
    <x v="5"/>
    <x v="1"/>
    <n v="133323.67000000001"/>
    <n v="89.5"/>
    <n v="316"/>
    <n v="200"/>
    <s v="Hatchback"/>
    <n v="4"/>
    <s v="Luxury"/>
    <n v="119703"/>
    <n v="4.0199999999999996"/>
    <n v="15959243270.010002"/>
  </r>
  <r>
    <x v="9"/>
    <s v="i3"/>
    <x v="5"/>
    <x v="3"/>
    <n v="61490.61"/>
    <n v="40.299999999999997"/>
    <n v="150"/>
    <n v="144"/>
    <s v="Coupe"/>
    <n v="4"/>
    <s v="Mid-range"/>
    <n v="75130"/>
    <n v="3.39"/>
    <n v="4619789529.3000002"/>
  </r>
  <r>
    <x v="9"/>
    <s v="i3"/>
    <x v="5"/>
    <x v="4"/>
    <n v="113220.74"/>
    <n v="50.2"/>
    <n v="167"/>
    <n v="146"/>
    <s v="Truck"/>
    <n v="3"/>
    <s v="Luxury"/>
    <n v="36980"/>
    <n v="3.17"/>
    <n v="4186902965.2000003"/>
  </r>
  <r>
    <x v="2"/>
    <s v="Model X"/>
    <x v="5"/>
    <x v="3"/>
    <n v="86049.94"/>
    <n v="67.900000000000006"/>
    <n v="210"/>
    <n v="146"/>
    <s v="Hatchback"/>
    <n v="5"/>
    <s v="Premium"/>
    <n v="244820"/>
    <n v="3.64"/>
    <n v="21066746310.799999"/>
  </r>
  <r>
    <x v="17"/>
    <s v="C40 Recharge"/>
    <x v="5"/>
    <x v="2"/>
    <n v="87551.42"/>
    <n v="42.1"/>
    <n v="150"/>
    <n v="156"/>
    <s v="Truck"/>
    <n v="4"/>
    <s v="Premium"/>
    <n v="28712"/>
    <n v="3"/>
    <n v="2513776371.04"/>
  </r>
  <r>
    <x v="2"/>
    <s v="Model X"/>
    <x v="5"/>
    <x v="3"/>
    <n v="108924.8"/>
    <n v="75"/>
    <n v="251"/>
    <n v="171"/>
    <s v="Hatchback"/>
    <n v="5"/>
    <s v="Luxury"/>
    <n v="104109"/>
    <n v="3.74"/>
    <n v="11340052003.200001"/>
  </r>
  <r>
    <x v="2"/>
    <s v="Model 3"/>
    <x v="5"/>
    <x v="2"/>
    <n v="91015.05"/>
    <n v="61.8"/>
    <n v="227"/>
    <n v="141"/>
    <s v="SUV"/>
    <n v="5"/>
    <s v="Premium"/>
    <n v="229357"/>
    <n v="3.56"/>
    <n v="20874938822.850002"/>
  </r>
  <r>
    <x v="12"/>
    <s v="Bolt EUV"/>
    <x v="5"/>
    <x v="1"/>
    <n v="44784.34"/>
    <n v="93.2"/>
    <n v="321"/>
    <n v="182"/>
    <s v="Hatchback"/>
    <n v="5"/>
    <s v="Mid-range"/>
    <n v="7434"/>
    <n v="3.72"/>
    <n v="332926783.56"/>
  </r>
  <r>
    <x v="2"/>
    <s v="Model 3"/>
    <x v="5"/>
    <x v="0"/>
    <n v="84994.49"/>
    <n v="96.6"/>
    <n v="315"/>
    <n v="161"/>
    <s v="Sedan"/>
    <n v="4"/>
    <s v="Premium"/>
    <n v="246722"/>
    <n v="3.99"/>
    <n v="20970010561.780003"/>
  </r>
  <r>
    <x v="9"/>
    <s v="i4"/>
    <x v="5"/>
    <x v="0"/>
    <n v="88308.2"/>
    <n v="95.5"/>
    <n v="308"/>
    <n v="174"/>
    <s v="Hatchback"/>
    <n v="4"/>
    <s v="Premium"/>
    <n v="31503"/>
    <n v="3.49"/>
    <n v="2781973224.5999999"/>
  </r>
  <r>
    <x v="7"/>
    <s v="ID.5"/>
    <x v="5"/>
    <x v="2"/>
    <n v="76426.720000000001"/>
    <n v="83.1"/>
    <n v="339"/>
    <n v="155"/>
    <s v="Van"/>
    <n v="4"/>
    <s v="Premium"/>
    <n v="248734"/>
    <n v="3.73"/>
    <n v="19009923772.48"/>
  </r>
  <r>
    <x v="13"/>
    <s v="EQG"/>
    <x v="5"/>
    <x v="0"/>
    <n v="111628.51"/>
    <n v="84.7"/>
    <n v="274"/>
    <n v="166"/>
    <s v="SUV"/>
    <n v="4"/>
    <s v="Luxury"/>
    <n v="76984"/>
    <n v="3.74"/>
    <n v="8593609213.8400002"/>
  </r>
  <r>
    <x v="8"/>
    <s v="F-150 Lightning"/>
    <x v="5"/>
    <x v="2"/>
    <n v="34802.06"/>
    <n v="47.6"/>
    <n v="150"/>
    <n v="146"/>
    <s v="Truck"/>
    <n v="4"/>
    <s v="Budget"/>
    <n v="51835"/>
    <n v="3.13"/>
    <n v="1803964780.0999999"/>
  </r>
  <r>
    <x v="6"/>
    <s v="Kona Electric"/>
    <x v="5"/>
    <x v="0"/>
    <n v="43459.69"/>
    <n v="83.7"/>
    <n v="302"/>
    <n v="192"/>
    <s v="Truck"/>
    <n v="5"/>
    <s v="Mid-range"/>
    <n v="114002"/>
    <n v="3.56"/>
    <n v="4954491579.3800001"/>
  </r>
  <r>
    <x v="19"/>
    <s v="Gravity"/>
    <x v="5"/>
    <x v="1"/>
    <n v="166388.92000000001"/>
    <n v="75.900000000000006"/>
    <n v="281"/>
    <n v="195"/>
    <s v="Van"/>
    <n v="5"/>
    <s v="Luxury"/>
    <n v="27265"/>
    <n v="3.3"/>
    <n v="4536593903.8000002"/>
  </r>
  <r>
    <x v="2"/>
    <s v="Model S"/>
    <x v="5"/>
    <x v="2"/>
    <n v="30387.16"/>
    <n v="46.7"/>
    <n v="183"/>
    <n v="130"/>
    <s v="Hatchback"/>
    <n v="5"/>
    <s v="Budget"/>
    <n v="225676"/>
    <n v="3.51"/>
    <n v="6857652720.1599998"/>
  </r>
  <r>
    <x v="6"/>
    <s v="Ioniq"/>
    <x v="5"/>
    <x v="4"/>
    <n v="78178.94"/>
    <n v="79.400000000000006"/>
    <n v="290"/>
    <n v="169"/>
    <s v="SUV"/>
    <n v="5"/>
    <s v="Premium"/>
    <n v="93827"/>
    <n v="3.71"/>
    <n v="7335295403.3800001"/>
  </r>
  <r>
    <x v="7"/>
    <s v="ID.5"/>
    <x v="5"/>
    <x v="2"/>
    <n v="32608.87"/>
    <n v="54"/>
    <n v="178"/>
    <n v="169"/>
    <s v="Truck"/>
    <n v="3"/>
    <s v="Budget"/>
    <n v="223686"/>
    <n v="3.31"/>
    <n v="7294147694.8199997"/>
  </r>
  <r>
    <x v="4"/>
    <s v="Q6 e-tron"/>
    <x v="5"/>
    <x v="3"/>
    <n v="97077.65"/>
    <n v="52.8"/>
    <n v="197"/>
    <n v="132"/>
    <s v="Hatchback"/>
    <n v="5"/>
    <s v="Premium"/>
    <n v="69050"/>
    <n v="3.19"/>
    <n v="6703211732.5"/>
  </r>
  <r>
    <x v="0"/>
    <s v="bZ4X"/>
    <x v="5"/>
    <x v="0"/>
    <n v="75339.45"/>
    <n v="86.8"/>
    <n v="325"/>
    <n v="184"/>
    <s v="Hatchback"/>
    <n v="5"/>
    <s v="Premium"/>
    <n v="12682"/>
    <n v="3.5"/>
    <n v="955454904.89999998"/>
  </r>
  <r>
    <x v="8"/>
    <s v="Mustang Mach-E"/>
    <x v="5"/>
    <x v="1"/>
    <n v="72824.56"/>
    <n v="94.6"/>
    <n v="347"/>
    <n v="180"/>
    <s v="Van"/>
    <n v="3"/>
    <s v="Premium"/>
    <n v="45964"/>
    <n v="3.7"/>
    <n v="3347308075.8399997"/>
  </r>
  <r>
    <x v="3"/>
    <s v="Atto 3"/>
    <x v="5"/>
    <x v="0"/>
    <n v="26097.55"/>
    <n v="99"/>
    <n v="367"/>
    <n v="176"/>
    <s v="Truck"/>
    <n v="5"/>
    <s v="Budget"/>
    <n v="233286"/>
    <n v="3.51"/>
    <n v="6088193049.3000002"/>
  </r>
  <r>
    <x v="4"/>
    <s v="Q4 e-tron"/>
    <x v="5"/>
    <x v="3"/>
    <n v="63113.08"/>
    <n v="44"/>
    <n v="150"/>
    <n v="146"/>
    <s v="Van"/>
    <n v="4"/>
    <s v="Mid-range"/>
    <n v="79880"/>
    <n v="3.21"/>
    <n v="5041472830.4000006"/>
  </r>
  <r>
    <x v="4"/>
    <s v="Q4 e-tron"/>
    <x v="5"/>
    <x v="4"/>
    <n v="154475.14000000001"/>
    <n v="69.7"/>
    <n v="246"/>
    <n v="161"/>
    <s v="Sedan"/>
    <n v="5"/>
    <s v="Luxury"/>
    <n v="20728"/>
    <n v="3.43"/>
    <n v="3201960701.9200001"/>
  </r>
  <r>
    <x v="2"/>
    <s v="Model Y"/>
    <x v="5"/>
    <x v="1"/>
    <n v="51114.48"/>
    <n v="78.3"/>
    <n v="274"/>
    <n v="190"/>
    <s v="SUV"/>
    <n v="5"/>
    <s v="Mid-range"/>
    <n v="484952"/>
    <n v="4.03"/>
    <n v="24788069304.960003"/>
  </r>
  <r>
    <x v="2"/>
    <s v="Model 3"/>
    <x v="5"/>
    <x v="2"/>
    <n v="70038.710000000006"/>
    <n v="65.7"/>
    <n v="235"/>
    <n v="149"/>
    <s v="Sedan"/>
    <n v="5"/>
    <s v="Premium"/>
    <n v="164008"/>
    <n v="3.74"/>
    <n v="11486908749.68"/>
  </r>
  <r>
    <x v="3"/>
    <s v="Qin"/>
    <x v="5"/>
    <x v="3"/>
    <n v="52251.33"/>
    <n v="63.4"/>
    <n v="238"/>
    <n v="161"/>
    <s v="Van"/>
    <n v="5"/>
    <s v="Mid-range"/>
    <n v="174435"/>
    <n v="3.19"/>
    <n v="9114460748.5500011"/>
  </r>
  <r>
    <x v="8"/>
    <s v="Explorer EV"/>
    <x v="5"/>
    <x v="2"/>
    <n v="67752.89"/>
    <n v="58.7"/>
    <n v="237"/>
    <n v="162"/>
    <s v="Truck"/>
    <n v="5"/>
    <s v="Premium"/>
    <n v="21665"/>
    <n v="3.61"/>
    <n v="1467866361.8499999"/>
  </r>
  <r>
    <x v="9"/>
    <s v="i5"/>
    <x v="5"/>
    <x v="2"/>
    <n v="48714.2"/>
    <n v="45.4"/>
    <n v="161"/>
    <n v="136"/>
    <s v="Van"/>
    <n v="4"/>
    <s v="Mid-range"/>
    <n v="75073"/>
    <n v="3.18"/>
    <n v="3657121136.5999999"/>
  </r>
  <r>
    <x v="2"/>
    <s v="Model Y"/>
    <x v="5"/>
    <x v="0"/>
    <n v="68461.67"/>
    <n v="80.8"/>
    <n v="305"/>
    <n v="183"/>
    <s v="Coupe"/>
    <n v="4"/>
    <s v="Premium"/>
    <n v="443244"/>
    <n v="3.91"/>
    <n v="30345224457.48"/>
  </r>
  <r>
    <x v="9"/>
    <s v="iX"/>
    <x v="5"/>
    <x v="3"/>
    <n v="66272.639999999999"/>
    <n v="70.2"/>
    <n v="263"/>
    <n v="144"/>
    <s v="Sedan"/>
    <n v="4"/>
    <s v="Premium"/>
    <n v="66889"/>
    <n v="3.62"/>
    <n v="4432910616.96"/>
  </r>
  <r>
    <x v="8"/>
    <s v="F-150 Lightning"/>
    <x v="5"/>
    <x v="3"/>
    <n v="68957.58"/>
    <n v="70.099999999999994"/>
    <n v="262"/>
    <n v="142"/>
    <s v="Truck"/>
    <n v="5"/>
    <s v="Premium"/>
    <n v="69276"/>
    <n v="3.36"/>
    <n v="4777105312.0799999"/>
  </r>
  <r>
    <x v="2"/>
    <s v="Model Y"/>
    <x v="5"/>
    <x v="2"/>
    <n v="114587.9"/>
    <n v="67.3"/>
    <n v="242"/>
    <n v="120"/>
    <s v="Coupe"/>
    <n v="3"/>
    <s v="Luxury"/>
    <n v="458139"/>
    <n v="3.77"/>
    <n v="52497185918.099998"/>
  </r>
  <r>
    <x v="1"/>
    <s v="Ocean"/>
    <x v="5"/>
    <x v="4"/>
    <n v="54042"/>
    <n v="69.8"/>
    <n v="254"/>
    <n v="157"/>
    <s v="Truck"/>
    <n v="4"/>
    <s v="Mid-range"/>
    <n v="17793"/>
    <n v="3.42"/>
    <n v="961569306"/>
  </r>
  <r>
    <x v="3"/>
    <s v="Atto 3"/>
    <x v="5"/>
    <x v="4"/>
    <n v="34873.269999999997"/>
    <n v="63.6"/>
    <n v="236"/>
    <n v="149"/>
    <s v="Coupe"/>
    <n v="4"/>
    <s v="Budget"/>
    <n v="145087"/>
    <n v="3.26"/>
    <n v="5059658124.4899998"/>
  </r>
  <r>
    <x v="8"/>
    <s v="Explorer EV"/>
    <x v="5"/>
    <x v="3"/>
    <n v="47275.39"/>
    <n v="64.900000000000006"/>
    <n v="242"/>
    <n v="166"/>
    <s v="Coupe"/>
    <n v="3"/>
    <s v="Mid-range"/>
    <n v="20597"/>
    <n v="3.51"/>
    <n v="973731207.83000004"/>
  </r>
  <r>
    <x v="7"/>
    <s v="ID.5"/>
    <x v="5"/>
    <x v="0"/>
    <n v="95115.92"/>
    <n v="83"/>
    <n v="275"/>
    <n v="170"/>
    <s v="Sedan"/>
    <n v="3"/>
    <s v="Premium"/>
    <n v="223250"/>
    <n v="3.54"/>
    <n v="21234629140"/>
  </r>
  <r>
    <x v="3"/>
    <s v="Qin"/>
    <x v="5"/>
    <x v="4"/>
    <n v="33846.449999999997"/>
    <n v="52.4"/>
    <n v="171"/>
    <n v="138"/>
    <s v="Truck"/>
    <n v="5"/>
    <s v="Budget"/>
    <n v="220677"/>
    <n v="3.2"/>
    <n v="7469133046.6499996"/>
  </r>
  <r>
    <x v="2"/>
    <s v="Cybertruck"/>
    <x v="5"/>
    <x v="4"/>
    <n v="98891.22"/>
    <n v="78.900000000000006"/>
    <n v="301"/>
    <n v="143"/>
    <s v="Truck"/>
    <n v="4"/>
    <s v="Premium"/>
    <n v="113008"/>
    <n v="3.85"/>
    <n v="11175498989.76"/>
  </r>
  <r>
    <x v="2"/>
    <s v="Model 3"/>
    <x v="5"/>
    <x v="4"/>
    <n v="129475.2"/>
    <n v="46.6"/>
    <n v="150"/>
    <n v="144"/>
    <s v="SUV"/>
    <n v="4"/>
    <s v="Luxury"/>
    <n v="225901"/>
    <n v="3.6"/>
    <n v="29248577155.200001"/>
  </r>
  <r>
    <x v="5"/>
    <s v="Picanto EV"/>
    <x v="5"/>
    <x v="4"/>
    <n v="80721.440000000002"/>
    <n v="72.900000000000006"/>
    <n v="256"/>
    <n v="144"/>
    <s v="Hatchback"/>
    <n v="3"/>
    <s v="Premium"/>
    <n v="130227"/>
    <n v="3.54"/>
    <n v="10512110966.880001"/>
  </r>
  <r>
    <x v="2"/>
    <s v="Model Y"/>
    <x v="5"/>
    <x v="0"/>
    <n v="113868.37"/>
    <n v="86.6"/>
    <n v="301"/>
    <n v="185"/>
    <s v="Sedan"/>
    <n v="4"/>
    <s v="Luxury"/>
    <n v="455459"/>
    <n v="3.98"/>
    <n v="51862373931.829994"/>
  </r>
  <r>
    <x v="11"/>
    <s v="R3"/>
    <x v="5"/>
    <x v="2"/>
    <n v="78088.2"/>
    <n v="42.4"/>
    <n v="150"/>
    <n v="161"/>
    <s v="Hatchback"/>
    <n v="3"/>
    <s v="Premium"/>
    <n v="26875"/>
    <n v="3.25"/>
    <n v="2098620375"/>
  </r>
  <r>
    <x v="3"/>
    <s v="Qin"/>
    <x v="5"/>
    <x v="1"/>
    <n v="101418.24000000001"/>
    <n v="74.3"/>
    <n v="239"/>
    <n v="200"/>
    <s v="Hatchback"/>
    <n v="3"/>
    <s v="Luxury"/>
    <n v="115025"/>
    <n v="3.58"/>
    <n v="11665633056"/>
  </r>
  <r>
    <x v="7"/>
    <s v="ID.3"/>
    <x v="5"/>
    <x v="2"/>
    <n v="66620.77"/>
    <n v="53.1"/>
    <n v="196"/>
    <n v="132"/>
    <s v="Coupe"/>
    <n v="5"/>
    <s v="Premium"/>
    <n v="206717"/>
    <n v="3.56"/>
    <n v="13771645712.09"/>
  </r>
  <r>
    <x v="5"/>
    <s v="Niro EV"/>
    <x v="5"/>
    <x v="1"/>
    <n v="110498.55"/>
    <n v="107.7"/>
    <n v="407"/>
    <n v="200"/>
    <s v="SUV"/>
    <n v="4"/>
    <s v="Luxury"/>
    <n v="55383"/>
    <n v="3.92"/>
    <n v="6119741194.6500006"/>
  </r>
  <r>
    <x v="14"/>
    <s v="EL8"/>
    <x v="5"/>
    <x v="4"/>
    <n v="104953.65"/>
    <n v="69"/>
    <n v="237"/>
    <n v="132"/>
    <s v="Sedan"/>
    <n v="5"/>
    <s v="Luxury"/>
    <n v="26944"/>
    <n v="3.47"/>
    <n v="2827871145.5999999"/>
  </r>
  <r>
    <x v="2"/>
    <s v="Model S"/>
    <x v="5"/>
    <x v="0"/>
    <n v="120338.19"/>
    <n v="101.1"/>
    <n v="324"/>
    <n v="178"/>
    <s v="Truck"/>
    <n v="4"/>
    <s v="Luxury"/>
    <n v="236717"/>
    <n v="4.0599999999999996"/>
    <n v="28486095322.23"/>
  </r>
  <r>
    <x v="2"/>
    <s v="Model Y"/>
    <x v="5"/>
    <x v="0"/>
    <n v="147345.82"/>
    <n v="89.5"/>
    <n v="311"/>
    <n v="191"/>
    <s v="Van"/>
    <n v="5"/>
    <s v="Luxury"/>
    <n v="458246"/>
    <n v="3.66"/>
    <n v="67520632631.720001"/>
  </r>
  <r>
    <x v="4"/>
    <s v="e-tron GT"/>
    <x v="5"/>
    <x v="2"/>
    <n v="69716.210000000006"/>
    <n v="72.8"/>
    <n v="250"/>
    <n v="145"/>
    <s v="SUV"/>
    <n v="5"/>
    <s v="Premium"/>
    <n v="21802"/>
    <n v="3.43"/>
    <n v="1519952810.4200001"/>
  </r>
  <r>
    <x v="9"/>
    <s v="i7"/>
    <x v="5"/>
    <x v="4"/>
    <n v="88626.17"/>
    <n v="42.7"/>
    <n v="150"/>
    <n v="129"/>
    <s v="Coupe"/>
    <n v="4"/>
    <s v="Premium"/>
    <n v="40644"/>
    <n v="3.5"/>
    <n v="3602122053.48"/>
  </r>
  <r>
    <x v="12"/>
    <s v="Equinox EV"/>
    <x v="5"/>
    <x v="0"/>
    <n v="58372.94"/>
    <n v="95.2"/>
    <n v="341"/>
    <n v="159"/>
    <s v="SUV"/>
    <n v="5"/>
    <s v="Mid-range"/>
    <n v="5246"/>
    <n v="3.78"/>
    <n v="306224443.24000001"/>
  </r>
  <r>
    <x v="6"/>
    <s v="Ioniq 5"/>
    <x v="5"/>
    <x v="4"/>
    <n v="64470.9"/>
    <n v="46.6"/>
    <n v="166"/>
    <n v="172"/>
    <s v="Sedan"/>
    <n v="4"/>
    <s v="Mid-range"/>
    <n v="90740"/>
    <n v="3.34"/>
    <n v="5850089466"/>
  </r>
  <r>
    <x v="12"/>
    <s v="Silverado EV"/>
    <x v="5"/>
    <x v="4"/>
    <n v="70759.08"/>
    <n v="83.3"/>
    <n v="278"/>
    <n v="157"/>
    <s v="Coupe"/>
    <n v="4"/>
    <s v="Premium"/>
    <n v="11923"/>
    <n v="3.61"/>
    <n v="843660510.84000003"/>
  </r>
  <r>
    <x v="8"/>
    <s v="Explorer EV"/>
    <x v="5"/>
    <x v="3"/>
    <n v="57566.92"/>
    <n v="54.3"/>
    <n v="184"/>
    <n v="140"/>
    <s v="SUV"/>
    <n v="4"/>
    <s v="Mid-range"/>
    <n v="64630"/>
    <n v="3.23"/>
    <n v="3720550039.5999999"/>
  </r>
  <r>
    <x v="6"/>
    <s v="Ioniq 5"/>
    <x v="5"/>
    <x v="3"/>
    <n v="37110.33"/>
    <n v="75.5"/>
    <n v="266"/>
    <n v="130"/>
    <s v="Hatchback"/>
    <n v="5"/>
    <s v="Mid-range"/>
    <n v="143597"/>
    <n v="3.54"/>
    <n v="5328932057.0100002"/>
  </r>
  <r>
    <x v="13"/>
    <s v="EQE"/>
    <x v="5"/>
    <x v="1"/>
    <n v="103655.43"/>
    <n v="79.599999999999994"/>
    <n v="307"/>
    <n v="197"/>
    <s v="Van"/>
    <n v="4"/>
    <s v="Luxury"/>
    <n v="54248"/>
    <n v="3.94"/>
    <n v="5623099766.6399994"/>
  </r>
  <r>
    <x v="5"/>
    <s v="Picanto EV"/>
    <x v="5"/>
    <x v="2"/>
    <n v="28245.98"/>
    <n v="68.8"/>
    <n v="222"/>
    <n v="171"/>
    <s v="Sedan"/>
    <n v="4"/>
    <s v="Budget"/>
    <n v="75515"/>
    <n v="3.26"/>
    <n v="2132995179.7"/>
  </r>
  <r>
    <x v="5"/>
    <s v="Niro EV"/>
    <x v="5"/>
    <x v="2"/>
    <n v="55056.42"/>
    <n v="81"/>
    <n v="274"/>
    <n v="160"/>
    <s v="Coupe"/>
    <n v="4"/>
    <s v="Mid-range"/>
    <n v="118841"/>
    <n v="3.38"/>
    <n v="6542960009.2200003"/>
  </r>
  <r>
    <x v="9"/>
    <s v="iX"/>
    <x v="5"/>
    <x v="2"/>
    <n v="76098.899999999994"/>
    <n v="67.8"/>
    <n v="221"/>
    <n v="150"/>
    <s v="SUV"/>
    <n v="5"/>
    <s v="Premium"/>
    <n v="36766"/>
    <n v="3.35"/>
    <n v="2797852157.3999996"/>
  </r>
  <r>
    <x v="2"/>
    <s v="Cybertruck"/>
    <x v="5"/>
    <x v="2"/>
    <n v="55743.68"/>
    <n v="46.8"/>
    <n v="183"/>
    <n v="168"/>
    <s v="Truck"/>
    <n v="4"/>
    <s v="Mid-range"/>
    <n v="237895"/>
    <n v="3.33"/>
    <n v="13261142753.6"/>
  </r>
  <r>
    <x v="6"/>
    <s v="i30"/>
    <x v="5"/>
    <x v="1"/>
    <n v="72352.97"/>
    <n v="86.6"/>
    <n v="289"/>
    <n v="200"/>
    <s v="Van"/>
    <n v="3"/>
    <s v="Premium"/>
    <n v="107166"/>
    <n v="3.51"/>
    <n v="7753778383.0200005"/>
  </r>
  <r>
    <x v="3"/>
    <s v="Dolphin"/>
    <x v="5"/>
    <x v="2"/>
    <n v="64952.61"/>
    <n v="79.2"/>
    <n v="299"/>
    <n v="144"/>
    <s v="Coupe"/>
    <n v="5"/>
    <s v="Mid-range"/>
    <n v="246706"/>
    <n v="3.79"/>
    <n v="16024198602.66"/>
  </r>
  <r>
    <x v="2"/>
    <s v="Model 3"/>
    <x v="5"/>
    <x v="4"/>
    <n v="109716.37"/>
    <n v="72.900000000000006"/>
    <n v="254"/>
    <n v="140"/>
    <s v="Truck"/>
    <n v="5"/>
    <s v="Luxury"/>
    <n v="176733"/>
    <n v="3.77"/>
    <n v="19390503219.209999"/>
  </r>
  <r>
    <x v="3"/>
    <s v="Leaf 50X"/>
    <x v="5"/>
    <x v="0"/>
    <n v="51480.21"/>
    <n v="84.7"/>
    <n v="320"/>
    <n v="158"/>
    <s v="Hatchback"/>
    <n v="5"/>
    <s v="Mid-range"/>
    <n v="132415"/>
    <n v="3.44"/>
    <n v="6816752007.1499996"/>
  </r>
  <r>
    <x v="7"/>
    <s v="ID.3"/>
    <x v="5"/>
    <x v="3"/>
    <n v="53934.12"/>
    <n v="54.5"/>
    <n v="187"/>
    <n v="143"/>
    <s v="Sedan"/>
    <n v="5"/>
    <s v="Mid-range"/>
    <n v="220093"/>
    <n v="3.36"/>
    <n v="11870522273.16"/>
  </r>
  <r>
    <x v="2"/>
    <s v="Cybertruck"/>
    <x v="5"/>
    <x v="4"/>
    <n v="113505.79"/>
    <n v="80.7"/>
    <n v="286"/>
    <n v="155"/>
    <s v="Truck"/>
    <n v="4"/>
    <s v="Luxury"/>
    <n v="162101"/>
    <n v="3.9"/>
    <n v="18399402064.789997"/>
  </r>
  <r>
    <x v="2"/>
    <s v="Cybertruck"/>
    <x v="5"/>
    <x v="0"/>
    <n v="118632.47"/>
    <n v="86.9"/>
    <n v="300"/>
    <n v="168"/>
    <s v="Truck"/>
    <n v="5"/>
    <s v="Luxury"/>
    <n v="209669"/>
    <n v="3.98"/>
    <n v="24873551352.43"/>
  </r>
  <r>
    <x v="2"/>
    <s v="Model S"/>
    <x v="5"/>
    <x v="2"/>
    <n v="66113.759999999995"/>
    <n v="42.6"/>
    <n v="168"/>
    <n v="137"/>
    <s v="Sedan"/>
    <n v="4"/>
    <s v="Premium"/>
    <n v="185813"/>
    <n v="3.27"/>
    <n v="12284796086.879999"/>
  </r>
  <r>
    <x v="2"/>
    <s v="Model S"/>
    <x v="5"/>
    <x v="1"/>
    <n v="169177.37"/>
    <n v="89.9"/>
    <n v="303"/>
    <n v="200"/>
    <s v="SUV"/>
    <n v="4"/>
    <s v="Luxury"/>
    <n v="130032"/>
    <n v="3.68"/>
    <n v="21998471775.84"/>
  </r>
  <r>
    <x v="3"/>
    <s v="Atto 3"/>
    <x v="5"/>
    <x v="2"/>
    <n v="39603.870000000003"/>
    <n v="75.099999999999994"/>
    <n v="266"/>
    <n v="158"/>
    <s v="Van"/>
    <n v="5"/>
    <s v="Mid-range"/>
    <n v="195375"/>
    <n v="3.46"/>
    <n v="7737606101.250001"/>
  </r>
  <r>
    <x v="2"/>
    <s v="Model 3"/>
    <x v="5"/>
    <x v="3"/>
    <n v="27829.58"/>
    <n v="72.900000000000006"/>
    <n v="249"/>
    <n v="177"/>
    <s v="Van"/>
    <n v="4"/>
    <s v="Budget"/>
    <n v="110913"/>
    <n v="3.78"/>
    <n v="3086662206.54"/>
  </r>
  <r>
    <x v="9"/>
    <s v="i3"/>
    <x v="5"/>
    <x v="3"/>
    <n v="104401.84"/>
    <n v="73.3"/>
    <n v="250"/>
    <n v="178"/>
    <s v="Coupe"/>
    <n v="5"/>
    <s v="Luxury"/>
    <n v="64517"/>
    <n v="3.56"/>
    <n v="6735693511.2799997"/>
  </r>
  <r>
    <x v="8"/>
    <s v="F-150 Lightning"/>
    <x v="5"/>
    <x v="1"/>
    <n v="55789.82"/>
    <n v="103.1"/>
    <n v="355"/>
    <n v="200"/>
    <s v="Truck"/>
    <n v="3"/>
    <s v="Mid-range"/>
    <n v="58686"/>
    <n v="4"/>
    <n v="3274081376.52"/>
  </r>
  <r>
    <x v="5"/>
    <s v="Picanto EV"/>
    <x v="5"/>
    <x v="2"/>
    <n v="48934.98"/>
    <n v="67"/>
    <n v="228"/>
    <n v="154"/>
    <s v="Coupe"/>
    <n v="5"/>
    <s v="Mid-range"/>
    <n v="106640"/>
    <n v="3.38"/>
    <n v="5218426267.2000008"/>
  </r>
  <r>
    <x v="5"/>
    <s v="Sportage EV"/>
    <x v="5"/>
    <x v="4"/>
    <n v="89200.56"/>
    <n v="62.2"/>
    <n v="211"/>
    <n v="149"/>
    <s v="SUV"/>
    <n v="4"/>
    <s v="Premium"/>
    <n v="55676"/>
    <n v="3"/>
    <n v="4966330378.5599995"/>
  </r>
  <r>
    <x v="9"/>
    <s v="iX"/>
    <x v="5"/>
    <x v="0"/>
    <n v="133417.07"/>
    <n v="99.6"/>
    <n v="348"/>
    <n v="178"/>
    <s v="Van"/>
    <n v="4"/>
    <s v="Luxury"/>
    <n v="53580"/>
    <n v="3.85"/>
    <n v="7148486610.6000004"/>
  </r>
  <r>
    <x v="8"/>
    <s v="Explorer EV"/>
    <x v="5"/>
    <x v="1"/>
    <n v="63490.76"/>
    <n v="108"/>
    <n v="370"/>
    <n v="196"/>
    <s v="Sedan"/>
    <n v="4"/>
    <s v="Mid-range"/>
    <n v="37708"/>
    <n v="3.81"/>
    <n v="2394109578.0799999"/>
  </r>
  <r>
    <x v="3"/>
    <s v="Leaf 50X"/>
    <x v="5"/>
    <x v="4"/>
    <n v="109495.59"/>
    <n v="62.3"/>
    <n v="209"/>
    <n v="147"/>
    <s v="Hatchback"/>
    <n v="4"/>
    <s v="Luxury"/>
    <n v="180168"/>
    <n v="3.53"/>
    <n v="19727601459.119999"/>
  </r>
  <r>
    <x v="12"/>
    <s v="Silverado EV"/>
    <x v="5"/>
    <x v="2"/>
    <n v="62818"/>
    <n v="73.599999999999994"/>
    <n v="282"/>
    <n v="140"/>
    <s v="Hatchback"/>
    <n v="5"/>
    <s v="Mid-range"/>
    <n v="4921"/>
    <n v="3.66"/>
    <n v="309127378"/>
  </r>
  <r>
    <x v="7"/>
    <s v="ID.3"/>
    <x v="5"/>
    <x v="1"/>
    <n v="46781.599999999999"/>
    <n v="118.1"/>
    <n v="405"/>
    <n v="200"/>
    <s v="Truck"/>
    <n v="5"/>
    <s v="Mid-range"/>
    <n v="268903"/>
    <n v="3.86"/>
    <n v="12579712584.799999"/>
  </r>
  <r>
    <x v="5"/>
    <s v="EV6"/>
    <x v="5"/>
    <x v="1"/>
    <n v="117355.84"/>
    <n v="92.1"/>
    <n v="333"/>
    <n v="191"/>
    <s v="Coupe"/>
    <n v="4"/>
    <s v="Luxury"/>
    <n v="136386"/>
    <n v="3.73"/>
    <n v="16005693594.24"/>
  </r>
  <r>
    <x v="16"/>
    <s v="SU7"/>
    <x v="5"/>
    <x v="2"/>
    <n v="55836.28"/>
    <n v="53.9"/>
    <n v="182"/>
    <n v="137"/>
    <s v="SUV"/>
    <n v="4"/>
    <s v="Mid-range"/>
    <n v="22178"/>
    <n v="3.55"/>
    <n v="1238337017.8399999"/>
  </r>
  <r>
    <x v="11"/>
    <s v="R2"/>
    <x v="5"/>
    <x v="0"/>
    <n v="102186.85"/>
    <n v="81"/>
    <n v="292"/>
    <n v="180"/>
    <s v="Hatchback"/>
    <n v="5"/>
    <s v="Luxury"/>
    <n v="2112"/>
    <n v="3.37"/>
    <n v="215818627.20000002"/>
  </r>
  <r>
    <x v="9"/>
    <s v="i4"/>
    <x v="5"/>
    <x v="0"/>
    <n v="101731.56"/>
    <n v="98.6"/>
    <n v="360"/>
    <n v="183"/>
    <s v="Truck"/>
    <n v="4"/>
    <s v="Luxury"/>
    <n v="41594"/>
    <n v="3.71"/>
    <n v="4231422506.6399999"/>
  </r>
  <r>
    <x v="8"/>
    <s v="F-150 Lightning"/>
    <x v="5"/>
    <x v="4"/>
    <n v="53246.45"/>
    <n v="42.9"/>
    <n v="171"/>
    <n v="137"/>
    <s v="Truck"/>
    <n v="4"/>
    <s v="Mid-range"/>
    <n v="30016"/>
    <n v="3.29"/>
    <n v="1598245443.1999998"/>
  </r>
  <r>
    <x v="2"/>
    <s v="Model S"/>
    <x v="5"/>
    <x v="4"/>
    <n v="176582.51"/>
    <n v="50.4"/>
    <n v="188"/>
    <n v="153"/>
    <s v="SUV"/>
    <n v="4"/>
    <s v="Luxury"/>
    <n v="199834"/>
    <n v="3.74"/>
    <n v="35287189303.340004"/>
  </r>
  <r>
    <x v="7"/>
    <s v="ID. Aero"/>
    <x v="5"/>
    <x v="1"/>
    <n v="86735.2"/>
    <n v="77.5"/>
    <n v="296"/>
    <n v="188"/>
    <s v="Van"/>
    <n v="5"/>
    <s v="Premium"/>
    <n v="261533"/>
    <n v="3.15"/>
    <n v="22684117061.599998"/>
  </r>
  <r>
    <x v="2"/>
    <s v="Cybertruck"/>
    <x v="5"/>
    <x v="2"/>
    <n v="98106.32"/>
    <n v="49.7"/>
    <n v="172"/>
    <n v="143"/>
    <s v="Truck"/>
    <n v="4"/>
    <s v="Premium"/>
    <n v="221459"/>
    <n v="3.6"/>
    <n v="21726527520.880001"/>
  </r>
  <r>
    <x v="13"/>
    <s v="GLE EV"/>
    <x v="5"/>
    <x v="4"/>
    <n v="92407.64"/>
    <n v="58"/>
    <n v="199"/>
    <n v="167"/>
    <s v="Sedan"/>
    <n v="4"/>
    <s v="Premium"/>
    <n v="22464"/>
    <n v="3.52"/>
    <n v="2075845224.96"/>
  </r>
  <r>
    <x v="6"/>
    <s v="Kona Electric"/>
    <x v="5"/>
    <x v="0"/>
    <n v="92989.48"/>
    <n v="91"/>
    <n v="315"/>
    <n v="166"/>
    <s v="SUV"/>
    <n v="5"/>
    <s v="Premium"/>
    <n v="132728"/>
    <n v="3.62"/>
    <n v="12342307701.439999"/>
  </r>
  <r>
    <x v="13"/>
    <s v="EQG"/>
    <x v="5"/>
    <x v="0"/>
    <n v="102050.83"/>
    <n v="92.4"/>
    <n v="312"/>
    <n v="178"/>
    <s v="Coupe"/>
    <n v="5"/>
    <s v="Luxury"/>
    <n v="26785"/>
    <n v="3.93"/>
    <n v="2733431481.5500002"/>
  </r>
  <r>
    <x v="8"/>
    <s v="Mustang Mach-E"/>
    <x v="5"/>
    <x v="0"/>
    <n v="62237.09"/>
    <n v="86.7"/>
    <n v="299"/>
    <n v="166"/>
    <s v="Sedan"/>
    <n v="5"/>
    <s v="Mid-range"/>
    <n v="34572"/>
    <n v="3.49"/>
    <n v="2151660675.48"/>
  </r>
  <r>
    <x v="2"/>
    <s v="Cybertruck"/>
    <x v="5"/>
    <x v="0"/>
    <n v="45726.22"/>
    <n v="92.1"/>
    <n v="327"/>
    <n v="161"/>
    <s v="Truck"/>
    <n v="5"/>
    <s v="Mid-range"/>
    <n v="240212"/>
    <n v="3.99"/>
    <n v="10983986758.639999"/>
  </r>
  <r>
    <x v="2"/>
    <s v="Model Y"/>
    <x v="5"/>
    <x v="0"/>
    <n v="107944.96000000001"/>
    <n v="81"/>
    <n v="289"/>
    <n v="162"/>
    <s v="Hatchback"/>
    <n v="4"/>
    <s v="Luxury"/>
    <n v="410789"/>
    <n v="3.91"/>
    <n v="44342602173.440002"/>
  </r>
  <r>
    <x v="8"/>
    <s v="E-Transit"/>
    <x v="5"/>
    <x v="2"/>
    <n v="61660.35"/>
    <n v="67.900000000000006"/>
    <n v="221"/>
    <n v="167"/>
    <s v="Coupe"/>
    <n v="4"/>
    <s v="Mid-range"/>
    <n v="27087"/>
    <n v="3.6"/>
    <n v="1670193900.45"/>
  </r>
  <r>
    <x v="2"/>
    <s v="Model 3"/>
    <x v="5"/>
    <x v="3"/>
    <n v="72436.36"/>
    <n v="83"/>
    <n v="289"/>
    <n v="147"/>
    <s v="Van"/>
    <n v="3"/>
    <s v="Premium"/>
    <n v="139369"/>
    <n v="3.74"/>
    <n v="10095383056.84"/>
  </r>
  <r>
    <x v="5"/>
    <s v="EV9"/>
    <x v="5"/>
    <x v="0"/>
    <n v="49012.19"/>
    <n v="102.8"/>
    <n v="368"/>
    <n v="185"/>
    <s v="SUV"/>
    <n v="5"/>
    <s v="Mid-range"/>
    <n v="114969"/>
    <n v="3.93"/>
    <n v="5634882472.1100006"/>
  </r>
  <r>
    <x v="2"/>
    <s v="Model 3"/>
    <x v="5"/>
    <x v="0"/>
    <n v="49281.26"/>
    <n v="90.6"/>
    <n v="325"/>
    <n v="167"/>
    <s v="Truck"/>
    <n v="3"/>
    <s v="Mid-range"/>
    <n v="224804"/>
    <n v="4.0999999999999996"/>
    <n v="11078624373.040001"/>
  </r>
  <r>
    <x v="3"/>
    <s v="Qin"/>
    <x v="5"/>
    <x v="4"/>
    <n v="47547.88"/>
    <n v="67.400000000000006"/>
    <n v="246"/>
    <n v="156"/>
    <s v="Coupe"/>
    <n v="4"/>
    <s v="Mid-range"/>
    <n v="214113"/>
    <n v="3.41"/>
    <n v="10180619230.439999"/>
  </r>
  <r>
    <x v="2"/>
    <s v="Model S"/>
    <x v="6"/>
    <x v="0"/>
    <n v="134165.81"/>
    <n v="103.2"/>
    <n v="347"/>
    <n v="187"/>
    <s v="Sedan"/>
    <n v="4"/>
    <s v="Luxury"/>
    <n v="211478"/>
    <n v="3.78"/>
    <n v="28373117167.18"/>
  </r>
  <r>
    <x v="7"/>
    <s v="ID. Aero"/>
    <x v="6"/>
    <x v="3"/>
    <n v="59824.88"/>
    <n v="70.900000000000006"/>
    <n v="263"/>
    <n v="167"/>
    <s v="Sedan"/>
    <n v="3"/>
    <s v="Mid-range"/>
    <n v="293709"/>
    <n v="3.28"/>
    <n v="17571105679.919998"/>
  </r>
  <r>
    <x v="1"/>
    <s v="Ronin"/>
    <x v="6"/>
    <x v="2"/>
    <n v="50395.94"/>
    <n v="63.9"/>
    <n v="243"/>
    <n v="147"/>
    <s v="Sedan"/>
    <n v="5"/>
    <s v="Mid-range"/>
    <n v="11950"/>
    <n v="3.48"/>
    <n v="602231483"/>
  </r>
  <r>
    <x v="8"/>
    <s v="F-150 Lightning"/>
    <x v="6"/>
    <x v="2"/>
    <n v="52266.720000000001"/>
    <n v="73.400000000000006"/>
    <n v="268"/>
    <n v="137"/>
    <s v="Truck"/>
    <n v="5"/>
    <s v="Mid-range"/>
    <n v="62843"/>
    <n v="3.72"/>
    <n v="3284597484.96"/>
  </r>
  <r>
    <x v="3"/>
    <s v="Max"/>
    <x v="6"/>
    <x v="1"/>
    <n v="101561.3"/>
    <n v="101.6"/>
    <n v="329"/>
    <n v="200"/>
    <s v="Truck"/>
    <n v="3"/>
    <s v="Luxury"/>
    <n v="216998"/>
    <n v="3.69"/>
    <n v="22038598977.400002"/>
  </r>
  <r>
    <x v="12"/>
    <s v="Bolt EUV"/>
    <x v="6"/>
    <x v="2"/>
    <n v="63696.78"/>
    <n v="78"/>
    <n v="262"/>
    <n v="136"/>
    <s v="Truck"/>
    <n v="5"/>
    <s v="Mid-range"/>
    <n v="8032"/>
    <n v="3.56"/>
    <n v="511612536.95999998"/>
  </r>
  <r>
    <x v="12"/>
    <s v="Bolt EUV"/>
    <x v="6"/>
    <x v="3"/>
    <n v="71136.28"/>
    <n v="49.6"/>
    <n v="171"/>
    <n v="142"/>
    <s v="Hatchback"/>
    <n v="5"/>
    <s v="Premium"/>
    <n v="27175"/>
    <n v="3.31"/>
    <n v="1933128409"/>
  </r>
  <r>
    <x v="2"/>
    <s v="Model 3"/>
    <x v="6"/>
    <x v="2"/>
    <n v="36489.360000000001"/>
    <n v="45.5"/>
    <n v="150"/>
    <n v="131"/>
    <s v="Van"/>
    <n v="3"/>
    <s v="Mid-range"/>
    <n v="214895"/>
    <n v="3.58"/>
    <n v="7841381017.1999998"/>
  </r>
  <r>
    <x v="2"/>
    <s v="Model Y"/>
    <x v="6"/>
    <x v="3"/>
    <n v="96644.91"/>
    <n v="76.400000000000006"/>
    <n v="244"/>
    <n v="164"/>
    <s v="Sedan"/>
    <n v="5"/>
    <s v="Premium"/>
    <n v="408778"/>
    <n v="4.03"/>
    <n v="39506313019.980003"/>
  </r>
  <r>
    <x v="13"/>
    <s v="GLE EV"/>
    <x v="6"/>
    <x v="3"/>
    <n v="68994.81"/>
    <n v="48.5"/>
    <n v="168"/>
    <n v="157"/>
    <s v="Van"/>
    <n v="5"/>
    <s v="Premium"/>
    <n v="79213"/>
    <n v="3.77"/>
    <n v="5465285884.5299997"/>
  </r>
  <r>
    <x v="8"/>
    <s v="F-150 Lightning"/>
    <x v="6"/>
    <x v="3"/>
    <n v="51712.72"/>
    <n v="44.2"/>
    <n v="150"/>
    <n v="160"/>
    <s v="Truck"/>
    <n v="4"/>
    <s v="Mid-range"/>
    <n v="26384"/>
    <n v="3.09"/>
    <n v="1364388404.48"/>
  </r>
  <r>
    <x v="4"/>
    <s v="e-tron GT"/>
    <x v="6"/>
    <x v="1"/>
    <n v="126813.57"/>
    <n v="114.9"/>
    <n v="393"/>
    <n v="190"/>
    <s v="Sedan"/>
    <n v="5"/>
    <s v="Luxury"/>
    <n v="35466"/>
    <n v="3.84"/>
    <n v="4497570073.6199999"/>
  </r>
  <r>
    <x v="3"/>
    <s v="Atto 3"/>
    <x v="6"/>
    <x v="4"/>
    <n v="102365.27"/>
    <n v="40.6"/>
    <n v="150"/>
    <n v="182"/>
    <s v="Sedan"/>
    <n v="4"/>
    <s v="Luxury"/>
    <n v="112568"/>
    <n v="3.22"/>
    <n v="11523053713.360001"/>
  </r>
  <r>
    <x v="8"/>
    <s v="E-Transit"/>
    <x v="6"/>
    <x v="1"/>
    <n v="52666.03"/>
    <n v="83.7"/>
    <n v="310"/>
    <n v="197"/>
    <s v="SUV"/>
    <n v="5"/>
    <s v="Mid-range"/>
    <n v="76169"/>
    <n v="3.67"/>
    <n v="4011518839.0699997"/>
  </r>
  <r>
    <x v="12"/>
    <s v="Bolt EUV"/>
    <x v="6"/>
    <x v="0"/>
    <n v="70455.09"/>
    <n v="97.8"/>
    <n v="367"/>
    <n v="173"/>
    <s v="Truck"/>
    <n v="4"/>
    <s v="Premium"/>
    <n v="1598"/>
    <n v="3.6"/>
    <n v="112587233.81999999"/>
  </r>
  <r>
    <x v="2"/>
    <s v="Cybertruck"/>
    <x v="6"/>
    <x v="2"/>
    <n v="50614.31"/>
    <n v="85"/>
    <n v="304"/>
    <n v="152"/>
    <s v="Truck"/>
    <n v="5"/>
    <s v="Mid-range"/>
    <n v="175527"/>
    <n v="4.0199999999999996"/>
    <n v="8884177991.3699989"/>
  </r>
  <r>
    <x v="4"/>
    <s v="Q4 e-tron"/>
    <x v="6"/>
    <x v="0"/>
    <n v="94110.46"/>
    <n v="90.4"/>
    <n v="323"/>
    <n v="188"/>
    <s v="Sedan"/>
    <n v="4"/>
    <s v="Premium"/>
    <n v="38660"/>
    <n v="3.57"/>
    <n v="3638310383.6000004"/>
  </r>
  <r>
    <x v="12"/>
    <s v="Silverado EV"/>
    <x v="6"/>
    <x v="1"/>
    <n v="65284.93"/>
    <n v="116.3"/>
    <n v="439"/>
    <n v="186"/>
    <s v="Coupe"/>
    <n v="4"/>
    <s v="Premium"/>
    <n v="25704"/>
    <n v="4.1900000000000004"/>
    <n v="1678083840.72"/>
  </r>
  <r>
    <x v="9"/>
    <s v="i4"/>
    <x v="6"/>
    <x v="1"/>
    <n v="133852.24"/>
    <n v="84.9"/>
    <n v="318"/>
    <n v="200"/>
    <s v="Truck"/>
    <n v="4"/>
    <s v="Luxury"/>
    <n v="50521"/>
    <n v="3.46"/>
    <n v="6762349017.04"/>
  </r>
  <r>
    <x v="2"/>
    <s v="Model Y"/>
    <x v="6"/>
    <x v="3"/>
    <n v="78088.259999999995"/>
    <n v="70.2"/>
    <n v="245"/>
    <n v="130"/>
    <s v="Sedan"/>
    <n v="5"/>
    <s v="Premium"/>
    <n v="489120"/>
    <n v="3.77"/>
    <n v="38194529731.199997"/>
  </r>
  <r>
    <x v="2"/>
    <s v="Model 3"/>
    <x v="6"/>
    <x v="2"/>
    <n v="80808.44"/>
    <n v="42.4"/>
    <n v="154"/>
    <n v="147"/>
    <s v="Coupe"/>
    <n v="5"/>
    <s v="Premium"/>
    <n v="234368"/>
    <n v="3.52"/>
    <n v="18938912465.920002"/>
  </r>
  <r>
    <x v="7"/>
    <s v="ID. Buzz"/>
    <x v="6"/>
    <x v="3"/>
    <n v="43538.73"/>
    <n v="62.3"/>
    <n v="231"/>
    <n v="165"/>
    <s v="Van"/>
    <n v="4"/>
    <s v="Mid-range"/>
    <n v="228329"/>
    <n v="3.2"/>
    <n v="9941154682.1700001"/>
  </r>
  <r>
    <x v="19"/>
    <s v="Air"/>
    <x v="6"/>
    <x v="3"/>
    <n v="199365.9"/>
    <n v="57.8"/>
    <n v="235"/>
    <n v="138"/>
    <s v="Coupe"/>
    <n v="4"/>
    <s v="Luxury"/>
    <n v="26890"/>
    <n v="3.19"/>
    <n v="5360949051"/>
  </r>
  <r>
    <x v="5"/>
    <s v="Niro EV"/>
    <x v="6"/>
    <x v="4"/>
    <n v="98299.99"/>
    <n v="73.400000000000006"/>
    <n v="245"/>
    <n v="165"/>
    <s v="Coupe"/>
    <n v="5"/>
    <s v="Premium"/>
    <n v="126328"/>
    <n v="3.5"/>
    <n v="12418041136.720001"/>
  </r>
  <r>
    <x v="13"/>
    <s v="EQE"/>
    <x v="6"/>
    <x v="2"/>
    <n v="59152.02"/>
    <n v="43.6"/>
    <n v="162"/>
    <n v="170"/>
    <s v="SUV"/>
    <n v="4"/>
    <s v="Mid-range"/>
    <n v="57795"/>
    <n v="3.37"/>
    <n v="3418690995.8999996"/>
  </r>
  <r>
    <x v="12"/>
    <s v="Equinox EV"/>
    <x v="6"/>
    <x v="1"/>
    <n v="42539.360000000001"/>
    <n v="109.6"/>
    <n v="371"/>
    <n v="200"/>
    <s v="SUV"/>
    <n v="5"/>
    <s v="Mid-range"/>
    <n v="18263"/>
    <n v="3.65"/>
    <n v="776896331.68000007"/>
  </r>
  <r>
    <x v="6"/>
    <s v="Ioniq 5"/>
    <x v="6"/>
    <x v="4"/>
    <n v="86930.64"/>
    <n v="49.4"/>
    <n v="177"/>
    <n v="171"/>
    <s v="Sedan"/>
    <n v="4"/>
    <s v="Premium"/>
    <n v="147601"/>
    <n v="3.5"/>
    <n v="12831049394.639999"/>
  </r>
  <r>
    <x v="7"/>
    <s v="ID. Buzz"/>
    <x v="6"/>
    <x v="3"/>
    <n v="39803.56"/>
    <n v="46.8"/>
    <n v="168"/>
    <n v="156"/>
    <s v="Truck"/>
    <n v="3"/>
    <s v="Mid-range"/>
    <n v="248701"/>
    <n v="3.08"/>
    <n v="9899185175.5599995"/>
  </r>
  <r>
    <x v="7"/>
    <s v="ID.4"/>
    <x v="6"/>
    <x v="3"/>
    <n v="86543.35"/>
    <n v="56.3"/>
    <n v="193"/>
    <n v="152"/>
    <s v="Hatchback"/>
    <n v="4"/>
    <s v="Premium"/>
    <n v="282690"/>
    <n v="3.24"/>
    <n v="24464939611.5"/>
  </r>
  <r>
    <x v="9"/>
    <s v="i4"/>
    <x v="6"/>
    <x v="3"/>
    <n v="72989.13"/>
    <n v="82"/>
    <n v="298"/>
    <n v="146"/>
    <s v="Hatchback"/>
    <n v="5"/>
    <s v="Premium"/>
    <n v="49770"/>
    <n v="3.42"/>
    <n v="3632669000.1000004"/>
  </r>
  <r>
    <x v="2"/>
    <s v="Model X"/>
    <x v="6"/>
    <x v="0"/>
    <n v="142726.14000000001"/>
    <n v="94.6"/>
    <n v="318"/>
    <n v="176"/>
    <s v="Coupe"/>
    <n v="4"/>
    <s v="Luxury"/>
    <n v="176985"/>
    <n v="4.2300000000000004"/>
    <n v="25260385887.900002"/>
  </r>
  <r>
    <x v="5"/>
    <s v="EV9"/>
    <x v="6"/>
    <x v="2"/>
    <n v="62907.99"/>
    <n v="56"/>
    <n v="184"/>
    <n v="142"/>
    <s v="SUV"/>
    <n v="5"/>
    <s v="Mid-range"/>
    <n v="93165"/>
    <n v="3.26"/>
    <n v="5860822888.3499994"/>
  </r>
  <r>
    <x v="2"/>
    <s v="Model 3"/>
    <x v="6"/>
    <x v="0"/>
    <n v="153057.04"/>
    <n v="85.2"/>
    <n v="285"/>
    <n v="186"/>
    <s v="Coupe"/>
    <n v="5"/>
    <s v="Luxury"/>
    <n v="178740"/>
    <n v="4.0599999999999996"/>
    <n v="27357415329.600002"/>
  </r>
  <r>
    <x v="3"/>
    <s v="Dolphin"/>
    <x v="6"/>
    <x v="3"/>
    <n v="82657.259999999995"/>
    <n v="83.9"/>
    <n v="294"/>
    <n v="153"/>
    <s v="Van"/>
    <n v="5"/>
    <s v="Premium"/>
    <n v="156944"/>
    <n v="3.54"/>
    <n v="12972561013.439999"/>
  </r>
  <r>
    <x v="9"/>
    <s v="i4"/>
    <x v="6"/>
    <x v="3"/>
    <n v="90499.68"/>
    <n v="42.2"/>
    <n v="167"/>
    <n v="132"/>
    <s v="Coupe"/>
    <n v="3"/>
    <s v="Premium"/>
    <n v="72987"/>
    <n v="3.29"/>
    <n v="6605300144.1599998"/>
  </r>
  <r>
    <x v="13"/>
    <s v="EQC"/>
    <x v="6"/>
    <x v="1"/>
    <n v="108052.79"/>
    <n v="111.2"/>
    <n v="390"/>
    <n v="196"/>
    <s v="Hatchback"/>
    <n v="5"/>
    <s v="Luxury"/>
    <n v="49733"/>
    <n v="4.0199999999999996"/>
    <n v="5373789405.0699997"/>
  </r>
  <r>
    <x v="3"/>
    <s v="Leaf 50X"/>
    <x v="6"/>
    <x v="4"/>
    <n v="60331.49"/>
    <n v="43.6"/>
    <n v="175"/>
    <n v="136"/>
    <s v="Coupe"/>
    <n v="4"/>
    <s v="Mid-range"/>
    <n v="145412"/>
    <n v="3.34"/>
    <n v="8772922623.8799992"/>
  </r>
  <r>
    <x v="9"/>
    <s v="iX"/>
    <x v="6"/>
    <x v="3"/>
    <n v="111475.63"/>
    <n v="44.2"/>
    <n v="150"/>
    <n v="159"/>
    <s v="Van"/>
    <n v="4"/>
    <s v="Luxury"/>
    <n v="22266"/>
    <n v="3.33"/>
    <n v="2482116377.5799999"/>
  </r>
  <r>
    <x v="3"/>
    <s v="Atto 3"/>
    <x v="6"/>
    <x v="0"/>
    <n v="67426.929999999993"/>
    <n v="98.7"/>
    <n v="353"/>
    <n v="162"/>
    <s v="Sedan"/>
    <n v="4"/>
    <s v="Premium"/>
    <n v="102350"/>
    <n v="3.66"/>
    <n v="6901146285.499999"/>
  </r>
  <r>
    <x v="8"/>
    <s v="E-Transit"/>
    <x v="6"/>
    <x v="1"/>
    <n v="48841.01"/>
    <n v="87.7"/>
    <n v="333"/>
    <n v="180"/>
    <s v="Hatchback"/>
    <n v="4"/>
    <s v="Mid-range"/>
    <n v="32288"/>
    <n v="3.72"/>
    <n v="1576978530.8800001"/>
  </r>
  <r>
    <x v="5"/>
    <s v="Niro EV"/>
    <x v="6"/>
    <x v="3"/>
    <n v="72349.570000000007"/>
    <n v="59.3"/>
    <n v="198"/>
    <n v="149"/>
    <s v="SUV"/>
    <n v="4"/>
    <s v="Premium"/>
    <n v="69075"/>
    <n v="3.22"/>
    <n v="4997546547.750001"/>
  </r>
  <r>
    <x v="8"/>
    <s v="Explorer EV"/>
    <x v="6"/>
    <x v="3"/>
    <n v="69136.539999999994"/>
    <n v="53.2"/>
    <n v="193"/>
    <n v="161"/>
    <s v="SUV"/>
    <n v="3"/>
    <s v="Premium"/>
    <n v="61663"/>
    <n v="3.2"/>
    <n v="4263166466.0199995"/>
  </r>
  <r>
    <x v="15"/>
    <s v="Taycan"/>
    <x v="6"/>
    <x v="0"/>
    <n v="220736.96"/>
    <n v="82.6"/>
    <n v="288"/>
    <n v="161"/>
    <s v="SUV"/>
    <n v="5"/>
    <s v="Luxury"/>
    <n v="5345"/>
    <n v="3.64"/>
    <n v="1179839051.2"/>
  </r>
  <r>
    <x v="7"/>
    <s v="ID. Aero"/>
    <x v="6"/>
    <x v="3"/>
    <n v="36003.86"/>
    <n v="51.5"/>
    <n v="216"/>
    <n v="170"/>
    <s v="Hatchback"/>
    <n v="5"/>
    <s v="Mid-range"/>
    <n v="241049"/>
    <n v="3.54"/>
    <n v="8678694449.1399994"/>
  </r>
  <r>
    <x v="2"/>
    <s v="Model Y"/>
    <x v="6"/>
    <x v="3"/>
    <n v="40006.71"/>
    <n v="63.9"/>
    <n v="241"/>
    <n v="131"/>
    <s v="Truck"/>
    <n v="4"/>
    <s v="Mid-range"/>
    <n v="488644"/>
    <n v="3.74"/>
    <n v="19549038801.239998"/>
  </r>
  <r>
    <x v="2"/>
    <s v="Model Y"/>
    <x v="6"/>
    <x v="2"/>
    <n v="41355.449999999997"/>
    <n v="69.599999999999994"/>
    <n v="247"/>
    <n v="165"/>
    <s v="Van"/>
    <n v="4"/>
    <s v="Mid-range"/>
    <n v="407336"/>
    <n v="3.8"/>
    <n v="16845563581.199999"/>
  </r>
  <r>
    <x v="2"/>
    <s v="Model S"/>
    <x v="6"/>
    <x v="2"/>
    <n v="88832.48"/>
    <n v="49.6"/>
    <n v="157"/>
    <n v="138"/>
    <s v="Coupe"/>
    <n v="5"/>
    <s v="Premium"/>
    <n v="238605"/>
    <n v="3.46"/>
    <n v="21195873890.399998"/>
  </r>
  <r>
    <x v="4"/>
    <s v="Q4 e-tron"/>
    <x v="6"/>
    <x v="0"/>
    <n v="71435.350000000006"/>
    <n v="106"/>
    <n v="377"/>
    <n v="176"/>
    <s v="Hatchback"/>
    <n v="3"/>
    <s v="Premium"/>
    <n v="45647"/>
    <n v="3.96"/>
    <n v="3260809421.4500003"/>
  </r>
  <r>
    <x v="7"/>
    <s v="ID.3"/>
    <x v="6"/>
    <x v="0"/>
    <n v="92636.43"/>
    <n v="109.7"/>
    <n v="373"/>
    <n v="188"/>
    <s v="Truck"/>
    <n v="5"/>
    <s v="Premium"/>
    <n v="243081"/>
    <n v="3.92"/>
    <n v="22518156040.829998"/>
  </r>
  <r>
    <x v="2"/>
    <s v="Model X"/>
    <x v="6"/>
    <x v="1"/>
    <n v="167028.1"/>
    <n v="106.1"/>
    <n v="356"/>
    <n v="186"/>
    <s v="SUV"/>
    <n v="4"/>
    <s v="Luxury"/>
    <n v="191484"/>
    <n v="4.17"/>
    <n v="31983208700.400002"/>
  </r>
  <r>
    <x v="13"/>
    <s v="EQC"/>
    <x v="6"/>
    <x v="2"/>
    <n v="137679.26999999999"/>
    <n v="71.2"/>
    <n v="244"/>
    <n v="136"/>
    <s v="Coupe"/>
    <n v="5"/>
    <s v="Luxury"/>
    <n v="34790"/>
    <n v="3.64"/>
    <n v="4789861803.2999992"/>
  </r>
  <r>
    <x v="7"/>
    <s v="ID. Buzz"/>
    <x v="6"/>
    <x v="2"/>
    <n v="46634.879999999997"/>
    <n v="48.4"/>
    <n v="169"/>
    <n v="137"/>
    <s v="Van"/>
    <n v="4"/>
    <s v="Mid-range"/>
    <n v="203221"/>
    <n v="3.33"/>
    <n v="9477186948.4799995"/>
  </r>
  <r>
    <x v="13"/>
    <s v="EQG"/>
    <x v="6"/>
    <x v="4"/>
    <n v="115211.58"/>
    <n v="57.3"/>
    <n v="174"/>
    <n v="161"/>
    <s v="Sedan"/>
    <n v="4"/>
    <s v="Luxury"/>
    <n v="42340"/>
    <n v="3.43"/>
    <n v="4878058297.1999998"/>
  </r>
  <r>
    <x v="7"/>
    <s v="ID.4"/>
    <x v="6"/>
    <x v="3"/>
    <n v="44501.34"/>
    <n v="41.7"/>
    <n v="150"/>
    <n v="135"/>
    <s v="Coupe"/>
    <n v="5"/>
    <s v="Mid-range"/>
    <n v="220387"/>
    <n v="3.14"/>
    <n v="9807516818.5799999"/>
  </r>
  <r>
    <x v="8"/>
    <s v="Mustang Mach-E"/>
    <x v="6"/>
    <x v="0"/>
    <n v="53193.55"/>
    <n v="98"/>
    <n v="364"/>
    <n v="173"/>
    <s v="Van"/>
    <n v="4"/>
    <s v="Mid-range"/>
    <n v="23578"/>
    <n v="3.93"/>
    <n v="1254197521.9000001"/>
  </r>
  <r>
    <x v="18"/>
    <s v="e:Ny1"/>
    <x v="6"/>
    <x v="1"/>
    <n v="51309.25"/>
    <n v="118.5"/>
    <n v="410"/>
    <n v="200"/>
    <s v="Sedan"/>
    <n v="5"/>
    <s v="Mid-range"/>
    <n v="6885"/>
    <n v="3.78"/>
    <n v="353264186.25"/>
  </r>
  <r>
    <x v="9"/>
    <s v="i7"/>
    <x v="6"/>
    <x v="2"/>
    <n v="48107.44"/>
    <n v="41.6"/>
    <n v="150"/>
    <n v="169"/>
    <s v="SUV"/>
    <n v="4"/>
    <s v="Mid-range"/>
    <n v="49300"/>
    <n v="3.02"/>
    <n v="2371696792"/>
  </r>
  <r>
    <x v="9"/>
    <s v="i7"/>
    <x v="6"/>
    <x v="1"/>
    <n v="116974.41"/>
    <n v="71.900000000000006"/>
    <n v="251"/>
    <n v="190"/>
    <s v="Truck"/>
    <n v="5"/>
    <s v="Luxury"/>
    <n v="50944"/>
    <n v="3.38"/>
    <n v="5959144343.04"/>
  </r>
  <r>
    <x v="6"/>
    <s v="Ioniq"/>
    <x v="6"/>
    <x v="0"/>
    <n v="78614.710000000006"/>
    <n v="78"/>
    <n v="278"/>
    <n v="159"/>
    <s v="Truck"/>
    <n v="5"/>
    <s v="Premium"/>
    <n v="126223"/>
    <n v="3.68"/>
    <n v="9922984540.3299999"/>
  </r>
  <r>
    <x v="13"/>
    <s v="GLE EV"/>
    <x v="6"/>
    <x v="3"/>
    <n v="135101.31"/>
    <n v="74.2"/>
    <n v="242"/>
    <n v="181"/>
    <s v="SUV"/>
    <n v="4"/>
    <s v="Luxury"/>
    <n v="54508"/>
    <n v="3.82"/>
    <n v="7364102205.4799995"/>
  </r>
  <r>
    <x v="3"/>
    <s v="Max"/>
    <x v="6"/>
    <x v="1"/>
    <n v="90766.48"/>
    <n v="91"/>
    <n v="318"/>
    <n v="200"/>
    <s v="Sedan"/>
    <n v="4"/>
    <s v="Premium"/>
    <n v="205278"/>
    <n v="3.53"/>
    <n v="18632361481.439999"/>
  </r>
  <r>
    <x v="2"/>
    <s v="Model Y"/>
    <x v="6"/>
    <x v="2"/>
    <n v="111102.01"/>
    <n v="57.5"/>
    <n v="194"/>
    <n v="140"/>
    <s v="Sedan"/>
    <n v="5"/>
    <s v="Luxury"/>
    <n v="457566"/>
    <n v="3.79"/>
    <n v="50836502307.659996"/>
  </r>
  <r>
    <x v="2"/>
    <s v="Cybertruck"/>
    <x v="6"/>
    <x v="2"/>
    <n v="121350.3"/>
    <n v="82.3"/>
    <n v="289"/>
    <n v="130"/>
    <s v="Truck"/>
    <n v="5"/>
    <s v="Luxury"/>
    <n v="144677"/>
    <n v="3.86"/>
    <n v="17556597353.100002"/>
  </r>
  <r>
    <x v="5"/>
    <s v="EV9"/>
    <x v="6"/>
    <x v="0"/>
    <n v="37918.559999999998"/>
    <n v="79.900000000000006"/>
    <n v="304"/>
    <n v="182"/>
    <s v="SUV"/>
    <n v="5"/>
    <s v="Mid-range"/>
    <n v="92798"/>
    <n v="3.66"/>
    <n v="3518766530.8799996"/>
  </r>
  <r>
    <x v="3"/>
    <s v="Dolphin"/>
    <x v="6"/>
    <x v="2"/>
    <n v="33590.410000000003"/>
    <n v="74.099999999999994"/>
    <n v="252"/>
    <n v="140"/>
    <s v="Truck"/>
    <n v="4"/>
    <s v="Budget"/>
    <n v="225478"/>
    <n v="3.58"/>
    <n v="7573898465.9800005"/>
  </r>
  <r>
    <x v="3"/>
    <s v="Seagull"/>
    <x v="6"/>
    <x v="3"/>
    <n v="75687.78"/>
    <n v="57.9"/>
    <n v="223"/>
    <n v="136"/>
    <s v="Sedan"/>
    <n v="3"/>
    <s v="Premium"/>
    <n v="230330"/>
    <n v="3.4"/>
    <n v="17433166367.400002"/>
  </r>
  <r>
    <x v="6"/>
    <s v="Ioniq 6"/>
    <x v="6"/>
    <x v="0"/>
    <n v="93179.93"/>
    <n v="102.1"/>
    <n v="351"/>
    <n v="181"/>
    <s v="Sedan"/>
    <n v="4"/>
    <s v="Premium"/>
    <n v="64997"/>
    <n v="3.42"/>
    <n v="6056415910.2099991"/>
  </r>
  <r>
    <x v="2"/>
    <s v="Model S"/>
    <x v="6"/>
    <x v="0"/>
    <n v="125990.82"/>
    <n v="75.3"/>
    <n v="272"/>
    <n v="171"/>
    <s v="Hatchback"/>
    <n v="5"/>
    <s v="Luxury"/>
    <n v="200607"/>
    <n v="3.97"/>
    <n v="25274640427.740002"/>
  </r>
  <r>
    <x v="3"/>
    <s v="Max"/>
    <x v="6"/>
    <x v="3"/>
    <n v="42445.79"/>
    <n v="53"/>
    <n v="173"/>
    <n v="167"/>
    <s v="Coupe"/>
    <n v="4"/>
    <s v="Mid-range"/>
    <n v="217748"/>
    <n v="3.05"/>
    <n v="9242485880.9200001"/>
  </r>
  <r>
    <x v="8"/>
    <s v="Explorer EV"/>
    <x v="6"/>
    <x v="2"/>
    <n v="55828.42"/>
    <n v="47.5"/>
    <n v="163"/>
    <n v="167"/>
    <s v="Hatchback"/>
    <n v="5"/>
    <s v="Mid-range"/>
    <n v="64449"/>
    <n v="3.39"/>
    <n v="3598085840.5799999"/>
  </r>
  <r>
    <x v="7"/>
    <s v="ID.3"/>
    <x v="6"/>
    <x v="3"/>
    <n v="36867.620000000003"/>
    <n v="42"/>
    <n v="175"/>
    <n v="148"/>
    <s v="Van"/>
    <n v="5"/>
    <s v="Mid-range"/>
    <n v="299992"/>
    <n v="3.38"/>
    <n v="11059991059.040001"/>
  </r>
  <r>
    <x v="12"/>
    <s v="Blazer EV"/>
    <x v="6"/>
    <x v="3"/>
    <n v="47749.35"/>
    <n v="64.3"/>
    <n v="253"/>
    <n v="170"/>
    <s v="Truck"/>
    <n v="5"/>
    <s v="Mid-range"/>
    <n v="11602"/>
    <n v="3.26"/>
    <n v="553987958.69999993"/>
  </r>
  <r>
    <x v="9"/>
    <s v="iX"/>
    <x v="6"/>
    <x v="3"/>
    <n v="111337.67"/>
    <n v="83.1"/>
    <n v="295"/>
    <n v="167"/>
    <s v="Van"/>
    <n v="4"/>
    <s v="Luxury"/>
    <n v="20689"/>
    <n v="3.65"/>
    <n v="2303465054.6300001"/>
  </r>
  <r>
    <x v="2"/>
    <s v="Model Y"/>
    <x v="6"/>
    <x v="2"/>
    <n v="113350.86"/>
    <n v="73.5"/>
    <n v="268"/>
    <n v="155"/>
    <s v="Sedan"/>
    <n v="5"/>
    <s v="Luxury"/>
    <n v="463970"/>
    <n v="3.62"/>
    <n v="52591398514.199997"/>
  </r>
  <r>
    <x v="7"/>
    <s v="ID.3"/>
    <x v="6"/>
    <x v="0"/>
    <n v="57231.82"/>
    <n v="83.1"/>
    <n v="283"/>
    <n v="170"/>
    <s v="Van"/>
    <n v="4"/>
    <s v="Mid-range"/>
    <n v="290062"/>
    <n v="3.77"/>
    <n v="16600776172.84"/>
  </r>
  <r>
    <x v="5"/>
    <s v="Picanto EV"/>
    <x v="6"/>
    <x v="0"/>
    <n v="38689.25"/>
    <n v="93"/>
    <n v="330"/>
    <n v="173"/>
    <s v="SUV"/>
    <n v="3"/>
    <s v="Mid-range"/>
    <n v="112175"/>
    <n v="3.57"/>
    <n v="4339966618.75"/>
  </r>
  <r>
    <x v="2"/>
    <s v="Model 3"/>
    <x v="6"/>
    <x v="3"/>
    <n v="127646.69"/>
    <n v="65.599999999999994"/>
    <n v="239"/>
    <n v="154"/>
    <s v="SUV"/>
    <n v="4"/>
    <s v="Luxury"/>
    <n v="120535"/>
    <n v="3.74"/>
    <n v="15385893779.15"/>
  </r>
  <r>
    <x v="17"/>
    <s v="C40 Recharge"/>
    <x v="6"/>
    <x v="0"/>
    <n v="68234.87"/>
    <n v="75.5"/>
    <n v="251"/>
    <n v="165"/>
    <s v="SUV"/>
    <n v="4"/>
    <s v="Premium"/>
    <n v="22605"/>
    <n v="3.33"/>
    <n v="1542449236.3499999"/>
  </r>
  <r>
    <x v="11"/>
    <s v="R1S"/>
    <x v="6"/>
    <x v="3"/>
    <n v="87078.44"/>
    <n v="72.099999999999994"/>
    <n v="262"/>
    <n v="150"/>
    <s v="Coupe"/>
    <n v="5"/>
    <s v="Premium"/>
    <n v="21561"/>
    <n v="3.72"/>
    <n v="1877498244.8400002"/>
  </r>
  <r>
    <x v="1"/>
    <s v="Ronin"/>
    <x v="6"/>
    <x v="2"/>
    <n v="89077.35"/>
    <n v="81.7"/>
    <n v="286"/>
    <n v="155"/>
    <s v="Coupe"/>
    <n v="4"/>
    <s v="Premium"/>
    <n v="28442"/>
    <n v="3.61"/>
    <n v="2533537988.7000003"/>
  </r>
  <r>
    <x v="2"/>
    <s v="Cybertruck"/>
    <x v="6"/>
    <x v="2"/>
    <n v="101101.42"/>
    <n v="71.8"/>
    <n v="255"/>
    <n v="163"/>
    <s v="Truck"/>
    <n v="3"/>
    <s v="Luxury"/>
    <n v="118722"/>
    <n v="3.89"/>
    <n v="12002962785.24"/>
  </r>
  <r>
    <x v="5"/>
    <s v="EV6"/>
    <x v="6"/>
    <x v="2"/>
    <n v="65902.95"/>
    <n v="59.6"/>
    <n v="203"/>
    <n v="132"/>
    <s v="Sedan"/>
    <n v="4"/>
    <s v="Premium"/>
    <n v="95119"/>
    <n v="3.3"/>
    <n v="6268622701.0500002"/>
  </r>
  <r>
    <x v="9"/>
    <s v="i3"/>
    <x v="6"/>
    <x v="3"/>
    <n v="62674.5"/>
    <n v="70.599999999999994"/>
    <n v="211"/>
    <n v="160"/>
    <s v="Coupe"/>
    <n v="3"/>
    <s v="Mid-range"/>
    <n v="61611"/>
    <n v="3.24"/>
    <n v="3861438619.5"/>
  </r>
  <r>
    <x v="7"/>
    <s v="ID. Buzz"/>
    <x v="6"/>
    <x v="4"/>
    <n v="50055.73"/>
    <n v="71.2"/>
    <n v="256"/>
    <n v="140"/>
    <s v="Hatchback"/>
    <n v="5"/>
    <s v="Mid-range"/>
    <n v="296123"/>
    <n v="3.65"/>
    <n v="14822652934.790001"/>
  </r>
  <r>
    <x v="4"/>
    <s v="e-tron GT"/>
    <x v="6"/>
    <x v="4"/>
    <n v="101046.9"/>
    <n v="80.3"/>
    <n v="301"/>
    <n v="174"/>
    <s v="SUV"/>
    <n v="4"/>
    <s v="Luxury"/>
    <n v="68624"/>
    <n v="3.78"/>
    <n v="6934242465.5999994"/>
  </r>
  <r>
    <x v="3"/>
    <s v="Max"/>
    <x v="6"/>
    <x v="0"/>
    <n v="92693.85"/>
    <n v="89.9"/>
    <n v="310"/>
    <n v="159"/>
    <s v="Truck"/>
    <n v="5"/>
    <s v="Premium"/>
    <n v="133159"/>
    <n v="3.42"/>
    <n v="12343020372.150002"/>
  </r>
  <r>
    <x v="3"/>
    <s v="Atto 3"/>
    <x v="6"/>
    <x v="1"/>
    <n v="110109.78"/>
    <n v="119.3"/>
    <n v="403"/>
    <n v="200"/>
    <s v="Van"/>
    <n v="4"/>
    <s v="Luxury"/>
    <n v="116675"/>
    <n v="4.1900000000000004"/>
    <n v="12847058581.5"/>
  </r>
  <r>
    <x v="12"/>
    <s v="Equinox EV"/>
    <x v="6"/>
    <x v="4"/>
    <n v="81491.33"/>
    <n v="73.3"/>
    <n v="257"/>
    <n v="145"/>
    <s v="SUV"/>
    <n v="3"/>
    <s v="Premium"/>
    <n v="15310"/>
    <n v="3.75"/>
    <n v="1247632262.3"/>
  </r>
  <r>
    <x v="3"/>
    <s v="Atto 3"/>
    <x v="6"/>
    <x v="0"/>
    <n v="104593.9"/>
    <n v="89.1"/>
    <n v="296"/>
    <n v="172"/>
    <s v="Van"/>
    <n v="5"/>
    <s v="Luxury"/>
    <n v="219672"/>
    <n v="3.59"/>
    <n v="22976351200.799999"/>
  </r>
  <r>
    <x v="8"/>
    <s v="F-150 Lightning"/>
    <x v="6"/>
    <x v="4"/>
    <n v="95704.24"/>
    <n v="84.6"/>
    <n v="300"/>
    <n v="176"/>
    <s v="Truck"/>
    <n v="5"/>
    <s v="Premium"/>
    <n v="70819"/>
    <n v="3.48"/>
    <n v="6777678572.5600004"/>
  </r>
  <r>
    <x v="5"/>
    <s v="EV6"/>
    <x v="6"/>
    <x v="4"/>
    <n v="81787.56"/>
    <n v="61.8"/>
    <n v="200"/>
    <n v="173"/>
    <s v="Coupe"/>
    <n v="3"/>
    <s v="Premium"/>
    <n v="103637"/>
    <n v="3.28"/>
    <n v="8476217355.7199993"/>
  </r>
  <r>
    <x v="3"/>
    <s v="Max"/>
    <x v="6"/>
    <x v="3"/>
    <n v="76922.710000000006"/>
    <n v="71.2"/>
    <n v="254"/>
    <n v="139"/>
    <s v="Truck"/>
    <n v="5"/>
    <s v="Premium"/>
    <n v="121433"/>
    <n v="3.41"/>
    <n v="9340955443.4300003"/>
  </r>
  <r>
    <x v="2"/>
    <s v="Model Y"/>
    <x v="6"/>
    <x v="3"/>
    <n v="131838.32999999999"/>
    <n v="68.900000000000006"/>
    <n v="241"/>
    <n v="152"/>
    <s v="Sedan"/>
    <n v="5"/>
    <s v="Luxury"/>
    <n v="410211"/>
    <n v="3.81"/>
    <n v="54081533187.629997"/>
  </r>
  <r>
    <x v="6"/>
    <s v="Ioniq 5"/>
    <x v="6"/>
    <x v="3"/>
    <n v="60217.03"/>
    <n v="73.900000000000006"/>
    <n v="251"/>
    <n v="159"/>
    <s v="SUV"/>
    <n v="4"/>
    <s v="Mid-range"/>
    <n v="83698"/>
    <n v="3.17"/>
    <n v="5040044976.9399996"/>
  </r>
  <r>
    <x v="5"/>
    <s v="Sportage EV"/>
    <x v="6"/>
    <x v="2"/>
    <n v="72429.61"/>
    <n v="64.2"/>
    <n v="178"/>
    <n v="153"/>
    <s v="SUV"/>
    <n v="5"/>
    <s v="Premium"/>
    <n v="52716"/>
    <n v="3"/>
    <n v="3818199320.7600002"/>
  </r>
  <r>
    <x v="11"/>
    <s v="R2"/>
    <x v="6"/>
    <x v="0"/>
    <n v="98562.96"/>
    <n v="97.1"/>
    <n v="316"/>
    <n v="160"/>
    <s v="SUV"/>
    <n v="3"/>
    <s v="Premium"/>
    <n v="20133"/>
    <n v="3.71"/>
    <n v="1984368073.6800001"/>
  </r>
  <r>
    <x v="13"/>
    <s v="EQC"/>
    <x v="6"/>
    <x v="4"/>
    <n v="151394.73000000001"/>
    <n v="70.8"/>
    <n v="264"/>
    <n v="153"/>
    <s v="Van"/>
    <n v="5"/>
    <s v="Luxury"/>
    <n v="37405"/>
    <n v="3.71"/>
    <n v="5662919875.6500006"/>
  </r>
  <r>
    <x v="7"/>
    <s v="ID. Buzz"/>
    <x v="6"/>
    <x v="0"/>
    <n v="42399.68"/>
    <n v="101.9"/>
    <n v="356"/>
    <n v="186"/>
    <s v="Hatchback"/>
    <n v="4"/>
    <s v="Mid-range"/>
    <n v="252676"/>
    <n v="3.68"/>
    <n v="10713381543.68"/>
  </r>
  <r>
    <x v="3"/>
    <s v="Atto 3"/>
    <x v="6"/>
    <x v="1"/>
    <n v="31933.47"/>
    <n v="119.9"/>
    <n v="430"/>
    <n v="200"/>
    <s v="Coupe"/>
    <n v="3"/>
    <s v="Budget"/>
    <n v="219100"/>
    <n v="4.1900000000000004"/>
    <n v="6996623277"/>
  </r>
  <r>
    <x v="7"/>
    <s v="ID.3"/>
    <x v="6"/>
    <x v="3"/>
    <n v="33483.919999999998"/>
    <n v="82.6"/>
    <n v="293"/>
    <n v="160"/>
    <s v="Truck"/>
    <n v="5"/>
    <s v="Budget"/>
    <n v="207337"/>
    <n v="3.62"/>
    <n v="6942455521.04"/>
  </r>
  <r>
    <x v="11"/>
    <s v="R1S"/>
    <x v="6"/>
    <x v="4"/>
    <n v="110739.07"/>
    <n v="48.4"/>
    <n v="163"/>
    <n v="146"/>
    <s v="Sedan"/>
    <n v="5"/>
    <s v="Luxury"/>
    <n v="26386"/>
    <n v="3.24"/>
    <n v="2921961101.02"/>
  </r>
  <r>
    <x v="4"/>
    <s v="Q4 e-tron"/>
    <x v="6"/>
    <x v="1"/>
    <n v="163470.92000000001"/>
    <n v="73.400000000000006"/>
    <n v="267"/>
    <n v="196"/>
    <s v="Sedan"/>
    <n v="5"/>
    <s v="Luxury"/>
    <n v="31112"/>
    <n v="3.43"/>
    <n v="5085907263.04"/>
  </r>
  <r>
    <x v="5"/>
    <s v="Niro EV"/>
    <x v="6"/>
    <x v="1"/>
    <n v="110515.91"/>
    <n v="78.099999999999994"/>
    <n v="283"/>
    <n v="200"/>
    <s v="Coupe"/>
    <n v="5"/>
    <s v="Luxury"/>
    <n v="62032"/>
    <n v="3.56"/>
    <n v="6855522929.1199999"/>
  </r>
  <r>
    <x v="7"/>
    <s v="ID.3"/>
    <x v="6"/>
    <x v="2"/>
    <n v="56734.76"/>
    <n v="49.7"/>
    <n v="207"/>
    <n v="168"/>
    <s v="Hatchback"/>
    <n v="4"/>
    <s v="Mid-range"/>
    <n v="257294"/>
    <n v="3.13"/>
    <n v="14597513339.440001"/>
  </r>
  <r>
    <x v="9"/>
    <s v="i7"/>
    <x v="6"/>
    <x v="4"/>
    <n v="125746.52"/>
    <n v="63.5"/>
    <n v="224"/>
    <n v="168"/>
    <s v="Hatchback"/>
    <n v="3"/>
    <s v="Luxury"/>
    <n v="62950"/>
    <n v="3.45"/>
    <n v="7915743434"/>
  </r>
  <r>
    <x v="3"/>
    <s v="Yuan Plus"/>
    <x v="6"/>
    <x v="2"/>
    <n v="71806.41"/>
    <n v="73"/>
    <n v="253"/>
    <n v="163"/>
    <s v="Sedan"/>
    <n v="4"/>
    <s v="Premium"/>
    <n v="163682"/>
    <n v="3.35"/>
    <n v="11753416801.620001"/>
  </r>
  <r>
    <x v="4"/>
    <s v="Q4 e-tron"/>
    <x v="6"/>
    <x v="0"/>
    <n v="145965.35999999999"/>
    <n v="78.2"/>
    <n v="269"/>
    <n v="173"/>
    <s v="Coupe"/>
    <n v="4"/>
    <s v="Luxury"/>
    <n v="21092"/>
    <n v="3.74"/>
    <n v="3078701373.1199999"/>
  </r>
  <r>
    <x v="2"/>
    <s v="Model 3"/>
    <x v="6"/>
    <x v="1"/>
    <n v="147080.28"/>
    <n v="107.7"/>
    <n v="395"/>
    <n v="195"/>
    <s v="Sedan"/>
    <n v="5"/>
    <s v="Luxury"/>
    <n v="199927"/>
    <n v="4.26"/>
    <n v="29405319139.560001"/>
  </r>
  <r>
    <x v="5"/>
    <s v="EV9"/>
    <x v="6"/>
    <x v="1"/>
    <n v="78041.17"/>
    <n v="113.5"/>
    <n v="407"/>
    <n v="185"/>
    <s v="SUV"/>
    <n v="5"/>
    <s v="Premium"/>
    <n v="103428"/>
    <n v="3.83"/>
    <n v="8071642130.7600002"/>
  </r>
  <r>
    <x v="3"/>
    <s v="Seagull"/>
    <x v="6"/>
    <x v="1"/>
    <n v="95761.12"/>
    <n v="80.599999999999994"/>
    <n v="277"/>
    <n v="181"/>
    <s v="Coupe"/>
    <n v="4"/>
    <s v="Premium"/>
    <n v="171938"/>
    <n v="3.56"/>
    <n v="16464975450.559999"/>
  </r>
  <r>
    <x v="5"/>
    <s v="Niro EV"/>
    <x v="6"/>
    <x v="1"/>
    <n v="91033.29"/>
    <n v="72.5"/>
    <n v="267"/>
    <n v="194"/>
    <s v="Van"/>
    <n v="4"/>
    <s v="Premium"/>
    <n v="54833"/>
    <n v="3.25"/>
    <n v="4991628390.5699997"/>
  </r>
  <r>
    <x v="8"/>
    <s v="Explorer EV"/>
    <x v="6"/>
    <x v="4"/>
    <n v="97985.03"/>
    <n v="84.1"/>
    <n v="304"/>
    <n v="167"/>
    <s v="Sedan"/>
    <n v="5"/>
    <s v="Premium"/>
    <n v="45069"/>
    <n v="3.49"/>
    <n v="4416087317.0699997"/>
  </r>
  <r>
    <x v="3"/>
    <s v="Dolphin"/>
    <x v="6"/>
    <x v="0"/>
    <n v="49411.4"/>
    <n v="105.1"/>
    <n v="362"/>
    <n v="181"/>
    <s v="SUV"/>
    <n v="4"/>
    <s v="Mid-range"/>
    <n v="124104"/>
    <n v="3.7"/>
    <n v="6132152385.6000004"/>
  </r>
  <r>
    <x v="9"/>
    <s v="i3"/>
    <x v="6"/>
    <x v="1"/>
    <n v="148406.75"/>
    <n v="116.4"/>
    <n v="409"/>
    <n v="187"/>
    <s v="Hatchback"/>
    <n v="4"/>
    <s v="Luxury"/>
    <n v="27898"/>
    <n v="3.83"/>
    <n v="4140251511.5"/>
  </r>
  <r>
    <x v="13"/>
    <s v="EQG"/>
    <x v="6"/>
    <x v="2"/>
    <n v="129546.31"/>
    <n v="72"/>
    <n v="248"/>
    <n v="174"/>
    <s v="Truck"/>
    <n v="4"/>
    <s v="Luxury"/>
    <n v="57503"/>
    <n v="3.59"/>
    <n v="7449301463.9300003"/>
  </r>
  <r>
    <x v="13"/>
    <s v="EQE"/>
    <x v="6"/>
    <x v="1"/>
    <n v="148924.89000000001"/>
    <n v="98.3"/>
    <n v="357"/>
    <n v="196"/>
    <s v="SUV"/>
    <n v="4"/>
    <s v="Luxury"/>
    <n v="66282"/>
    <n v="3.8"/>
    <n v="9871039558.9800014"/>
  </r>
  <r>
    <x v="7"/>
    <s v="ID. Aero"/>
    <x v="6"/>
    <x v="3"/>
    <n v="86339.6"/>
    <n v="57.8"/>
    <n v="217"/>
    <n v="145"/>
    <s v="Sedan"/>
    <n v="5"/>
    <s v="Premium"/>
    <n v="279621"/>
    <n v="3.38"/>
    <n v="24142365291.600002"/>
  </r>
  <r>
    <x v="2"/>
    <s v="Model S"/>
    <x v="6"/>
    <x v="1"/>
    <n v="120990.97"/>
    <n v="76.900000000000006"/>
    <n v="272"/>
    <n v="200"/>
    <s v="Truck"/>
    <n v="4"/>
    <s v="Luxury"/>
    <n v="177875"/>
    <n v="3.74"/>
    <n v="21521268788.75"/>
  </r>
  <r>
    <x v="8"/>
    <s v="Mustang Mach-E"/>
    <x v="6"/>
    <x v="4"/>
    <n v="56792.12"/>
    <n v="67.2"/>
    <n v="207"/>
    <n v="135"/>
    <s v="SUV"/>
    <n v="4"/>
    <s v="Mid-range"/>
    <n v="31784"/>
    <n v="3.24"/>
    <n v="1805080742.0800002"/>
  </r>
  <r>
    <x v="7"/>
    <s v="ID. Aero"/>
    <x v="6"/>
    <x v="3"/>
    <n v="69769.06"/>
    <n v="45"/>
    <n v="150"/>
    <n v="140"/>
    <s v="Hatchback"/>
    <n v="4"/>
    <s v="Premium"/>
    <n v="251078"/>
    <n v="3"/>
    <n v="17517476046.68"/>
  </r>
  <r>
    <x v="3"/>
    <s v="Yuan Plus"/>
    <x v="6"/>
    <x v="3"/>
    <n v="35604.120000000003"/>
    <n v="69.8"/>
    <n v="235"/>
    <n v="174"/>
    <s v="Truck"/>
    <n v="5"/>
    <s v="Mid-range"/>
    <n v="210674"/>
    <n v="3.59"/>
    <n v="7500862376.8800001"/>
  </r>
  <r>
    <x v="5"/>
    <s v="Picanto EV"/>
    <x v="6"/>
    <x v="0"/>
    <n v="70115.710000000006"/>
    <n v="95.5"/>
    <n v="342"/>
    <n v="168"/>
    <s v="Sedan"/>
    <n v="5"/>
    <s v="Premium"/>
    <n v="82992"/>
    <n v="3.83"/>
    <n v="5819043004.3200006"/>
  </r>
  <r>
    <x v="7"/>
    <s v="ID. Buzz"/>
    <x v="6"/>
    <x v="2"/>
    <n v="70180.350000000006"/>
    <n v="48.8"/>
    <n v="170"/>
    <n v="159"/>
    <s v="Truck"/>
    <n v="4"/>
    <s v="Premium"/>
    <n v="220918"/>
    <n v="3.38"/>
    <n v="15504102561.300001"/>
  </r>
  <r>
    <x v="11"/>
    <s v="R3"/>
    <x v="6"/>
    <x v="1"/>
    <n v="113739.43"/>
    <n v="106.9"/>
    <n v="358"/>
    <n v="200"/>
    <s v="Coupe"/>
    <n v="4"/>
    <s v="Luxury"/>
    <n v="22439"/>
    <n v="3.75"/>
    <n v="2552199069.77"/>
  </r>
  <r>
    <x v="0"/>
    <s v="bZ4X"/>
    <x v="6"/>
    <x v="0"/>
    <n v="89238.61"/>
    <n v="105.2"/>
    <n v="336"/>
    <n v="178"/>
    <s v="Hatchback"/>
    <n v="5"/>
    <s v="Premium"/>
    <n v="3195"/>
    <n v="3.98"/>
    <n v="285117358.94999999"/>
  </r>
  <r>
    <x v="13"/>
    <s v="EQS"/>
    <x v="6"/>
    <x v="4"/>
    <n v="108752.82"/>
    <n v="76.2"/>
    <n v="250"/>
    <n v="144"/>
    <s v="SUV"/>
    <n v="4"/>
    <s v="Luxury"/>
    <n v="65854"/>
    <n v="3.7"/>
    <n v="7161808208.2800007"/>
  </r>
  <r>
    <x v="4"/>
    <s v="e-tron"/>
    <x v="6"/>
    <x v="1"/>
    <n v="104966.05"/>
    <n v="96.6"/>
    <n v="360"/>
    <n v="200"/>
    <s v="Sedan"/>
    <n v="4"/>
    <s v="Luxury"/>
    <n v="20618"/>
    <n v="3.66"/>
    <n v="2164190018.9000001"/>
  </r>
  <r>
    <x v="6"/>
    <s v="Ioniq 6"/>
    <x v="6"/>
    <x v="4"/>
    <n v="43930.22"/>
    <n v="71.2"/>
    <n v="285"/>
    <n v="141"/>
    <s v="SUV"/>
    <n v="4"/>
    <s v="Mid-range"/>
    <n v="60140"/>
    <n v="3.56"/>
    <n v="2641963430.8000002"/>
  </r>
  <r>
    <x v="5"/>
    <s v="EV9"/>
    <x v="6"/>
    <x v="0"/>
    <n v="68589.740000000005"/>
    <n v="83.3"/>
    <n v="269"/>
    <n v="185"/>
    <s v="SUV"/>
    <n v="5"/>
    <s v="Premium"/>
    <n v="136116"/>
    <n v="3.29"/>
    <n v="9336161049.8400002"/>
  </r>
  <r>
    <x v="6"/>
    <s v="Ioniq 6"/>
    <x v="6"/>
    <x v="4"/>
    <n v="56433"/>
    <n v="62.7"/>
    <n v="241"/>
    <n v="161"/>
    <s v="Truck"/>
    <n v="4"/>
    <s v="Mid-range"/>
    <n v="82791"/>
    <n v="3.39"/>
    <n v="4672144503"/>
  </r>
  <r>
    <x v="3"/>
    <s v="Atto 3"/>
    <x v="6"/>
    <x v="0"/>
    <n v="27583.09"/>
    <n v="88.1"/>
    <n v="308"/>
    <n v="181"/>
    <s v="Truck"/>
    <n v="5"/>
    <s v="Budget"/>
    <n v="122434"/>
    <n v="3.77"/>
    <n v="3377108041.0599999"/>
  </r>
  <r>
    <x v="2"/>
    <s v="Model S"/>
    <x v="6"/>
    <x v="2"/>
    <n v="58826.879999999997"/>
    <n v="44.1"/>
    <n v="150"/>
    <n v="133"/>
    <s v="Sedan"/>
    <n v="4"/>
    <s v="Mid-range"/>
    <n v="198300"/>
    <n v="3.51"/>
    <n v="11665370304"/>
  </r>
  <r>
    <x v="1"/>
    <s v="Ronin"/>
    <x v="6"/>
    <x v="3"/>
    <n v="93652.94"/>
    <n v="54.5"/>
    <n v="193"/>
    <n v="177"/>
    <s v="Sedan"/>
    <n v="3"/>
    <s v="Premium"/>
    <n v="24709"/>
    <n v="3.26"/>
    <n v="2314070494.46"/>
  </r>
  <r>
    <x v="2"/>
    <s v="Model 3"/>
    <x v="6"/>
    <x v="1"/>
    <n v="112274.6"/>
    <n v="73.599999999999994"/>
    <n v="242"/>
    <n v="190"/>
    <s v="Hatchback"/>
    <n v="4"/>
    <s v="Luxury"/>
    <n v="193133"/>
    <n v="3.85"/>
    <n v="21683930321.799999"/>
  </r>
  <r>
    <x v="3"/>
    <s v="Qin"/>
    <x v="6"/>
    <x v="2"/>
    <n v="45158.26"/>
    <n v="84"/>
    <n v="315"/>
    <n v="140"/>
    <s v="SUV"/>
    <n v="5"/>
    <s v="Mid-range"/>
    <n v="119766"/>
    <n v="3.6"/>
    <n v="5408424167.1599998"/>
  </r>
  <r>
    <x v="9"/>
    <s v="i4"/>
    <x v="6"/>
    <x v="4"/>
    <n v="103491.15"/>
    <n v="48.4"/>
    <n v="152"/>
    <n v="147"/>
    <s v="Sedan"/>
    <n v="5"/>
    <s v="Luxury"/>
    <n v="42817"/>
    <n v="3.39"/>
    <n v="4431180569.5500002"/>
  </r>
  <r>
    <x v="5"/>
    <s v="Niro EV"/>
    <x v="6"/>
    <x v="0"/>
    <n v="67363.850000000006"/>
    <n v="101"/>
    <n v="376"/>
    <n v="160"/>
    <s v="SUV"/>
    <n v="3"/>
    <s v="Premium"/>
    <n v="128059"/>
    <n v="3.95"/>
    <n v="8626547267.1500015"/>
  </r>
  <r>
    <x v="12"/>
    <s v="Silverado EV"/>
    <x v="6"/>
    <x v="4"/>
    <n v="68395.009999999995"/>
    <n v="46"/>
    <n v="165"/>
    <n v="146"/>
    <s v="Coupe"/>
    <n v="4"/>
    <s v="Premium"/>
    <n v="27929"/>
    <n v="3"/>
    <n v="1910204234.29"/>
  </r>
  <r>
    <x v="4"/>
    <s v="e-tron"/>
    <x v="6"/>
    <x v="2"/>
    <n v="97863.03"/>
    <n v="41.7"/>
    <n v="166"/>
    <n v="145"/>
    <s v="Coupe"/>
    <n v="5"/>
    <s v="Premium"/>
    <n v="24216"/>
    <n v="3.41"/>
    <n v="2369851134.48"/>
  </r>
  <r>
    <x v="5"/>
    <s v="Picanto EV"/>
    <x v="6"/>
    <x v="4"/>
    <n v="97174.66"/>
    <n v="65.2"/>
    <n v="227"/>
    <n v="140"/>
    <s v="Truck"/>
    <n v="4"/>
    <s v="Premium"/>
    <n v="93712"/>
    <n v="3.12"/>
    <n v="9106431737.9200001"/>
  </r>
  <r>
    <x v="9"/>
    <s v="iX"/>
    <x v="6"/>
    <x v="0"/>
    <n v="81773.509999999995"/>
    <n v="75.7"/>
    <n v="277"/>
    <n v="182"/>
    <s v="Truck"/>
    <n v="5"/>
    <s v="Premium"/>
    <n v="38573"/>
    <n v="3.54"/>
    <n v="3154249601.23"/>
  </r>
  <r>
    <x v="13"/>
    <s v="EQG"/>
    <x v="6"/>
    <x v="0"/>
    <n v="124673.1"/>
    <n v="100.9"/>
    <n v="347"/>
    <n v="173"/>
    <s v="SUV"/>
    <n v="5"/>
    <s v="Luxury"/>
    <n v="24079"/>
    <n v="4"/>
    <n v="3002003574.9000001"/>
  </r>
  <r>
    <x v="12"/>
    <s v="Bolt EV"/>
    <x v="6"/>
    <x v="4"/>
    <n v="67711.199999999997"/>
    <n v="41.3"/>
    <n v="150"/>
    <n v="155"/>
    <s v="Van"/>
    <n v="5"/>
    <s v="Premium"/>
    <n v="15428"/>
    <n v="3.23"/>
    <n v="1044648393.5999999"/>
  </r>
  <r>
    <x v="2"/>
    <s v="Model Y"/>
    <x v="6"/>
    <x v="0"/>
    <n v="83728.44"/>
    <n v="82.6"/>
    <n v="280"/>
    <n v="180"/>
    <s v="Hatchback"/>
    <n v="4"/>
    <s v="Premium"/>
    <n v="490450"/>
    <n v="3.83"/>
    <n v="41064613398"/>
  </r>
  <r>
    <x v="6"/>
    <s v="Kona Electric"/>
    <x v="6"/>
    <x v="1"/>
    <n v="77799.73"/>
    <n v="108"/>
    <n v="367"/>
    <n v="200"/>
    <s v="Hatchback"/>
    <n v="4"/>
    <s v="Premium"/>
    <n v="58908"/>
    <n v="3.8"/>
    <n v="4583026494.8400002"/>
  </r>
  <r>
    <x v="3"/>
    <s v="Atto 3"/>
    <x v="6"/>
    <x v="4"/>
    <n v="87619.97"/>
    <n v="76.3"/>
    <n v="270"/>
    <n v="163"/>
    <s v="Hatchback"/>
    <n v="4"/>
    <s v="Premium"/>
    <n v="118872"/>
    <n v="3.49"/>
    <n v="10415561073.84"/>
  </r>
  <r>
    <x v="2"/>
    <s v="Model Y"/>
    <x v="6"/>
    <x v="4"/>
    <n v="55363.64"/>
    <n v="49.7"/>
    <n v="197"/>
    <n v="138"/>
    <s v="SUV"/>
    <n v="4"/>
    <s v="Mid-range"/>
    <n v="467657"/>
    <n v="3.42"/>
    <n v="25891193791.48"/>
  </r>
  <r>
    <x v="13"/>
    <s v="EQC"/>
    <x v="6"/>
    <x v="0"/>
    <n v="122737.35"/>
    <n v="76.099999999999994"/>
    <n v="281"/>
    <n v="174"/>
    <s v="SUV"/>
    <n v="5"/>
    <s v="Luxury"/>
    <n v="45500"/>
    <n v="3.92"/>
    <n v="5584549425"/>
  </r>
  <r>
    <x v="12"/>
    <s v="Silverado EV"/>
    <x v="6"/>
    <x v="0"/>
    <n v="75057.34"/>
    <n v="81.400000000000006"/>
    <n v="277"/>
    <n v="178"/>
    <s v="Truck"/>
    <n v="3"/>
    <s v="Premium"/>
    <n v="18197"/>
    <n v="3.62"/>
    <n v="1365818415.98"/>
  </r>
  <r>
    <x v="5"/>
    <s v="Picanto EV"/>
    <x v="6"/>
    <x v="3"/>
    <n v="54591.6"/>
    <n v="68.599999999999994"/>
    <n v="257"/>
    <n v="158"/>
    <s v="Van"/>
    <n v="4"/>
    <s v="Mid-range"/>
    <n v="84955"/>
    <n v="3.44"/>
    <n v="4637829378"/>
  </r>
  <r>
    <x v="6"/>
    <s v="Kona Electric"/>
    <x v="6"/>
    <x v="3"/>
    <n v="45692.14"/>
    <n v="83.7"/>
    <n v="288"/>
    <n v="154"/>
    <s v="Coupe"/>
    <n v="5"/>
    <s v="Mid-range"/>
    <n v="89861"/>
    <n v="3.5"/>
    <n v="4105941392.54"/>
  </r>
  <r>
    <x v="2"/>
    <s v="Model 3"/>
    <x v="6"/>
    <x v="0"/>
    <n v="146733.12"/>
    <n v="98.1"/>
    <n v="336"/>
    <n v="173"/>
    <s v="Truck"/>
    <n v="5"/>
    <s v="Luxury"/>
    <n v="162803"/>
    <n v="4.05"/>
    <n v="23888592135.360001"/>
  </r>
  <r>
    <x v="7"/>
    <s v="ID. Aero"/>
    <x v="6"/>
    <x v="1"/>
    <n v="102827.77"/>
    <n v="98.2"/>
    <n v="350"/>
    <n v="196"/>
    <s v="Truck"/>
    <n v="5"/>
    <s v="Luxury"/>
    <n v="238315"/>
    <n v="3.78"/>
    <n v="24505400007.549999"/>
  </r>
  <r>
    <x v="3"/>
    <s v="Yuan Plus"/>
    <x v="6"/>
    <x v="0"/>
    <n v="32377.24"/>
    <n v="104"/>
    <n v="378"/>
    <n v="184"/>
    <s v="Coupe"/>
    <n v="4"/>
    <s v="Budget"/>
    <n v="164156"/>
    <n v="3.81"/>
    <n v="5314918209.4400005"/>
  </r>
  <r>
    <x v="8"/>
    <s v="Explorer EV"/>
    <x v="6"/>
    <x v="2"/>
    <n v="61243.81"/>
    <n v="76.7"/>
    <n v="281"/>
    <n v="163"/>
    <s v="Sedan"/>
    <n v="4"/>
    <s v="Mid-range"/>
    <n v="57282"/>
    <n v="3.51"/>
    <n v="3508167924.4200001"/>
  </r>
  <r>
    <x v="2"/>
    <s v="Cybertruck"/>
    <x v="6"/>
    <x v="3"/>
    <n v="80796.91"/>
    <n v="64.599999999999994"/>
    <n v="239"/>
    <n v="148"/>
    <s v="Truck"/>
    <n v="4"/>
    <s v="Premium"/>
    <n v="212130"/>
    <n v="3.66"/>
    <n v="17139448518.300001"/>
  </r>
  <r>
    <x v="19"/>
    <s v="Air"/>
    <x v="6"/>
    <x v="2"/>
    <n v="137880.07999999999"/>
    <n v="41.3"/>
    <n v="150"/>
    <n v="127"/>
    <s v="Truck"/>
    <n v="5"/>
    <s v="Luxury"/>
    <n v="21377"/>
    <n v="3.21"/>
    <n v="2947462470.1599998"/>
  </r>
  <r>
    <x v="9"/>
    <s v="i7"/>
    <x v="6"/>
    <x v="4"/>
    <n v="125637.29"/>
    <n v="67.5"/>
    <n v="240"/>
    <n v="151"/>
    <s v="Hatchback"/>
    <n v="5"/>
    <s v="Luxury"/>
    <n v="47587"/>
    <n v="3.56"/>
    <n v="5978701719.2299995"/>
  </r>
  <r>
    <x v="3"/>
    <s v="Leaf 50X"/>
    <x v="6"/>
    <x v="0"/>
    <n v="101979.86"/>
    <n v="105.4"/>
    <n v="376"/>
    <n v="183"/>
    <s v="Van"/>
    <n v="4"/>
    <s v="Luxury"/>
    <n v="128300"/>
    <n v="3.96"/>
    <n v="13084016038"/>
  </r>
  <r>
    <x v="13"/>
    <s v="GLE EV"/>
    <x v="6"/>
    <x v="1"/>
    <n v="104553.67"/>
    <n v="111.7"/>
    <n v="412"/>
    <n v="192"/>
    <s v="Hatchback"/>
    <n v="4"/>
    <s v="Luxury"/>
    <n v="68955"/>
    <n v="4.3899999999999997"/>
    <n v="7209498314.8499994"/>
  </r>
  <r>
    <x v="3"/>
    <s v="Qin"/>
    <x v="6"/>
    <x v="1"/>
    <n v="112008.03"/>
    <n v="112.5"/>
    <n v="389"/>
    <n v="200"/>
    <s v="SUV"/>
    <n v="3"/>
    <s v="Luxury"/>
    <n v="201649"/>
    <n v="3.59"/>
    <n v="22586307241.470001"/>
  </r>
  <r>
    <x v="12"/>
    <s v="Bolt EUV"/>
    <x v="6"/>
    <x v="4"/>
    <n v="52994.74"/>
    <n v="63.4"/>
    <n v="206"/>
    <n v="130"/>
    <s v="Truck"/>
    <n v="5"/>
    <s v="Mid-range"/>
    <n v="5490"/>
    <n v="3.27"/>
    <n v="290941122.59999996"/>
  </r>
  <r>
    <x v="1"/>
    <s v="Ocean"/>
    <x v="6"/>
    <x v="3"/>
    <n v="67825.009999999995"/>
    <n v="82.9"/>
    <n v="297"/>
    <n v="160"/>
    <s v="Sedan"/>
    <n v="5"/>
    <s v="Premium"/>
    <n v="26063"/>
    <n v="3.56"/>
    <n v="1767723235.6299999"/>
  </r>
  <r>
    <x v="6"/>
    <s v="Kona Electric"/>
    <x v="6"/>
    <x v="3"/>
    <n v="68247.960000000006"/>
    <n v="73.099999999999994"/>
    <n v="240"/>
    <n v="151"/>
    <s v="Hatchback"/>
    <n v="5"/>
    <s v="Premium"/>
    <n v="75804"/>
    <n v="3.31"/>
    <n v="5173468359.8400002"/>
  </r>
  <r>
    <x v="13"/>
    <s v="EQC"/>
    <x v="6"/>
    <x v="1"/>
    <n v="185592.86"/>
    <n v="107.8"/>
    <n v="359"/>
    <n v="192"/>
    <s v="Coupe"/>
    <n v="4"/>
    <s v="Luxury"/>
    <n v="51560"/>
    <n v="3.97"/>
    <n v="9569167861.5999985"/>
  </r>
  <r>
    <x v="7"/>
    <s v="ID.4"/>
    <x v="6"/>
    <x v="2"/>
    <n v="49575.71"/>
    <n v="47.3"/>
    <n v="158"/>
    <n v="141"/>
    <s v="Sedan"/>
    <n v="4"/>
    <s v="Mid-range"/>
    <n v="295672"/>
    <n v="3.23"/>
    <n v="14658149327.119999"/>
  </r>
  <r>
    <x v="12"/>
    <s v="Silverado EV"/>
    <x v="6"/>
    <x v="3"/>
    <n v="64854.51"/>
    <n v="76"/>
    <n v="264"/>
    <n v="158"/>
    <s v="Van"/>
    <n v="4"/>
    <s v="Mid-range"/>
    <n v="16372"/>
    <n v="3.34"/>
    <n v="1061798037.72"/>
  </r>
  <r>
    <x v="6"/>
    <s v="Kona Electric"/>
    <x v="6"/>
    <x v="4"/>
    <n v="78808.06"/>
    <n v="83.8"/>
    <n v="310"/>
    <n v="163"/>
    <s v="Truck"/>
    <n v="4"/>
    <s v="Premium"/>
    <n v="79142"/>
    <n v="3.33"/>
    <n v="6237027484.5199995"/>
  </r>
  <r>
    <x v="13"/>
    <s v="EQC"/>
    <x v="6"/>
    <x v="4"/>
    <n v="89766.7"/>
    <n v="44.8"/>
    <n v="150"/>
    <n v="131"/>
    <s v="Sedan"/>
    <n v="4"/>
    <s v="Premium"/>
    <n v="44745"/>
    <n v="3.43"/>
    <n v="4016610991.5"/>
  </r>
  <r>
    <x v="3"/>
    <s v="Dolphin"/>
    <x v="6"/>
    <x v="2"/>
    <n v="27881.47"/>
    <n v="60.3"/>
    <n v="202"/>
    <n v="169"/>
    <s v="Van"/>
    <n v="4"/>
    <s v="Budget"/>
    <n v="131662"/>
    <n v="3.35"/>
    <n v="3670930103.1400003"/>
  </r>
  <r>
    <x v="7"/>
    <s v="ID. Buzz"/>
    <x v="6"/>
    <x v="2"/>
    <n v="77633.039999999994"/>
    <n v="74"/>
    <n v="273"/>
    <n v="165"/>
    <s v="Truck"/>
    <n v="5"/>
    <s v="Premium"/>
    <n v="203039"/>
    <n v="3.53"/>
    <n v="15762534808.559999"/>
  </r>
  <r>
    <x v="2"/>
    <s v="Model X"/>
    <x v="6"/>
    <x v="2"/>
    <n v="27570.57"/>
    <n v="44.6"/>
    <n v="153"/>
    <n v="137"/>
    <s v="Coupe"/>
    <n v="5"/>
    <s v="Budget"/>
    <n v="203167"/>
    <n v="3.2"/>
    <n v="5601429995.1899996"/>
  </r>
  <r>
    <x v="0"/>
    <s v="bZ4X"/>
    <x v="6"/>
    <x v="1"/>
    <n v="108712.63"/>
    <n v="111.4"/>
    <n v="366"/>
    <n v="195"/>
    <s v="Sedan"/>
    <n v="4"/>
    <s v="Luxury"/>
    <n v="12763"/>
    <n v="3.93"/>
    <n v="1387499296.6900001"/>
  </r>
  <r>
    <x v="9"/>
    <s v="i7"/>
    <x v="6"/>
    <x v="1"/>
    <n v="96474.96"/>
    <n v="76.8"/>
    <n v="250"/>
    <n v="200"/>
    <s v="Van"/>
    <n v="5"/>
    <s v="Premium"/>
    <n v="54809"/>
    <n v="3.45"/>
    <n v="5287696082.6400003"/>
  </r>
  <r>
    <x v="19"/>
    <s v="Air"/>
    <x v="6"/>
    <x v="4"/>
    <n v="225594.15"/>
    <n v="63.1"/>
    <n v="216"/>
    <n v="125"/>
    <s v="Van"/>
    <n v="5"/>
    <s v="Luxury"/>
    <n v="21994"/>
    <n v="3.37"/>
    <n v="4961717735.0999994"/>
  </r>
  <r>
    <x v="8"/>
    <s v="F-150 Lightning"/>
    <x v="6"/>
    <x v="4"/>
    <n v="73146.64"/>
    <n v="40.1"/>
    <n v="150"/>
    <n v="157"/>
    <s v="Truck"/>
    <n v="5"/>
    <s v="Premium"/>
    <n v="26454"/>
    <n v="3.22"/>
    <n v="1935021214.5599999"/>
  </r>
  <r>
    <x v="5"/>
    <s v="EV9"/>
    <x v="6"/>
    <x v="3"/>
    <n v="52324.87"/>
    <n v="44.4"/>
    <n v="154"/>
    <n v="158"/>
    <s v="SUV"/>
    <n v="5"/>
    <s v="Mid-range"/>
    <n v="142095"/>
    <n v="3.03"/>
    <n v="7435102402.6500006"/>
  </r>
  <r>
    <x v="13"/>
    <s v="GLE EV"/>
    <x v="6"/>
    <x v="0"/>
    <n v="89516.61"/>
    <n v="78.7"/>
    <n v="296"/>
    <n v="185"/>
    <s v="Van"/>
    <n v="4"/>
    <s v="Premium"/>
    <n v="50182"/>
    <n v="4.07"/>
    <n v="4492122523.0200005"/>
  </r>
  <r>
    <x v="6"/>
    <s v="Ioniq 5"/>
    <x v="6"/>
    <x v="1"/>
    <n v="46435.85"/>
    <n v="100.4"/>
    <n v="359"/>
    <n v="189"/>
    <s v="SUV"/>
    <n v="4"/>
    <s v="Mid-range"/>
    <n v="73520"/>
    <n v="3.68"/>
    <n v="3413963692"/>
  </r>
  <r>
    <x v="2"/>
    <s v="Model X"/>
    <x v="6"/>
    <x v="4"/>
    <n v="88927.83"/>
    <n v="60.1"/>
    <n v="213"/>
    <n v="143"/>
    <s v="SUV"/>
    <n v="4"/>
    <s v="Premium"/>
    <n v="116766"/>
    <n v="3.76"/>
    <n v="10383746997.780001"/>
  </r>
  <r>
    <x v="0"/>
    <s v="bZ Compact SUV"/>
    <x v="6"/>
    <x v="0"/>
    <n v="86892.09"/>
    <n v="84.1"/>
    <n v="298"/>
    <n v="186"/>
    <s v="SUV"/>
    <n v="4"/>
    <s v="Premium"/>
    <n v="27998"/>
    <n v="3.62"/>
    <n v="2432804735.8199997"/>
  </r>
  <r>
    <x v="0"/>
    <s v="bZ4X"/>
    <x v="6"/>
    <x v="4"/>
    <n v="73010.399999999994"/>
    <n v="55.3"/>
    <n v="213"/>
    <n v="152"/>
    <s v="Sedan"/>
    <n v="4"/>
    <s v="Premium"/>
    <n v="9198"/>
    <n v="3.03"/>
    <n v="671549659.19999993"/>
  </r>
  <r>
    <x v="5"/>
    <s v="Picanto EV"/>
    <x v="6"/>
    <x v="0"/>
    <n v="53569.81"/>
    <n v="105.4"/>
    <n v="370"/>
    <n v="168"/>
    <s v="Coupe"/>
    <n v="5"/>
    <s v="Mid-range"/>
    <n v="112650"/>
    <n v="3.77"/>
    <n v="6034639096.5"/>
  </r>
  <r>
    <x v="8"/>
    <s v="Mustang Mach-E"/>
    <x v="6"/>
    <x v="2"/>
    <n v="43574.22"/>
    <n v="67.2"/>
    <n v="237"/>
    <n v="159"/>
    <s v="SUV"/>
    <n v="5"/>
    <s v="Mid-range"/>
    <n v="55997"/>
    <n v="3.06"/>
    <n v="2440025597.3400002"/>
  </r>
  <r>
    <x v="5"/>
    <s v="EV6"/>
    <x v="6"/>
    <x v="4"/>
    <n v="95775.65"/>
    <n v="51.6"/>
    <n v="194"/>
    <n v="155"/>
    <s v="Van"/>
    <n v="5"/>
    <s v="Premium"/>
    <n v="81075"/>
    <n v="3.4"/>
    <n v="7765010823.75"/>
  </r>
  <r>
    <x v="3"/>
    <s v="Qin"/>
    <x v="6"/>
    <x v="4"/>
    <n v="79542.78"/>
    <n v="81.099999999999994"/>
    <n v="295"/>
    <n v="137"/>
    <s v="Van"/>
    <n v="5"/>
    <s v="Premium"/>
    <n v="153987"/>
    <n v="3.28"/>
    <n v="12248554063.860001"/>
  </r>
  <r>
    <x v="17"/>
    <s v="XC40 Recharge"/>
    <x v="6"/>
    <x v="1"/>
    <n v="111533.26"/>
    <n v="116.5"/>
    <n v="422"/>
    <n v="200"/>
    <s v="SUV"/>
    <n v="4"/>
    <s v="Luxury"/>
    <n v="29548"/>
    <n v="3.71"/>
    <n v="3295584766.48"/>
  </r>
  <r>
    <x v="2"/>
    <s v="Model S"/>
    <x v="6"/>
    <x v="3"/>
    <n v="81673.279999999999"/>
    <n v="69.3"/>
    <n v="252"/>
    <n v="153"/>
    <s v="SUV"/>
    <n v="4"/>
    <s v="Premium"/>
    <n v="117880"/>
    <n v="3.75"/>
    <n v="9627646246.3999996"/>
  </r>
  <r>
    <x v="2"/>
    <s v="Cybertruck"/>
    <x v="6"/>
    <x v="2"/>
    <n v="55329.7"/>
    <n v="56.6"/>
    <n v="217"/>
    <n v="151"/>
    <s v="Truck"/>
    <n v="4"/>
    <s v="Mid-range"/>
    <n v="211999"/>
    <n v="3.34"/>
    <n v="11729841070.299999"/>
  </r>
  <r>
    <x v="4"/>
    <s v="Q6 e-tron"/>
    <x v="6"/>
    <x v="1"/>
    <n v="79000.66"/>
    <n v="102.5"/>
    <n v="355"/>
    <n v="200"/>
    <s v="Coupe"/>
    <n v="5"/>
    <s v="Premium"/>
    <n v="72672"/>
    <n v="4.03"/>
    <n v="5741135963.5200005"/>
  </r>
  <r>
    <x v="3"/>
    <s v="Yuan Plus"/>
    <x v="6"/>
    <x v="3"/>
    <n v="90374.6"/>
    <n v="57.6"/>
    <n v="191"/>
    <n v="145"/>
    <s v="Hatchback"/>
    <n v="5"/>
    <s v="China"/>
    <s v="Premium"/>
    <n v="232416"/>
    <n v="3.5"/>
  </r>
  <r>
    <x v="2"/>
    <s v="Model S"/>
    <x v="6"/>
    <x v="0"/>
    <n v="127635.34"/>
    <n v="105.5"/>
    <n v="384"/>
    <n v="176"/>
    <s v="SUV"/>
    <n v="5"/>
    <s v="US"/>
    <s v="Luxury"/>
    <n v="158325"/>
    <n v="4.24"/>
  </r>
  <r>
    <x v="6"/>
    <s v="Ioniq 5"/>
    <x v="6"/>
    <x v="3"/>
    <n v="59666.31"/>
    <n v="75.5"/>
    <n v="262"/>
    <n v="147"/>
    <s v="Sedan"/>
    <n v="4"/>
    <s v="South Korea"/>
    <s v="Mid-range"/>
    <n v="130091"/>
    <n v="3.79"/>
  </r>
  <r>
    <x v="3"/>
    <s v="Yuan Plus"/>
    <x v="6"/>
    <x v="0"/>
    <n v="92189.49"/>
    <n v="91.2"/>
    <n v="317"/>
    <n v="188"/>
    <s v="Coupe"/>
    <n v="4"/>
    <s v="China"/>
    <s v="Premium"/>
    <n v="158795"/>
    <n v="3.92"/>
  </r>
  <r>
    <x v="5"/>
    <s v="Niro EV"/>
    <x v="6"/>
    <x v="1"/>
    <n v="71757.16"/>
    <n v="96"/>
    <n v="336"/>
    <n v="181"/>
    <s v="Truck"/>
    <n v="5"/>
    <s v="South Korea"/>
    <s v="Premium"/>
    <n v="123775"/>
    <n v="3.66"/>
  </r>
  <r>
    <x v="3"/>
    <s v="Max"/>
    <x v="6"/>
    <x v="1"/>
    <n v="71385.39"/>
    <n v="109.6"/>
    <n v="380"/>
    <n v="193"/>
    <s v="Coupe"/>
    <n v="4"/>
    <s v="China"/>
    <s v="Premium"/>
    <n v="234079"/>
    <n v="3.75"/>
  </r>
  <r>
    <x v="2"/>
    <s v="Model S"/>
    <x v="6"/>
    <x v="1"/>
    <n v="173601"/>
    <n v="82"/>
    <n v="301"/>
    <n v="184"/>
    <s v="Truck"/>
    <n v="4"/>
    <s v="US"/>
    <s v="Luxury"/>
    <n v="192234"/>
    <n v="3.86"/>
  </r>
  <r>
    <x v="2"/>
    <s v="Model S"/>
    <x v="6"/>
    <x v="1"/>
    <n v="120237.63"/>
    <n v="106.4"/>
    <n v="374"/>
    <n v="197"/>
    <s v="Van"/>
    <n v="3"/>
    <s v="US"/>
    <s v="Luxury"/>
    <n v="139118"/>
    <n v="4.3600000000000003"/>
  </r>
  <r>
    <x v="6"/>
    <s v="i30"/>
    <x v="6"/>
    <x v="4"/>
    <n v="95007.35"/>
    <n v="71.5"/>
    <n v="249"/>
    <n v="152"/>
    <s v="Hatchback"/>
    <n v="3"/>
    <s v="South Korea"/>
    <s v="Premium"/>
    <n v="111030"/>
    <n v="3.22"/>
  </r>
  <r>
    <x v="2"/>
    <s v="Model Y"/>
    <x v="6"/>
    <x v="3"/>
    <n v="53435.31"/>
    <n v="80.3"/>
    <n v="259"/>
    <n v="162"/>
    <s v="Hatchback"/>
    <n v="4"/>
    <s v="US"/>
    <s v="Mid-range"/>
    <n v="467122"/>
    <n v="3.87"/>
  </r>
  <r>
    <x v="12"/>
    <s v="Bolt EUV"/>
    <x v="6"/>
    <x v="0"/>
    <n v="54836.04"/>
    <n v="109.7"/>
    <n v="385"/>
    <n v="183"/>
    <s v="Hatchback"/>
    <n v="5"/>
    <s v="US"/>
    <s v="Mid-range"/>
    <n v="17331"/>
    <n v="3.77"/>
  </r>
  <r>
    <x v="3"/>
    <s v="Dolphin"/>
    <x v="6"/>
    <x v="1"/>
    <n v="31398.12"/>
    <n v="100.6"/>
    <n v="352"/>
    <n v="200"/>
    <s v="Hatchback"/>
    <n v="5"/>
    <s v="China"/>
    <s v="Budget"/>
    <n v="240918"/>
    <n v="3.58"/>
  </r>
  <r>
    <x v="3"/>
    <s v="Yuan Plus"/>
    <x v="6"/>
    <x v="4"/>
    <n v="58741.09"/>
    <n v="43.2"/>
    <n v="166"/>
    <n v="171"/>
    <s v="Sedan"/>
    <n v="5"/>
    <s v="China"/>
    <s v="Mid-range"/>
    <n v="193352"/>
    <n v="3.21"/>
  </r>
  <r>
    <x v="5"/>
    <s v="Niro EV"/>
    <x v="6"/>
    <x v="1"/>
    <n v="89456.85"/>
    <n v="106.6"/>
    <n v="392"/>
    <n v="199"/>
    <s v="Van"/>
    <n v="4"/>
    <s v="South Korea"/>
    <s v="Premium"/>
    <n v="55244"/>
    <n v="3.99"/>
  </r>
  <r>
    <x v="2"/>
    <s v="Model 3"/>
    <x v="6"/>
    <x v="4"/>
    <n v="123396.13"/>
    <n v="65.5"/>
    <n v="201"/>
    <n v="135"/>
    <s v="Coupe"/>
    <n v="4"/>
    <s v="US"/>
    <s v="Luxury"/>
    <n v="179193"/>
    <n v="3.78"/>
  </r>
  <r>
    <x v="6"/>
    <s v="Kona Electric"/>
    <x v="6"/>
    <x v="3"/>
    <n v="40896.410000000003"/>
    <n v="84.8"/>
    <n v="286"/>
    <n v="148"/>
    <s v="Truck"/>
    <n v="4"/>
    <s v="South Korea"/>
    <s v="Mid-range"/>
    <n v="60452"/>
    <n v="3.61"/>
  </r>
  <r>
    <x v="7"/>
    <s v="ID.5"/>
    <x v="6"/>
    <x v="1"/>
    <n v="72231.360000000001"/>
    <n v="115"/>
    <n v="387"/>
    <n v="200"/>
    <s v="Sedan"/>
    <n v="4"/>
    <s v="Germany"/>
    <s v="Premium"/>
    <n v="241869"/>
    <n v="4.05"/>
  </r>
  <r>
    <x v="2"/>
    <s v="Model S"/>
    <x v="6"/>
    <x v="2"/>
    <n v="119620.48"/>
    <n v="41.3"/>
    <n v="150"/>
    <n v="162"/>
    <s v="Van"/>
    <n v="4"/>
    <s v="US"/>
    <s v="Luxury"/>
    <n v="186324"/>
    <n v="3.52"/>
  </r>
  <r>
    <x v="6"/>
    <s v="i30"/>
    <x v="6"/>
    <x v="4"/>
    <n v="83199.83"/>
    <n v="49.6"/>
    <n v="161"/>
    <n v="135"/>
    <s v="Sedan"/>
    <n v="3"/>
    <s v="South Korea"/>
    <s v="Premium"/>
    <n v="92496"/>
    <n v="3.22"/>
  </r>
  <r>
    <x v="12"/>
    <s v="Equinox EV"/>
    <x v="6"/>
    <x v="1"/>
    <n v="71801.02"/>
    <n v="84.4"/>
    <n v="304"/>
    <n v="200"/>
    <s v="SUV"/>
    <n v="4"/>
    <s v="US"/>
    <s v="Premium"/>
    <n v="4745"/>
    <n v="3.45"/>
  </r>
  <r>
    <x v="2"/>
    <s v="Cybertruck"/>
    <x v="6"/>
    <x v="3"/>
    <n v="39888.42"/>
    <n v="83.1"/>
    <n v="277"/>
    <n v="136"/>
    <s v="Truck"/>
    <n v="4"/>
    <s v="US"/>
    <s v="Mid-range"/>
    <n v="224642"/>
    <n v="3.64"/>
  </r>
  <r>
    <x v="2"/>
    <s v="Model X"/>
    <x v="6"/>
    <x v="2"/>
    <n v="31180.54"/>
    <n v="72.3"/>
    <n v="241"/>
    <n v="142"/>
    <s v="Van"/>
    <n v="4"/>
    <s v="US"/>
    <s v="Budget"/>
    <n v="143060"/>
    <n v="3.87"/>
  </r>
  <r>
    <x v="9"/>
    <s v="i5"/>
    <x v="6"/>
    <x v="0"/>
    <n v="125686.6"/>
    <n v="91.1"/>
    <n v="335"/>
    <n v="160"/>
    <s v="Truck"/>
    <n v="5"/>
    <s v="Germany"/>
    <s v="Luxury"/>
    <n v="50691"/>
    <n v="3.66"/>
  </r>
  <r>
    <x v="8"/>
    <s v="Mustang Mach-E"/>
    <x v="6"/>
    <x v="0"/>
    <n v="61924.92"/>
    <n v="108.2"/>
    <n v="354"/>
    <n v="168"/>
    <s v="Van"/>
    <n v="4"/>
    <s v="US"/>
    <s v="Mid-range"/>
    <n v="37462"/>
    <n v="3.75"/>
  </r>
  <r>
    <x v="5"/>
    <s v="Sportage EV"/>
    <x v="6"/>
    <x v="3"/>
    <n v="75695.59"/>
    <n v="58.1"/>
    <n v="208"/>
    <n v="151"/>
    <s v="SUV"/>
    <n v="4"/>
    <s v="South Korea"/>
    <s v="Premium"/>
    <n v="99994"/>
    <n v="3.36"/>
  </r>
  <r>
    <x v="12"/>
    <s v="Bolt EUV"/>
    <x v="6"/>
    <x v="4"/>
    <n v="71451.17"/>
    <n v="77"/>
    <n v="267"/>
    <n v="130"/>
    <s v="Van"/>
    <n v="5"/>
    <s v="US"/>
    <s v="Premium"/>
    <n v="1367"/>
    <n v="3.49"/>
  </r>
  <r>
    <x v="7"/>
    <s v="ID.3"/>
    <x v="6"/>
    <x v="1"/>
    <n v="77434.92"/>
    <n v="112.5"/>
    <n v="381"/>
    <n v="195"/>
    <s v="Sedan"/>
    <n v="5"/>
    <s v="Germany"/>
    <s v="Premium"/>
    <n v="250773"/>
    <n v="3.82"/>
  </r>
  <r>
    <x v="2"/>
    <s v="Model Y"/>
    <x v="6"/>
    <x v="0"/>
    <n v="43501.07"/>
    <n v="92.1"/>
    <n v="328"/>
    <n v="177"/>
    <s v="Hatchback"/>
    <n v="4"/>
    <s v="US"/>
    <s v="Mid-range"/>
    <n v="417203"/>
    <n v="3.88"/>
  </r>
  <r>
    <x v="8"/>
    <s v="Explorer EV"/>
    <x v="6"/>
    <x v="4"/>
    <n v="99667.98"/>
    <n v="62.4"/>
    <n v="220"/>
    <n v="163"/>
    <s v="Sedan"/>
    <n v="5"/>
    <s v="US"/>
    <s v="Premium"/>
    <n v="21835"/>
    <n v="3.4"/>
  </r>
  <r>
    <x v="5"/>
    <s v="EV6"/>
    <x v="6"/>
    <x v="1"/>
    <n v="46823.3"/>
    <n v="98.4"/>
    <n v="366"/>
    <n v="198"/>
    <s v="Sedan"/>
    <n v="3"/>
    <s v="South Korea"/>
    <s v="Mid-range"/>
    <n v="141318"/>
    <n v="3.75"/>
  </r>
  <r>
    <x v="2"/>
    <s v="Cybertruck"/>
    <x v="6"/>
    <x v="1"/>
    <n v="70200.56"/>
    <n v="85"/>
    <n v="286"/>
    <n v="189"/>
    <s v="Truck"/>
    <n v="5"/>
    <s v="US"/>
    <s v="Premium"/>
    <n v="166507"/>
    <n v="3.89"/>
  </r>
  <r>
    <x v="13"/>
    <s v="EQE"/>
    <x v="6"/>
    <x v="4"/>
    <n v="93286.78"/>
    <n v="82.1"/>
    <n v="282"/>
    <n v="136"/>
    <s v="Hatchback"/>
    <n v="3"/>
    <s v="Germany"/>
    <s v="Premium"/>
    <n v="49781"/>
    <n v="3.74"/>
  </r>
  <r>
    <x v="6"/>
    <s v="Ioniq"/>
    <x v="6"/>
    <x v="3"/>
    <n v="37257.29"/>
    <n v="52.5"/>
    <n v="164"/>
    <n v="160"/>
    <s v="SUV"/>
    <n v="3"/>
    <s v="South Korea"/>
    <s v="Mid-range"/>
    <n v="64933"/>
    <n v="3.24"/>
  </r>
  <r>
    <x v="7"/>
    <s v="ID. Aero"/>
    <x v="6"/>
    <x v="2"/>
    <n v="69452.44"/>
    <n v="63.6"/>
    <n v="224"/>
    <n v="148"/>
    <s v="Van"/>
    <n v="4"/>
    <s v="Germany"/>
    <s v="Premium"/>
    <n v="260693"/>
    <n v="3.66"/>
  </r>
  <r>
    <x v="2"/>
    <s v="Model S"/>
    <x v="6"/>
    <x v="2"/>
    <n v="119417.95"/>
    <n v="65.3"/>
    <n v="248"/>
    <n v="145"/>
    <s v="Sedan"/>
    <n v="5"/>
    <s v="US"/>
    <s v="Luxury"/>
    <n v="170811"/>
    <n v="3.7"/>
  </r>
  <r>
    <x v="2"/>
    <s v="Model X"/>
    <x v="6"/>
    <x v="4"/>
    <n v="139665.73000000001"/>
    <n v="70.7"/>
    <n v="248"/>
    <n v="175"/>
    <s v="Coupe"/>
    <n v="3"/>
    <s v="US"/>
    <s v="Luxury"/>
    <n v="165373"/>
    <n v="3.66"/>
  </r>
  <r>
    <x v="20"/>
    <m/>
    <x v="7"/>
    <x v="5"/>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bZ Compact SUV"/>
    <n v="2020"/>
    <x v="0"/>
    <n v="70748.34"/>
    <n v="94.2"/>
    <n v="335"/>
    <n v="169"/>
    <s v="SUV"/>
    <n v="5"/>
    <x v="0"/>
    <n v="2261"/>
    <n v="3.72"/>
    <n v="159961996.73999998"/>
  </r>
  <r>
    <x v="1"/>
    <s v="Ronin"/>
    <n v="2020"/>
    <x v="1"/>
    <n v="143106.79"/>
    <n v="75.3"/>
    <n v="272"/>
    <n v="197"/>
    <s v="Hatchback"/>
    <n v="4"/>
    <x v="1"/>
    <n v="18708"/>
    <n v="3.53"/>
    <n v="2677241827.3200002"/>
  </r>
  <r>
    <x v="2"/>
    <s v="Model S"/>
    <n v="2020"/>
    <x v="1"/>
    <n v="102900.51"/>
    <n v="74.099999999999994"/>
    <n v="231"/>
    <n v="200"/>
    <s v="Truck"/>
    <n v="3"/>
    <x v="1"/>
    <n v="184383"/>
    <n v="3.8"/>
    <n v="18973104735.329998"/>
  </r>
  <r>
    <x v="3"/>
    <s v="Max"/>
    <n v="2020"/>
    <x v="2"/>
    <n v="67729.77"/>
    <n v="44.2"/>
    <n v="157"/>
    <n v="137"/>
    <s v="Truck"/>
    <n v="4"/>
    <x v="0"/>
    <n v="160145"/>
    <n v="3.2"/>
    <n v="10846584016.650002"/>
  </r>
  <r>
    <x v="4"/>
    <s v="Q6 e-tron"/>
    <n v="2020"/>
    <x v="0"/>
    <n v="76665.86"/>
    <n v="103.7"/>
    <n v="353"/>
    <n v="165"/>
    <s v="Hatchback"/>
    <n v="4"/>
    <x v="0"/>
    <n v="32828"/>
    <n v="3.4"/>
    <n v="2516786852.0799999"/>
  </r>
  <r>
    <x v="2"/>
    <s v="Model Y"/>
    <n v="2020"/>
    <x v="0"/>
    <n v="96390.76"/>
    <n v="80.400000000000006"/>
    <n v="287"/>
    <n v="160"/>
    <s v="Van"/>
    <n v="4"/>
    <x v="0"/>
    <n v="498047"/>
    <n v="3.82"/>
    <n v="48007128845.719994"/>
  </r>
  <r>
    <x v="3"/>
    <s v="Atto 3"/>
    <n v="2020"/>
    <x v="1"/>
    <n v="102787.75"/>
    <n v="92.6"/>
    <n v="323"/>
    <n v="194"/>
    <s v="Van"/>
    <n v="4"/>
    <x v="1"/>
    <n v="117639"/>
    <n v="3.79"/>
    <n v="12091848122.25"/>
  </r>
  <r>
    <x v="5"/>
    <s v="Niro EV"/>
    <n v="2020"/>
    <x v="2"/>
    <n v="46532.99"/>
    <n v="75.900000000000006"/>
    <n v="260"/>
    <n v="156"/>
    <s v="Van"/>
    <n v="4"/>
    <x v="2"/>
    <n v="63258"/>
    <n v="3.48"/>
    <n v="2943583881.4200001"/>
  </r>
  <r>
    <x v="3"/>
    <s v="Dolphin"/>
    <n v="2020"/>
    <x v="3"/>
    <n v="70472.75"/>
    <n v="66.3"/>
    <n v="241"/>
    <n v="138"/>
    <s v="Van"/>
    <n v="3"/>
    <x v="0"/>
    <n v="199656"/>
    <n v="3.4"/>
    <n v="14070307374"/>
  </r>
  <r>
    <x v="6"/>
    <s v="Ioniq 5"/>
    <n v="2020"/>
    <x v="3"/>
    <n v="50630.65"/>
    <n v="64"/>
    <n v="203"/>
    <n v="171"/>
    <s v="Hatchback"/>
    <n v="5"/>
    <x v="2"/>
    <n v="60112"/>
    <n v="3.39"/>
    <n v="3043509632.8000002"/>
  </r>
  <r>
    <x v="4"/>
    <s v="Q6 e-tron"/>
    <n v="2020"/>
    <x v="3"/>
    <n v="102595.23"/>
    <n v="84.1"/>
    <n v="278"/>
    <n v="128"/>
    <s v="Coupe"/>
    <n v="3"/>
    <x v="1"/>
    <n v="45569"/>
    <n v="3.67"/>
    <n v="4675162035.8699999"/>
  </r>
  <r>
    <x v="7"/>
    <s v="ID. Aero"/>
    <n v="2020"/>
    <x v="0"/>
    <n v="40762.980000000003"/>
    <n v="101.5"/>
    <n v="332"/>
    <n v="164"/>
    <s v="Coupe"/>
    <n v="4"/>
    <x v="2"/>
    <n v="220087"/>
    <n v="3.39"/>
    <n v="8971401979.2600002"/>
  </r>
  <r>
    <x v="0"/>
    <s v="bZ Compact SUV"/>
    <n v="2020"/>
    <x v="2"/>
    <n v="47569.79"/>
    <n v="41.5"/>
    <n v="160"/>
    <n v="133"/>
    <s v="SUV"/>
    <n v="4"/>
    <x v="2"/>
    <n v="28709"/>
    <n v="3.17"/>
    <n v="1365681101.1100001"/>
  </r>
  <r>
    <x v="3"/>
    <s v="Seagull"/>
    <n v="2020"/>
    <x v="0"/>
    <n v="48719.93"/>
    <n v="95.3"/>
    <n v="342"/>
    <n v="166"/>
    <s v="Coupe"/>
    <n v="4"/>
    <x v="2"/>
    <n v="158941"/>
    <n v="3.72"/>
    <n v="7743594394.1300001"/>
  </r>
  <r>
    <x v="8"/>
    <s v="F-150 Lightning"/>
    <n v="2020"/>
    <x v="0"/>
    <n v="67768.09"/>
    <n v="83.3"/>
    <n v="291"/>
    <n v="173"/>
    <s v="Truck"/>
    <n v="5"/>
    <x v="0"/>
    <n v="25258"/>
    <n v="3.54"/>
    <n v="1711686417.22"/>
  </r>
  <r>
    <x v="5"/>
    <s v="Picanto EV"/>
    <n v="2020"/>
    <x v="2"/>
    <n v="44609.33"/>
    <n v="80.3"/>
    <n v="255"/>
    <n v="155"/>
    <s v="Sedan"/>
    <n v="4"/>
    <x v="2"/>
    <n v="62067"/>
    <n v="3.61"/>
    <n v="2768767285.1100001"/>
  </r>
  <r>
    <x v="3"/>
    <s v="Qin"/>
    <n v="2020"/>
    <x v="0"/>
    <n v="36752.050000000003"/>
    <n v="84.7"/>
    <n v="308"/>
    <n v="189"/>
    <s v="Sedan"/>
    <n v="4"/>
    <x v="2"/>
    <n v="178041"/>
    <n v="3.55"/>
    <n v="6543371734.0500002"/>
  </r>
  <r>
    <x v="5"/>
    <s v="Sportage EV"/>
    <n v="2020"/>
    <x v="3"/>
    <n v="26731.95"/>
    <n v="75.8"/>
    <n v="257"/>
    <n v="160"/>
    <s v="SUV"/>
    <n v="5"/>
    <x v="3"/>
    <n v="147499"/>
    <n v="3.27"/>
    <n v="3942935893.0500002"/>
  </r>
  <r>
    <x v="9"/>
    <s v="i5"/>
    <n v="2020"/>
    <x v="2"/>
    <n v="93337.36"/>
    <n v="72.7"/>
    <n v="232"/>
    <n v="176"/>
    <s v="Truck"/>
    <n v="5"/>
    <x v="0"/>
    <n v="25170"/>
    <n v="3.43"/>
    <n v="2349301351.1999998"/>
  </r>
  <r>
    <x v="2"/>
    <s v="Model S"/>
    <n v="2020"/>
    <x v="1"/>
    <n v="164703.81"/>
    <n v="113.2"/>
    <n v="397"/>
    <n v="187"/>
    <s v="Sedan"/>
    <n v="5"/>
    <x v="1"/>
    <n v="159470"/>
    <n v="4.1100000000000003"/>
    <n v="26265316580.700001"/>
  </r>
  <r>
    <x v="2"/>
    <s v="Model 3"/>
    <n v="2020"/>
    <x v="0"/>
    <n v="65735.100000000006"/>
    <n v="91.3"/>
    <n v="319"/>
    <n v="178"/>
    <s v="Coupe"/>
    <n v="3"/>
    <x v="0"/>
    <n v="120134"/>
    <n v="4.09"/>
    <n v="7897020503.4000006"/>
  </r>
  <r>
    <x v="10"/>
    <s v="Polestar 2"/>
    <n v="2020"/>
    <x v="2"/>
    <n v="82455.28"/>
    <n v="57.3"/>
    <n v="204"/>
    <n v="156"/>
    <s v="Van"/>
    <n v="4"/>
    <x v="0"/>
    <n v="12945"/>
    <n v="3.41"/>
    <n v="1067383599.6"/>
  </r>
  <r>
    <x v="0"/>
    <s v="bZ Compact SUV"/>
    <n v="2020"/>
    <x v="2"/>
    <n v="30416.52"/>
    <n v="72.2"/>
    <n v="257"/>
    <n v="153"/>
    <s v="SUV"/>
    <n v="4"/>
    <x v="3"/>
    <n v="15941"/>
    <n v="3.54"/>
    <n v="484869745.31999999"/>
  </r>
  <r>
    <x v="9"/>
    <s v="i7"/>
    <n v="2020"/>
    <x v="4"/>
    <n v="84308.51"/>
    <n v="76.3"/>
    <n v="242"/>
    <n v="144"/>
    <s v="Truck"/>
    <n v="5"/>
    <x v="0"/>
    <n v="53466"/>
    <n v="3.48"/>
    <n v="4507638795.6599998"/>
  </r>
  <r>
    <x v="6"/>
    <s v="Ioniq"/>
    <n v="2020"/>
    <x v="1"/>
    <n v="74306.48"/>
    <n v="85.9"/>
    <n v="286"/>
    <n v="200"/>
    <s v="Truck"/>
    <n v="5"/>
    <x v="0"/>
    <n v="113130"/>
    <n v="3.67"/>
    <n v="8406292082.3999996"/>
  </r>
  <r>
    <x v="8"/>
    <s v="E-Transit"/>
    <n v="2020"/>
    <x v="3"/>
    <n v="62155.3"/>
    <n v="60.7"/>
    <n v="186"/>
    <n v="161"/>
    <s v="Van"/>
    <n v="5"/>
    <x v="2"/>
    <n v="60595"/>
    <n v="3.4"/>
    <n v="3766300403.5"/>
  </r>
  <r>
    <x v="5"/>
    <s v="EV9"/>
    <n v="2020"/>
    <x v="0"/>
    <n v="70023.960000000006"/>
    <n v="107.3"/>
    <n v="379"/>
    <n v="190"/>
    <s v="SUV"/>
    <n v="5"/>
    <x v="0"/>
    <n v="63318"/>
    <n v="3.7"/>
    <n v="4433777099.2800007"/>
  </r>
  <r>
    <x v="3"/>
    <s v="Seagull"/>
    <n v="2020"/>
    <x v="1"/>
    <n v="61584.07"/>
    <n v="117"/>
    <n v="409"/>
    <n v="196"/>
    <s v="Sedan"/>
    <n v="5"/>
    <x v="2"/>
    <n v="190643"/>
    <n v="3.93"/>
    <n v="11740571857.01"/>
  </r>
  <r>
    <x v="5"/>
    <s v="EV6"/>
    <n v="2020"/>
    <x v="3"/>
    <n v="29338.85"/>
    <n v="40.5"/>
    <n v="157"/>
    <n v="165"/>
    <s v="SUV"/>
    <n v="4"/>
    <x v="3"/>
    <n v="61921"/>
    <n v="3.18"/>
    <n v="1816690930.8499999"/>
  </r>
  <r>
    <x v="7"/>
    <s v="ID.4"/>
    <n v="2020"/>
    <x v="4"/>
    <n v="48608.56"/>
    <n v="41.4"/>
    <n v="163"/>
    <n v="175"/>
    <s v="Truck"/>
    <n v="5"/>
    <x v="2"/>
    <n v="221203"/>
    <n v="3.43"/>
    <n v="10752359297.68"/>
  </r>
  <r>
    <x v="9"/>
    <s v="i5"/>
    <n v="2020"/>
    <x v="3"/>
    <n v="94185.600000000006"/>
    <n v="41.2"/>
    <n v="150"/>
    <n v="159"/>
    <s v="Coupe"/>
    <n v="4"/>
    <x v="0"/>
    <n v="43577"/>
    <n v="3.37"/>
    <n v="4104325891.2000003"/>
  </r>
  <r>
    <x v="11"/>
    <s v="R2"/>
    <n v="2020"/>
    <x v="3"/>
    <n v="74902.509999999995"/>
    <n v="63.7"/>
    <n v="219"/>
    <n v="142"/>
    <s v="Coupe"/>
    <n v="4"/>
    <x v="0"/>
    <n v="16890"/>
    <n v="3.32"/>
    <n v="1265103393.8999999"/>
  </r>
  <r>
    <x v="11"/>
    <s v="R1T"/>
    <n v="2020"/>
    <x v="2"/>
    <n v="64055.95"/>
    <n v="77.900000000000006"/>
    <n v="280"/>
    <n v="136"/>
    <s v="Truck"/>
    <n v="5"/>
    <x v="2"/>
    <n v="12678"/>
    <n v="3.7"/>
    <n v="812101334.0999999"/>
  </r>
  <r>
    <x v="7"/>
    <s v="ID.4"/>
    <n v="2020"/>
    <x v="2"/>
    <n v="27139.23"/>
    <n v="78.900000000000006"/>
    <n v="261"/>
    <n v="130"/>
    <s v="Hatchback"/>
    <n v="4"/>
    <x v="3"/>
    <n v="271891"/>
    <n v="3.57"/>
    <n v="7378912383.9300003"/>
  </r>
  <r>
    <x v="7"/>
    <s v="ID.3"/>
    <n v="2020"/>
    <x v="0"/>
    <n v="81317.3"/>
    <n v="77.900000000000006"/>
    <n v="298"/>
    <n v="182"/>
    <s v="Truck"/>
    <n v="4"/>
    <x v="0"/>
    <n v="205086"/>
    <n v="3.62"/>
    <n v="16677039787.800001"/>
  </r>
  <r>
    <x v="5"/>
    <s v="Picanto EV"/>
    <n v="2020"/>
    <x v="1"/>
    <n v="51182.15"/>
    <n v="115.1"/>
    <n v="444"/>
    <n v="200"/>
    <s v="Van"/>
    <n v="5"/>
    <x v="2"/>
    <n v="106543"/>
    <n v="3.82"/>
    <n v="5453099807.4499998"/>
  </r>
  <r>
    <x v="7"/>
    <s v="ID. Buzz"/>
    <n v="2020"/>
    <x v="3"/>
    <n v="72240.69"/>
    <n v="59.6"/>
    <n v="178"/>
    <n v="143"/>
    <s v="Sedan"/>
    <n v="4"/>
    <x v="0"/>
    <n v="255858"/>
    <n v="3.29"/>
    <n v="18483358462.02"/>
  </r>
  <r>
    <x v="5"/>
    <s v="EV9"/>
    <n v="2020"/>
    <x v="2"/>
    <n v="33055.17"/>
    <n v="58.2"/>
    <n v="200"/>
    <n v="158"/>
    <s v="SUV"/>
    <n v="4"/>
    <x v="3"/>
    <n v="139463"/>
    <n v="3.31"/>
    <n v="4609973173.71"/>
  </r>
  <r>
    <x v="12"/>
    <s v="Silverado EV"/>
    <n v="2020"/>
    <x v="0"/>
    <n v="45327.78"/>
    <n v="86.2"/>
    <n v="305"/>
    <n v="174"/>
    <s v="Coupe"/>
    <n v="4"/>
    <x v="2"/>
    <n v="20824"/>
    <n v="3.63"/>
    <n v="943905690.72000003"/>
  </r>
  <r>
    <x v="5"/>
    <s v="Niro EV"/>
    <n v="2021"/>
    <x v="4"/>
    <n v="80530.570000000007"/>
    <n v="54.6"/>
    <n v="184"/>
    <n v="137"/>
    <s v="Hatchback"/>
    <n v="3"/>
    <x v="0"/>
    <n v="90830"/>
    <n v="3.11"/>
    <n v="7314591673.1000004"/>
  </r>
  <r>
    <x v="7"/>
    <s v="ID.3"/>
    <n v="2021"/>
    <x v="0"/>
    <n v="52966.98"/>
    <n v="96.8"/>
    <n v="311"/>
    <n v="171"/>
    <s v="Coupe"/>
    <n v="5"/>
    <x v="2"/>
    <n v="232633"/>
    <n v="3.55"/>
    <n v="12321867458.34"/>
  </r>
  <r>
    <x v="11"/>
    <s v="R3"/>
    <n v="2021"/>
    <x v="2"/>
    <n v="60978.95"/>
    <n v="84.5"/>
    <n v="304"/>
    <n v="153"/>
    <s v="Hatchback"/>
    <n v="5"/>
    <x v="2"/>
    <n v="7599"/>
    <n v="3.41"/>
    <n v="463379041.04999995"/>
  </r>
  <r>
    <x v="6"/>
    <s v="Ioniq"/>
    <n v="2021"/>
    <x v="4"/>
    <n v="81529.22"/>
    <n v="52"/>
    <n v="173"/>
    <n v="175"/>
    <s v="Truck"/>
    <n v="4"/>
    <x v="0"/>
    <n v="137712"/>
    <n v="3.33"/>
    <n v="11227551944.639999"/>
  </r>
  <r>
    <x v="3"/>
    <s v="Qin"/>
    <n v="2021"/>
    <x v="3"/>
    <n v="47541.74"/>
    <n v="75.3"/>
    <n v="274"/>
    <n v="133"/>
    <s v="SUV"/>
    <n v="3"/>
    <x v="2"/>
    <n v="230454"/>
    <n v="3.4"/>
    <n v="10956184149.959999"/>
  </r>
  <r>
    <x v="2"/>
    <s v="Cybertruck"/>
    <n v="2021"/>
    <x v="2"/>
    <n v="98646.080000000002"/>
    <n v="76"/>
    <n v="242"/>
    <n v="143"/>
    <s v="Truck"/>
    <n v="5"/>
    <x v="0"/>
    <n v="235244"/>
    <n v="3.9"/>
    <n v="23205898443.52"/>
  </r>
  <r>
    <x v="5"/>
    <s v="EV6"/>
    <n v="2021"/>
    <x v="0"/>
    <n v="66633.95"/>
    <n v="75.099999999999994"/>
    <n v="272"/>
    <n v="170"/>
    <s v="Coupe"/>
    <n v="5"/>
    <x v="0"/>
    <n v="57850"/>
    <n v="3.25"/>
    <n v="3854774007.5"/>
  </r>
  <r>
    <x v="9"/>
    <s v="i5"/>
    <n v="2021"/>
    <x v="3"/>
    <n v="94181.96"/>
    <n v="40.799999999999997"/>
    <n v="160"/>
    <n v="176"/>
    <s v="Coupe"/>
    <n v="5"/>
    <x v="0"/>
    <n v="79673"/>
    <n v="3.08"/>
    <n v="7503759299.0800009"/>
  </r>
  <r>
    <x v="7"/>
    <s v="ID.4"/>
    <n v="2021"/>
    <x v="4"/>
    <n v="107417.79"/>
    <n v="54.2"/>
    <n v="201"/>
    <n v="176"/>
    <s v="Hatchback"/>
    <n v="5"/>
    <x v="1"/>
    <n v="254098"/>
    <n v="3.37"/>
    <n v="27294645603.419998"/>
  </r>
  <r>
    <x v="4"/>
    <s v="e-tron GT"/>
    <n v="2021"/>
    <x v="2"/>
    <n v="80311.97"/>
    <n v="74.599999999999994"/>
    <n v="241"/>
    <n v="157"/>
    <s v="Sedan"/>
    <n v="5"/>
    <x v="0"/>
    <n v="55803"/>
    <n v="3.52"/>
    <n v="4481648861.9099998"/>
  </r>
  <r>
    <x v="13"/>
    <s v="EQE"/>
    <n v="2021"/>
    <x v="1"/>
    <n v="165233.4"/>
    <n v="100.3"/>
    <n v="329"/>
    <n v="194"/>
    <s v="Van"/>
    <n v="4"/>
    <x v="1"/>
    <n v="35726"/>
    <n v="3.78"/>
    <n v="5903128448.3999996"/>
  </r>
  <r>
    <x v="8"/>
    <s v="Explorer EV"/>
    <n v="2021"/>
    <x v="0"/>
    <n v="77562.36"/>
    <n v="104.2"/>
    <n v="348"/>
    <n v="156"/>
    <s v="Hatchback"/>
    <n v="4"/>
    <x v="0"/>
    <n v="27293"/>
    <n v="3.54"/>
    <n v="2116909491.48"/>
  </r>
  <r>
    <x v="8"/>
    <s v="F-150 Lightning"/>
    <n v="2021"/>
    <x v="2"/>
    <n v="63458.62"/>
    <n v="66.8"/>
    <n v="253"/>
    <n v="136"/>
    <s v="Truck"/>
    <n v="4"/>
    <x v="2"/>
    <n v="76517"/>
    <n v="3.4"/>
    <n v="4855663226.54"/>
  </r>
  <r>
    <x v="2"/>
    <s v="Model X"/>
    <n v="2021"/>
    <x v="3"/>
    <n v="27945.8"/>
    <n v="48.4"/>
    <n v="157"/>
    <n v="149"/>
    <s v="Hatchback"/>
    <n v="5"/>
    <x v="3"/>
    <n v="162791"/>
    <n v="3.38"/>
    <n v="4549324727.8000002"/>
  </r>
  <r>
    <x v="3"/>
    <s v="Seagull"/>
    <n v="2021"/>
    <x v="3"/>
    <n v="73231.02"/>
    <n v="46.1"/>
    <n v="166"/>
    <n v="141"/>
    <s v="Sedan"/>
    <n v="4"/>
    <x v="0"/>
    <n v="227938"/>
    <n v="3.21"/>
    <n v="16692132236.76"/>
  </r>
  <r>
    <x v="2"/>
    <s v="Model Y"/>
    <n v="2021"/>
    <x v="3"/>
    <n v="49771.040000000001"/>
    <n v="62.5"/>
    <n v="225"/>
    <n v="175"/>
    <s v="Coupe"/>
    <n v="3"/>
    <x v="2"/>
    <n v="483023"/>
    <n v="3.69"/>
    <n v="24040557053.920002"/>
  </r>
  <r>
    <x v="12"/>
    <s v="Bolt EUV"/>
    <n v="2021"/>
    <x v="3"/>
    <n v="44183.28"/>
    <n v="58.8"/>
    <n v="207"/>
    <n v="169"/>
    <s v="Van"/>
    <n v="5"/>
    <x v="2"/>
    <n v="22786"/>
    <n v="3.51"/>
    <n v="1006760218.0799999"/>
  </r>
  <r>
    <x v="3"/>
    <s v="Leaf 50X"/>
    <n v="2021"/>
    <x v="4"/>
    <n v="32842.629999999997"/>
    <n v="55.1"/>
    <n v="180"/>
    <n v="139"/>
    <s v="SUV"/>
    <n v="4"/>
    <x v="3"/>
    <n v="173134"/>
    <n v="3.1"/>
    <n v="5686175902.4199991"/>
  </r>
  <r>
    <x v="5"/>
    <s v="Niro EV"/>
    <n v="2021"/>
    <x v="4"/>
    <n v="101333.39"/>
    <n v="70.5"/>
    <n v="249"/>
    <n v="170"/>
    <s v="Van"/>
    <n v="4"/>
    <x v="1"/>
    <n v="89918"/>
    <n v="3.29"/>
    <n v="9111695762.0200005"/>
  </r>
  <r>
    <x v="3"/>
    <s v="Leaf 50X"/>
    <n v="2021"/>
    <x v="1"/>
    <n v="86937.42"/>
    <n v="114.7"/>
    <n v="426"/>
    <n v="200"/>
    <s v="Sedan"/>
    <n v="5"/>
    <x v="0"/>
    <n v="145646"/>
    <n v="4.13"/>
    <n v="12662087473.32"/>
  </r>
  <r>
    <x v="5"/>
    <s v="EV9"/>
    <n v="2021"/>
    <x v="0"/>
    <n v="60641.55"/>
    <n v="109.9"/>
    <n v="404"/>
    <n v="168"/>
    <s v="SUV"/>
    <n v="5"/>
    <x v="2"/>
    <n v="116742"/>
    <n v="3.9"/>
    <n v="7079415830.1000004"/>
  </r>
  <r>
    <x v="3"/>
    <s v="Leaf 50X"/>
    <n v="2021"/>
    <x v="2"/>
    <n v="44708.41"/>
    <n v="55.8"/>
    <n v="204"/>
    <n v="146"/>
    <s v="Hatchback"/>
    <n v="4"/>
    <x v="2"/>
    <n v="132992"/>
    <n v="3.34"/>
    <n v="5945860862.7200003"/>
  </r>
  <r>
    <x v="9"/>
    <s v="iX"/>
    <n v="2021"/>
    <x v="1"/>
    <n v="122478.25"/>
    <n v="85.4"/>
    <n v="288"/>
    <n v="194"/>
    <s v="Hatchback"/>
    <n v="3"/>
    <x v="1"/>
    <n v="61194"/>
    <n v="3.64"/>
    <n v="7494934030.5"/>
  </r>
  <r>
    <x v="2"/>
    <s v="Model S"/>
    <n v="2021"/>
    <x v="4"/>
    <n v="108109.05"/>
    <n v="82.6"/>
    <n v="273"/>
    <n v="128"/>
    <s v="Van"/>
    <n v="4"/>
    <x v="1"/>
    <n v="201131"/>
    <n v="3.9"/>
    <n v="21744081335.549999"/>
  </r>
  <r>
    <x v="7"/>
    <s v="ID. Aero"/>
    <n v="2021"/>
    <x v="0"/>
    <n v="76214.899999999994"/>
    <n v="92.3"/>
    <n v="348"/>
    <n v="172"/>
    <s v="Truck"/>
    <n v="5"/>
    <x v="0"/>
    <n v="249899"/>
    <n v="3.71"/>
    <n v="19046027295.099998"/>
  </r>
  <r>
    <x v="2"/>
    <s v="Model S"/>
    <n v="2021"/>
    <x v="2"/>
    <n v="109935.85"/>
    <n v="84.2"/>
    <n v="288"/>
    <n v="127"/>
    <s v="Truck"/>
    <n v="4"/>
    <x v="1"/>
    <n v="117148"/>
    <n v="3.95"/>
    <n v="12878764955.800001"/>
  </r>
  <r>
    <x v="2"/>
    <s v="Model 3"/>
    <n v="2021"/>
    <x v="3"/>
    <n v="24979.98"/>
    <n v="81.099999999999994"/>
    <n v="271"/>
    <n v="135"/>
    <s v="Hatchback"/>
    <n v="5"/>
    <x v="3"/>
    <n v="132068"/>
    <n v="3.73"/>
    <n v="3299055998.6399999"/>
  </r>
  <r>
    <x v="3"/>
    <s v="Seagull"/>
    <n v="2021"/>
    <x v="2"/>
    <n v="53782.86"/>
    <n v="84.7"/>
    <n v="314"/>
    <n v="169"/>
    <s v="Van"/>
    <n v="4"/>
    <x v="2"/>
    <n v="162990"/>
    <n v="3.75"/>
    <n v="8766068351.3999996"/>
  </r>
  <r>
    <x v="9"/>
    <s v="iX"/>
    <n v="2021"/>
    <x v="3"/>
    <n v="82329.27"/>
    <n v="71.8"/>
    <n v="258"/>
    <n v="150"/>
    <s v="Hatchback"/>
    <n v="4"/>
    <x v="0"/>
    <n v="59553"/>
    <n v="3.74"/>
    <n v="4902955016.3100004"/>
  </r>
  <r>
    <x v="3"/>
    <s v="Atto 3"/>
    <n v="2021"/>
    <x v="1"/>
    <n v="91712.12"/>
    <n v="80.099999999999994"/>
    <n v="268"/>
    <n v="193"/>
    <s v="Hatchback"/>
    <n v="5"/>
    <x v="0"/>
    <n v="177248"/>
    <n v="3.63"/>
    <n v="16255789845.759998"/>
  </r>
  <r>
    <x v="9"/>
    <s v="i5"/>
    <n v="2021"/>
    <x v="4"/>
    <n v="139020.51"/>
    <n v="63.5"/>
    <n v="232"/>
    <n v="131"/>
    <s v="Truck"/>
    <n v="5"/>
    <x v="1"/>
    <n v="48199"/>
    <n v="3.44"/>
    <n v="6700649561.4900007"/>
  </r>
  <r>
    <x v="7"/>
    <s v="ID. Aero"/>
    <n v="2021"/>
    <x v="3"/>
    <n v="60392.45"/>
    <n v="68"/>
    <n v="225"/>
    <n v="137"/>
    <s v="Truck"/>
    <n v="3"/>
    <x v="2"/>
    <n v="256880"/>
    <n v="3.23"/>
    <n v="15513612556"/>
  </r>
  <r>
    <x v="2"/>
    <s v="Model X"/>
    <n v="2021"/>
    <x v="4"/>
    <n v="97027.76"/>
    <n v="71.400000000000006"/>
    <n v="235"/>
    <n v="150"/>
    <s v="Van"/>
    <n v="4"/>
    <x v="0"/>
    <n v="229836"/>
    <n v="3.91"/>
    <n v="22300472247.360001"/>
  </r>
  <r>
    <x v="5"/>
    <s v="Niro EV"/>
    <n v="2021"/>
    <x v="1"/>
    <n v="51783.96"/>
    <n v="99.9"/>
    <n v="345"/>
    <n v="197"/>
    <s v="SUV"/>
    <n v="5"/>
    <x v="2"/>
    <n v="94100"/>
    <n v="3.93"/>
    <n v="4872870636"/>
  </r>
  <r>
    <x v="9"/>
    <s v="i3"/>
    <n v="2021"/>
    <x v="0"/>
    <n v="102095.14"/>
    <n v="106.5"/>
    <n v="364"/>
    <n v="178"/>
    <s v="Coupe"/>
    <n v="4"/>
    <x v="1"/>
    <n v="29444"/>
    <n v="3.44"/>
    <n v="3006089302.1599998"/>
  </r>
  <r>
    <x v="4"/>
    <s v="e-tron"/>
    <n v="2021"/>
    <x v="1"/>
    <n v="119078.45"/>
    <n v="118.6"/>
    <n v="396"/>
    <n v="200"/>
    <s v="Coupe"/>
    <n v="5"/>
    <x v="1"/>
    <n v="62009"/>
    <n v="3.84"/>
    <n v="7383935606.0500002"/>
  </r>
  <r>
    <x v="3"/>
    <s v="Dolphin"/>
    <n v="2021"/>
    <x v="1"/>
    <n v="43985.87"/>
    <n v="97.2"/>
    <n v="348"/>
    <n v="200"/>
    <s v="Coupe"/>
    <n v="4"/>
    <x v="2"/>
    <n v="213365"/>
    <n v="3.76"/>
    <n v="9385045152.5500011"/>
  </r>
  <r>
    <x v="14"/>
    <s v="EL8"/>
    <n v="2021"/>
    <x v="0"/>
    <n v="55221.99"/>
    <n v="108.2"/>
    <n v="383"/>
    <n v="187"/>
    <s v="Coupe"/>
    <n v="4"/>
    <x v="2"/>
    <n v="7302"/>
    <n v="3.7"/>
    <n v="403230970.97999996"/>
  </r>
  <r>
    <x v="12"/>
    <s v="Silverado EV"/>
    <n v="2021"/>
    <x v="4"/>
    <n v="53395.89"/>
    <n v="42.6"/>
    <n v="150"/>
    <n v="163"/>
    <s v="Sedan"/>
    <n v="4"/>
    <x v="2"/>
    <n v="1550"/>
    <n v="3.22"/>
    <n v="82763629.5"/>
  </r>
  <r>
    <x v="5"/>
    <s v="Picanto EV"/>
    <n v="2021"/>
    <x v="1"/>
    <n v="106510.25"/>
    <n v="75.099999999999994"/>
    <n v="275"/>
    <n v="200"/>
    <s v="Van"/>
    <n v="5"/>
    <x v="1"/>
    <n v="120403"/>
    <n v="3.37"/>
    <n v="12824153630.75"/>
  </r>
  <r>
    <x v="13"/>
    <s v="EQE"/>
    <n v="2021"/>
    <x v="3"/>
    <n v="115665.62"/>
    <n v="57.4"/>
    <n v="162"/>
    <n v="169"/>
    <s v="Hatchback"/>
    <n v="4"/>
    <x v="1"/>
    <n v="25083"/>
    <n v="3.26"/>
    <n v="2901240746.46"/>
  </r>
  <r>
    <x v="12"/>
    <s v="Bolt EUV"/>
    <n v="2021"/>
    <x v="2"/>
    <n v="40119.64"/>
    <n v="79"/>
    <n v="282"/>
    <n v="141"/>
    <s v="SUV"/>
    <n v="5"/>
    <x v="2"/>
    <n v="25340"/>
    <n v="3.36"/>
    <n v="1016631677.6"/>
  </r>
  <r>
    <x v="9"/>
    <s v="i7"/>
    <n v="2021"/>
    <x v="0"/>
    <n v="75380.59"/>
    <n v="109"/>
    <n v="366"/>
    <n v="181"/>
    <s v="SUV"/>
    <n v="4"/>
    <x v="0"/>
    <n v="62356"/>
    <n v="3.91"/>
    <n v="4700432070.04"/>
  </r>
  <r>
    <x v="5"/>
    <s v="EV9"/>
    <n v="2021"/>
    <x v="3"/>
    <n v="32210.63"/>
    <n v="78.099999999999994"/>
    <n v="270"/>
    <n v="137"/>
    <s v="SUV"/>
    <n v="5"/>
    <x v="3"/>
    <n v="60096"/>
    <n v="3.21"/>
    <n v="1935730020.48"/>
  </r>
  <r>
    <x v="3"/>
    <s v="Seagull"/>
    <n v="2021"/>
    <x v="1"/>
    <n v="106411.54"/>
    <n v="95.1"/>
    <n v="346"/>
    <n v="200"/>
    <s v="Van"/>
    <n v="5"/>
    <x v="1"/>
    <n v="180190"/>
    <n v="3.58"/>
    <n v="19174295392.599998"/>
  </r>
  <r>
    <x v="11"/>
    <s v="R1T"/>
    <n v="2021"/>
    <x v="3"/>
    <n v="75009.919999999998"/>
    <n v="69.099999999999994"/>
    <n v="263"/>
    <n v="141"/>
    <s v="Truck"/>
    <n v="5"/>
    <x v="0"/>
    <n v="1899"/>
    <n v="3.57"/>
    <n v="142443838.07999998"/>
  </r>
  <r>
    <x v="7"/>
    <s v="ID. Aero"/>
    <n v="2021"/>
    <x v="1"/>
    <n v="102347.9"/>
    <n v="83.8"/>
    <n v="290"/>
    <n v="200"/>
    <s v="SUV"/>
    <n v="5"/>
    <x v="1"/>
    <n v="251849"/>
    <n v="3.65"/>
    <n v="25776216267.099998"/>
  </r>
  <r>
    <x v="3"/>
    <s v="Yuan Plus"/>
    <n v="2021"/>
    <x v="2"/>
    <n v="24412.01"/>
    <n v="82.7"/>
    <n v="290"/>
    <n v="152"/>
    <s v="Truck"/>
    <n v="5"/>
    <x v="3"/>
    <n v="206262"/>
    <n v="3.68"/>
    <n v="5035270006.6199999"/>
  </r>
  <r>
    <x v="15"/>
    <s v="Macan Electric"/>
    <n v="2021"/>
    <x v="3"/>
    <n v="163150.51999999999"/>
    <n v="73.900000000000006"/>
    <n v="281"/>
    <n v="137"/>
    <s v="Van"/>
    <n v="5"/>
    <x v="1"/>
    <n v="2340"/>
    <n v="4.03"/>
    <n v="381772216.79999995"/>
  </r>
  <r>
    <x v="5"/>
    <s v="EV6"/>
    <n v="2021"/>
    <x v="4"/>
    <n v="91322.04"/>
    <n v="65.900000000000006"/>
    <n v="229"/>
    <n v="156"/>
    <s v="SUV"/>
    <n v="4"/>
    <x v="0"/>
    <n v="103135"/>
    <n v="3.43"/>
    <n v="9418498595.3999996"/>
  </r>
  <r>
    <x v="2"/>
    <s v="Model Y"/>
    <n v="2021"/>
    <x v="3"/>
    <n v="116565.3"/>
    <n v="80.7"/>
    <n v="282"/>
    <n v="136"/>
    <s v="Sedan"/>
    <n v="5"/>
    <x v="1"/>
    <n v="458264"/>
    <n v="3.95"/>
    <n v="53417680639.200005"/>
  </r>
  <r>
    <x v="9"/>
    <s v="i3"/>
    <n v="2021"/>
    <x v="4"/>
    <n v="119496.22"/>
    <n v="73.8"/>
    <n v="254"/>
    <n v="133"/>
    <s v="Van"/>
    <n v="5"/>
    <x v="1"/>
    <n v="47944"/>
    <n v="3.44"/>
    <n v="5729126771.6800003"/>
  </r>
  <r>
    <x v="2"/>
    <s v="Model Y"/>
    <n v="2021"/>
    <x v="2"/>
    <n v="59816.02"/>
    <n v="58.9"/>
    <n v="204"/>
    <n v="157"/>
    <s v="Van"/>
    <n v="4"/>
    <x v="2"/>
    <n v="446207"/>
    <n v="3.67"/>
    <n v="26690326836.139999"/>
  </r>
  <r>
    <x v="3"/>
    <s v="Seagull"/>
    <n v="2021"/>
    <x v="1"/>
    <n v="99786.36"/>
    <n v="108.9"/>
    <n v="369"/>
    <n v="200"/>
    <s v="Sedan"/>
    <n v="5"/>
    <x v="0"/>
    <n v="126447"/>
    <n v="3.92"/>
    <n v="12617685862.92"/>
  </r>
  <r>
    <x v="9"/>
    <s v="iX"/>
    <n v="2021"/>
    <x v="0"/>
    <n v="86702.14"/>
    <n v="97.3"/>
    <n v="331"/>
    <n v="176"/>
    <s v="SUV"/>
    <n v="3"/>
    <x v="0"/>
    <n v="40089"/>
    <n v="3.69"/>
    <n v="3475802090.46"/>
  </r>
  <r>
    <x v="2"/>
    <s v="Model Y"/>
    <n v="2021"/>
    <x v="4"/>
    <n v="60365.37"/>
    <n v="70.3"/>
    <n v="225"/>
    <n v="155"/>
    <s v="Sedan"/>
    <n v="5"/>
    <x v="2"/>
    <n v="438670"/>
    <n v="3.68"/>
    <n v="26480476857.900002"/>
  </r>
  <r>
    <x v="6"/>
    <s v="Ioniq"/>
    <n v="2021"/>
    <x v="3"/>
    <n v="33847.360000000001"/>
    <n v="58.9"/>
    <n v="209"/>
    <n v="158"/>
    <s v="Sedan"/>
    <n v="3"/>
    <x v="3"/>
    <n v="145242"/>
    <n v="3.32"/>
    <n v="4916058261.1199999"/>
  </r>
  <r>
    <x v="6"/>
    <s v="Ioniq"/>
    <n v="2021"/>
    <x v="1"/>
    <n v="54289.29"/>
    <n v="101.8"/>
    <n v="323"/>
    <n v="196"/>
    <s v="Hatchback"/>
    <n v="4"/>
    <x v="2"/>
    <n v="110889"/>
    <n v="3.69"/>
    <n v="6020085078.8100004"/>
  </r>
  <r>
    <x v="9"/>
    <s v="i7"/>
    <n v="2021"/>
    <x v="2"/>
    <n v="76431.360000000001"/>
    <n v="47"/>
    <n v="150"/>
    <n v="160"/>
    <s v="Sedan"/>
    <n v="4"/>
    <x v="0"/>
    <n v="30267"/>
    <n v="3.08"/>
    <n v="2313347973.1199999"/>
  </r>
  <r>
    <x v="7"/>
    <s v="ID.4"/>
    <n v="2021"/>
    <x v="4"/>
    <n v="105115.96"/>
    <n v="73.099999999999994"/>
    <n v="242"/>
    <n v="143"/>
    <s v="Truck"/>
    <n v="4"/>
    <x v="1"/>
    <n v="297514"/>
    <n v="3.44"/>
    <n v="31273469723.440002"/>
  </r>
  <r>
    <x v="7"/>
    <s v="ID.5"/>
    <n v="2021"/>
    <x v="0"/>
    <n v="44741.31"/>
    <n v="93.3"/>
    <n v="312"/>
    <n v="186"/>
    <s v="Sedan"/>
    <n v="5"/>
    <x v="2"/>
    <n v="254746"/>
    <n v="3.41"/>
    <n v="11397669757.26"/>
  </r>
  <r>
    <x v="3"/>
    <s v="Qin"/>
    <n v="2021"/>
    <x v="2"/>
    <n v="25493.200000000001"/>
    <n v="79"/>
    <n v="290"/>
    <n v="147"/>
    <s v="SUV"/>
    <n v="4"/>
    <x v="3"/>
    <n v="203716"/>
    <n v="3.59"/>
    <n v="5193372731.1999998"/>
  </r>
  <r>
    <x v="7"/>
    <s v="ID. Buzz"/>
    <n v="2021"/>
    <x v="0"/>
    <n v="35869.49"/>
    <n v="82.6"/>
    <n v="267"/>
    <n v="165"/>
    <s v="Truck"/>
    <n v="3"/>
    <x v="2"/>
    <n v="202031"/>
    <n v="3.79"/>
    <n v="7246748934.1899996"/>
  </r>
  <r>
    <x v="2"/>
    <s v="Model S"/>
    <n v="2021"/>
    <x v="4"/>
    <n v="143043.07999999999"/>
    <n v="60"/>
    <n v="222"/>
    <n v="153"/>
    <s v="SUV"/>
    <n v="5"/>
    <x v="1"/>
    <n v="139115"/>
    <n v="3.55"/>
    <n v="19899438074.199997"/>
  </r>
  <r>
    <x v="2"/>
    <s v="Model X"/>
    <n v="2021"/>
    <x v="2"/>
    <n v="66814.080000000002"/>
    <n v="57.8"/>
    <n v="194"/>
    <n v="136"/>
    <s v="Truck"/>
    <n v="4"/>
    <x v="0"/>
    <n v="228985"/>
    <n v="3.76"/>
    <n v="15299422108.800001"/>
  </r>
  <r>
    <x v="12"/>
    <s v="Bolt EV"/>
    <n v="2021"/>
    <x v="1"/>
    <n v="47454.86"/>
    <n v="102.7"/>
    <n v="354"/>
    <n v="200"/>
    <s v="Van"/>
    <n v="4"/>
    <x v="2"/>
    <n v="7468"/>
    <n v="3.83"/>
    <n v="354392894.48000002"/>
  </r>
  <r>
    <x v="12"/>
    <s v="Equinox EV"/>
    <n v="2021"/>
    <x v="0"/>
    <n v="61755.21"/>
    <n v="79.099999999999994"/>
    <n v="270"/>
    <n v="165"/>
    <s v="SUV"/>
    <n v="5"/>
    <x v="2"/>
    <n v="9557"/>
    <n v="3.66"/>
    <n v="590194541.97000003"/>
  </r>
  <r>
    <x v="12"/>
    <s v="Bolt EV"/>
    <n v="2021"/>
    <x v="2"/>
    <n v="57965.58"/>
    <n v="67"/>
    <n v="237"/>
    <n v="159"/>
    <s v="Van"/>
    <n v="4"/>
    <x v="2"/>
    <n v="3168"/>
    <n v="3.49"/>
    <n v="183634957.44"/>
  </r>
  <r>
    <x v="3"/>
    <s v="Yuan Plus"/>
    <n v="2021"/>
    <x v="1"/>
    <n v="36438.81"/>
    <n v="91.3"/>
    <n v="319"/>
    <n v="192"/>
    <s v="Coupe"/>
    <n v="4"/>
    <x v="2"/>
    <n v="110969"/>
    <n v="3.76"/>
    <n v="4043578306.8899999"/>
  </r>
  <r>
    <x v="8"/>
    <s v="Explorer EV"/>
    <n v="2021"/>
    <x v="4"/>
    <n v="97933.8"/>
    <n v="43.7"/>
    <n v="150"/>
    <n v="142"/>
    <s v="SUV"/>
    <n v="4"/>
    <x v="0"/>
    <n v="45842"/>
    <n v="3.05"/>
    <n v="4489481259.6000004"/>
  </r>
  <r>
    <x v="11"/>
    <s v="R2"/>
    <n v="2021"/>
    <x v="1"/>
    <n v="113614.29"/>
    <n v="108.1"/>
    <n v="387"/>
    <n v="200"/>
    <s v="Hatchback"/>
    <n v="5"/>
    <x v="1"/>
    <n v="4505"/>
    <n v="3.89"/>
    <n v="511832376.44999999"/>
  </r>
  <r>
    <x v="2"/>
    <s v="Model X"/>
    <n v="2021"/>
    <x v="4"/>
    <n v="118010.78"/>
    <n v="64.7"/>
    <n v="229"/>
    <n v="141"/>
    <s v="Hatchback"/>
    <n v="4"/>
    <x v="1"/>
    <n v="177339"/>
    <n v="3.7"/>
    <n v="20927913714.419998"/>
  </r>
  <r>
    <x v="2"/>
    <s v="Model X"/>
    <n v="2021"/>
    <x v="0"/>
    <n v="118192.05"/>
    <n v="92.9"/>
    <n v="329"/>
    <n v="162"/>
    <s v="Coupe"/>
    <n v="5"/>
    <x v="1"/>
    <n v="123098"/>
    <n v="3.96"/>
    <n v="14549204970.9"/>
  </r>
  <r>
    <x v="2"/>
    <s v="Model S"/>
    <n v="2021"/>
    <x v="1"/>
    <n v="76847.7"/>
    <n v="116.8"/>
    <n v="418"/>
    <n v="197"/>
    <s v="Coupe"/>
    <n v="5"/>
    <x v="0"/>
    <n v="229674"/>
    <n v="4"/>
    <n v="17649918649.799999"/>
  </r>
  <r>
    <x v="2"/>
    <s v="Model X"/>
    <n v="2021"/>
    <x v="4"/>
    <n v="100894.61"/>
    <n v="84.8"/>
    <n v="304"/>
    <n v="161"/>
    <s v="SUV"/>
    <n v="5"/>
    <x v="1"/>
    <n v="201220"/>
    <n v="3.9"/>
    <n v="20302013424.200001"/>
  </r>
  <r>
    <x v="0"/>
    <s v="bZ4X"/>
    <n v="2021"/>
    <x v="1"/>
    <n v="93898.99"/>
    <n v="117.1"/>
    <n v="375"/>
    <n v="182"/>
    <s v="Coupe"/>
    <n v="5"/>
    <x v="0"/>
    <n v="29112"/>
    <n v="3.93"/>
    <n v="2733587396.8800001"/>
  </r>
  <r>
    <x v="13"/>
    <s v="GLE EV"/>
    <n v="2021"/>
    <x v="0"/>
    <n v="133886.35"/>
    <n v="108.5"/>
    <n v="379"/>
    <n v="159"/>
    <s v="Van"/>
    <n v="4"/>
    <x v="1"/>
    <n v="61011"/>
    <n v="4"/>
    <n v="8168540099.8500004"/>
  </r>
  <r>
    <x v="5"/>
    <s v="EV9"/>
    <n v="2021"/>
    <x v="0"/>
    <n v="56383.76"/>
    <n v="77.599999999999994"/>
    <n v="294"/>
    <n v="162"/>
    <s v="SUV"/>
    <n v="5"/>
    <x v="2"/>
    <n v="85632"/>
    <n v="3.6"/>
    <n v="4828254136.3200006"/>
  </r>
  <r>
    <x v="3"/>
    <s v="Dolphin"/>
    <n v="2021"/>
    <x v="4"/>
    <n v="107053.36"/>
    <n v="82.6"/>
    <n v="300"/>
    <n v="164"/>
    <s v="Coupe"/>
    <n v="3"/>
    <x v="1"/>
    <n v="216609"/>
    <n v="3.76"/>
    <n v="23188721256.240002"/>
  </r>
  <r>
    <x v="5"/>
    <s v="EV6"/>
    <n v="2021"/>
    <x v="4"/>
    <n v="36092.980000000003"/>
    <n v="41.6"/>
    <n v="150"/>
    <n v="170"/>
    <s v="SUV"/>
    <n v="5"/>
    <x v="2"/>
    <n v="73706"/>
    <n v="3"/>
    <n v="2660269183.8800001"/>
  </r>
  <r>
    <x v="7"/>
    <s v="ID.3"/>
    <n v="2021"/>
    <x v="0"/>
    <n v="70654.720000000001"/>
    <n v="88.4"/>
    <n v="317"/>
    <n v="163"/>
    <s v="Hatchback"/>
    <n v="4"/>
    <x v="0"/>
    <n v="211095"/>
    <n v="3.8"/>
    <n v="14914858118.4"/>
  </r>
  <r>
    <x v="13"/>
    <s v="GLE EV"/>
    <n v="2021"/>
    <x v="1"/>
    <n v="167760.51"/>
    <n v="110.2"/>
    <n v="367"/>
    <n v="189"/>
    <s v="Hatchback"/>
    <n v="5"/>
    <x v="1"/>
    <n v="66576"/>
    <n v="3.8"/>
    <n v="11168823713.76"/>
  </r>
  <r>
    <x v="2"/>
    <s v="Cybertruck"/>
    <n v="2021"/>
    <x v="2"/>
    <n v="64613.56"/>
    <n v="49.8"/>
    <n v="175"/>
    <n v="130"/>
    <s v="Truck"/>
    <n v="4"/>
    <x v="2"/>
    <n v="243316"/>
    <n v="3.49"/>
    <n v="15721512964.959999"/>
  </r>
  <r>
    <x v="3"/>
    <s v="Dolphin"/>
    <n v="2021"/>
    <x v="3"/>
    <n v="36671.61"/>
    <n v="51.7"/>
    <n v="195"/>
    <n v="166"/>
    <s v="Truck"/>
    <n v="4"/>
    <x v="2"/>
    <n v="112221"/>
    <n v="3.41"/>
    <n v="4115324745.8099999"/>
  </r>
  <r>
    <x v="12"/>
    <s v="Bolt EUV"/>
    <n v="2021"/>
    <x v="3"/>
    <n v="64473.77"/>
    <n v="77.599999999999994"/>
    <n v="293"/>
    <n v="143"/>
    <s v="Truck"/>
    <n v="4"/>
    <x v="2"/>
    <n v="9147"/>
    <n v="3.72"/>
    <n v="589741574.18999994"/>
  </r>
  <r>
    <x v="5"/>
    <s v="Sportage EV"/>
    <n v="2021"/>
    <x v="1"/>
    <n v="92296.55"/>
    <n v="118.8"/>
    <n v="403"/>
    <n v="197"/>
    <s v="SUV"/>
    <n v="5"/>
    <x v="0"/>
    <n v="79309"/>
    <n v="3.97"/>
    <n v="7319947083.9499998"/>
  </r>
  <r>
    <x v="16"/>
    <s v="SU7"/>
    <n v="2021"/>
    <x v="0"/>
    <n v="49221.78"/>
    <n v="80.400000000000006"/>
    <n v="266"/>
    <n v="176"/>
    <s v="Hatchback"/>
    <n v="5"/>
    <x v="2"/>
    <n v="23659"/>
    <n v="3.6"/>
    <n v="1164538093.02"/>
  </r>
  <r>
    <x v="3"/>
    <s v="Qin"/>
    <n v="2021"/>
    <x v="4"/>
    <n v="78313.97"/>
    <n v="76.099999999999994"/>
    <n v="270"/>
    <n v="135"/>
    <s v="Sedan"/>
    <n v="4"/>
    <x v="0"/>
    <n v="235914"/>
    <n v="3.5"/>
    <n v="18475361918.580002"/>
  </r>
  <r>
    <x v="12"/>
    <s v="Equinox EV"/>
    <n v="2021"/>
    <x v="1"/>
    <n v="65656.759999999995"/>
    <n v="86.5"/>
    <n v="340"/>
    <n v="190"/>
    <s v="SUV"/>
    <n v="5"/>
    <x v="0"/>
    <n v="12802"/>
    <n v="3.96"/>
    <n v="840537841.51999998"/>
  </r>
  <r>
    <x v="0"/>
    <s v="bZ Compact SUV"/>
    <n v="2022"/>
    <x v="4"/>
    <n v="48217.41"/>
    <n v="58.8"/>
    <n v="219"/>
    <n v="159"/>
    <s v="SUV"/>
    <n v="4"/>
    <x v="2"/>
    <n v="7146"/>
    <n v="3.56"/>
    <n v="344561611.86000001"/>
  </r>
  <r>
    <x v="2"/>
    <s v="Model 3"/>
    <n v="2022"/>
    <x v="0"/>
    <n v="144079.87"/>
    <n v="93.9"/>
    <n v="314"/>
    <n v="165"/>
    <s v="SUV"/>
    <n v="4"/>
    <x v="1"/>
    <n v="196401"/>
    <n v="3.83"/>
    <n v="28297430547.869999"/>
  </r>
  <r>
    <x v="15"/>
    <s v="Macan Electric"/>
    <n v="2022"/>
    <x v="0"/>
    <n v="101897.93"/>
    <n v="76.099999999999994"/>
    <n v="254"/>
    <n v="163"/>
    <s v="Truck"/>
    <n v="5"/>
    <x v="1"/>
    <n v="26972"/>
    <n v="3.68"/>
    <n v="2748390967.96"/>
  </r>
  <r>
    <x v="3"/>
    <s v="Qin"/>
    <n v="2022"/>
    <x v="3"/>
    <n v="37515.42"/>
    <n v="52.5"/>
    <n v="194"/>
    <n v="137"/>
    <s v="Truck"/>
    <n v="4"/>
    <x v="2"/>
    <n v="192045"/>
    <n v="3.31"/>
    <n v="7204648833.8999996"/>
  </r>
  <r>
    <x v="6"/>
    <s v="Kona Electric"/>
    <n v="2022"/>
    <x v="0"/>
    <n v="84513.62"/>
    <n v="109.9"/>
    <n v="400"/>
    <n v="165"/>
    <s v="Coupe"/>
    <n v="4"/>
    <x v="0"/>
    <n v="95418"/>
    <n v="3.69"/>
    <n v="8064120593.1599998"/>
  </r>
  <r>
    <x v="14"/>
    <s v="EL8"/>
    <n v="2022"/>
    <x v="2"/>
    <n v="53544.18"/>
    <n v="45"/>
    <n v="186"/>
    <n v="172"/>
    <s v="SUV"/>
    <n v="4"/>
    <x v="2"/>
    <n v="10495"/>
    <n v="3.38"/>
    <n v="561946169.10000002"/>
  </r>
  <r>
    <x v="1"/>
    <s v="Ocean"/>
    <n v="2022"/>
    <x v="0"/>
    <n v="59484.88"/>
    <n v="82.4"/>
    <n v="287"/>
    <n v="163"/>
    <s v="Hatchback"/>
    <n v="5"/>
    <x v="2"/>
    <n v="23860"/>
    <n v="3.43"/>
    <n v="1419309236.8"/>
  </r>
  <r>
    <x v="2"/>
    <s v="Model S"/>
    <n v="2022"/>
    <x v="0"/>
    <n v="133033.76"/>
    <n v="83.6"/>
    <n v="310"/>
    <n v="181"/>
    <s v="Coupe"/>
    <n v="5"/>
    <x v="1"/>
    <n v="213496"/>
    <n v="3.81"/>
    <n v="28402175624.960003"/>
  </r>
  <r>
    <x v="5"/>
    <s v="EV6"/>
    <n v="2022"/>
    <x v="2"/>
    <n v="59652.7"/>
    <n v="67.900000000000006"/>
    <n v="238"/>
    <n v="156"/>
    <s v="SUV"/>
    <n v="5"/>
    <x v="2"/>
    <n v="145797"/>
    <n v="3.55"/>
    <n v="8697184701.8999996"/>
  </r>
  <r>
    <x v="12"/>
    <s v="Blazer EV"/>
    <n v="2022"/>
    <x v="2"/>
    <n v="24572.41"/>
    <n v="46.5"/>
    <n v="182"/>
    <n v="168"/>
    <s v="Truck"/>
    <n v="4"/>
    <x v="3"/>
    <n v="9346"/>
    <n v="3.53"/>
    <n v="229653743.85999998"/>
  </r>
  <r>
    <x v="6"/>
    <s v="i30"/>
    <n v="2022"/>
    <x v="3"/>
    <n v="35583.1"/>
    <n v="60.1"/>
    <n v="220"/>
    <n v="157"/>
    <s v="Sedan"/>
    <n v="5"/>
    <x v="2"/>
    <n v="116403"/>
    <n v="3.38"/>
    <n v="4141979589.2999997"/>
  </r>
  <r>
    <x v="3"/>
    <s v="Yuan Plus"/>
    <n v="2022"/>
    <x v="3"/>
    <n v="27939.32"/>
    <n v="56.5"/>
    <n v="182"/>
    <n v="141"/>
    <s v="SUV"/>
    <n v="5"/>
    <x v="3"/>
    <n v="100593"/>
    <n v="3.2"/>
    <n v="2810500016.7599998"/>
  </r>
  <r>
    <x v="2"/>
    <s v="Model Y"/>
    <n v="2022"/>
    <x v="0"/>
    <n v="112382.86"/>
    <n v="81.900000000000006"/>
    <n v="270"/>
    <n v="182"/>
    <s v="Coupe"/>
    <n v="4"/>
    <x v="1"/>
    <n v="494879"/>
    <n v="3.77"/>
    <n v="55615917373.940002"/>
  </r>
  <r>
    <x v="7"/>
    <s v="ID.5"/>
    <n v="2022"/>
    <x v="4"/>
    <n v="62108.39"/>
    <n v="82.1"/>
    <n v="268"/>
    <n v="137"/>
    <s v="SUV"/>
    <n v="5"/>
    <x v="2"/>
    <n v="222675"/>
    <n v="3.19"/>
    <n v="13829985743.25"/>
  </r>
  <r>
    <x v="5"/>
    <s v="Picanto EV"/>
    <n v="2022"/>
    <x v="1"/>
    <n v="111175.38"/>
    <n v="89.2"/>
    <n v="319"/>
    <n v="190"/>
    <s v="Hatchback"/>
    <n v="5"/>
    <x v="1"/>
    <n v="51798"/>
    <n v="3.75"/>
    <n v="5758662333.2399998"/>
  </r>
  <r>
    <x v="14"/>
    <s v="EL6"/>
    <n v="2022"/>
    <x v="3"/>
    <n v="69452.42"/>
    <n v="47.9"/>
    <n v="170"/>
    <n v="147"/>
    <s v="Sedan"/>
    <n v="5"/>
    <x v="0"/>
    <n v="28334"/>
    <n v="3.19"/>
    <n v="1967864868.28"/>
  </r>
  <r>
    <x v="3"/>
    <s v="Atto 3"/>
    <n v="2022"/>
    <x v="1"/>
    <n v="38276.480000000003"/>
    <n v="92"/>
    <n v="283"/>
    <n v="199"/>
    <s v="Van"/>
    <n v="4"/>
    <x v="2"/>
    <n v="175542"/>
    <n v="3.44"/>
    <n v="6719129852.1600008"/>
  </r>
  <r>
    <x v="5"/>
    <s v="Picanto EV"/>
    <n v="2022"/>
    <x v="0"/>
    <n v="76439.210000000006"/>
    <n v="93"/>
    <n v="337"/>
    <n v="164"/>
    <s v="Truck"/>
    <n v="5"/>
    <x v="0"/>
    <n v="85577"/>
    <n v="3.72"/>
    <n v="6541438274.1700001"/>
  </r>
  <r>
    <x v="4"/>
    <s v="e-tron GT"/>
    <n v="2022"/>
    <x v="4"/>
    <n v="98374.44"/>
    <n v="50.7"/>
    <n v="166"/>
    <n v="164"/>
    <s v="Truck"/>
    <n v="5"/>
    <x v="0"/>
    <n v="45293"/>
    <n v="3.1"/>
    <n v="4455673510.9200001"/>
  </r>
  <r>
    <x v="6"/>
    <s v="Ioniq 5"/>
    <n v="2022"/>
    <x v="4"/>
    <n v="72159.44"/>
    <n v="56.2"/>
    <n v="163"/>
    <n v="132"/>
    <s v="Van"/>
    <n v="4"/>
    <x v="0"/>
    <n v="119329"/>
    <n v="3.43"/>
    <n v="8610713815.7600002"/>
  </r>
  <r>
    <x v="5"/>
    <s v="EV6"/>
    <n v="2022"/>
    <x v="0"/>
    <n v="90771.15"/>
    <n v="86.2"/>
    <n v="305"/>
    <n v="179"/>
    <s v="Truck"/>
    <n v="4"/>
    <x v="0"/>
    <n v="86318"/>
    <n v="3.46"/>
    <n v="7835184125.6999998"/>
  </r>
  <r>
    <x v="2"/>
    <s v="Model S"/>
    <n v="2022"/>
    <x v="4"/>
    <n v="59089.35"/>
    <n v="76.7"/>
    <n v="268"/>
    <n v="153"/>
    <s v="Sedan"/>
    <n v="5"/>
    <x v="2"/>
    <n v="130707"/>
    <n v="3.64"/>
    <n v="7723391670.4499998"/>
  </r>
  <r>
    <x v="2"/>
    <s v="Cybertruck"/>
    <n v="2022"/>
    <x v="1"/>
    <n v="170128.32"/>
    <n v="84.4"/>
    <n v="303"/>
    <n v="186"/>
    <s v="Truck"/>
    <n v="4"/>
    <x v="1"/>
    <n v="163960"/>
    <n v="4.09"/>
    <n v="27894239347.200001"/>
  </r>
  <r>
    <x v="5"/>
    <s v="Picanto EV"/>
    <n v="2022"/>
    <x v="2"/>
    <n v="43745.72"/>
    <n v="58.3"/>
    <n v="197"/>
    <n v="141"/>
    <s v="Hatchback"/>
    <n v="5"/>
    <x v="2"/>
    <n v="77441"/>
    <n v="3.34"/>
    <n v="3387712302.52"/>
  </r>
  <r>
    <x v="0"/>
    <s v="bZ4X"/>
    <n v="2022"/>
    <x v="3"/>
    <n v="69982.490000000005"/>
    <n v="42.6"/>
    <n v="156"/>
    <n v="153"/>
    <s v="Truck"/>
    <n v="5"/>
    <x v="0"/>
    <n v="8818"/>
    <n v="3.15"/>
    <n v="617105596.82000005"/>
  </r>
  <r>
    <x v="12"/>
    <s v="Bolt EV"/>
    <n v="2022"/>
    <x v="0"/>
    <n v="49443.87"/>
    <n v="82.7"/>
    <n v="262"/>
    <n v="179"/>
    <s v="Van"/>
    <n v="4"/>
    <x v="2"/>
    <n v="17112"/>
    <n v="3.4"/>
    <n v="846083503.44000006"/>
  </r>
  <r>
    <x v="3"/>
    <s v="Atto 3"/>
    <n v="2022"/>
    <x v="4"/>
    <n v="36072.31"/>
    <n v="77.7"/>
    <n v="251"/>
    <n v="154"/>
    <s v="Van"/>
    <n v="4"/>
    <x v="2"/>
    <n v="159638"/>
    <n v="3.48"/>
    <n v="5758511423.7799997"/>
  </r>
  <r>
    <x v="7"/>
    <s v="ID.3"/>
    <n v="2022"/>
    <x v="3"/>
    <n v="73902.850000000006"/>
    <n v="64"/>
    <n v="231"/>
    <n v="168"/>
    <s v="Van"/>
    <n v="4"/>
    <x v="0"/>
    <n v="251288"/>
    <n v="3.32"/>
    <n v="18570899370.800003"/>
  </r>
  <r>
    <x v="0"/>
    <s v="bZ Compact SUV"/>
    <n v="2022"/>
    <x v="2"/>
    <n v="59240.75"/>
    <n v="70.099999999999994"/>
    <n v="267"/>
    <n v="162"/>
    <s v="SUV"/>
    <n v="4"/>
    <x v="2"/>
    <n v="18789"/>
    <n v="3.47"/>
    <n v="1113074451.75"/>
  </r>
  <r>
    <x v="9"/>
    <s v="i7"/>
    <n v="2022"/>
    <x v="3"/>
    <n v="69932.429999999993"/>
    <n v="67"/>
    <n v="249"/>
    <n v="140"/>
    <s v="Hatchback"/>
    <n v="5"/>
    <x v="0"/>
    <n v="52868"/>
    <n v="3.54"/>
    <n v="3697187709.2399998"/>
  </r>
  <r>
    <x v="5"/>
    <s v="EV9"/>
    <n v="2022"/>
    <x v="1"/>
    <n v="67330.570000000007"/>
    <n v="77.099999999999994"/>
    <n v="284"/>
    <n v="194"/>
    <s v="SUV"/>
    <n v="5"/>
    <x v="0"/>
    <n v="91349"/>
    <n v="3.46"/>
    <n v="6150580238.9300003"/>
  </r>
  <r>
    <x v="7"/>
    <s v="ID.4"/>
    <n v="2022"/>
    <x v="1"/>
    <n v="102466.68"/>
    <n v="77.599999999999994"/>
    <n v="281"/>
    <n v="189"/>
    <s v="Truck"/>
    <n v="5"/>
    <x v="1"/>
    <n v="252835"/>
    <n v="3.37"/>
    <n v="25907163037.799999"/>
  </r>
  <r>
    <x v="2"/>
    <s v="Model S"/>
    <n v="2022"/>
    <x v="0"/>
    <n v="119080.01"/>
    <n v="82.3"/>
    <n v="284"/>
    <n v="159"/>
    <s v="Truck"/>
    <n v="5"/>
    <x v="1"/>
    <n v="124340"/>
    <n v="3.98"/>
    <n v="14806408443.4"/>
  </r>
  <r>
    <x v="9"/>
    <s v="iX"/>
    <n v="2022"/>
    <x v="2"/>
    <n v="61657.41"/>
    <n v="79.900000000000006"/>
    <n v="273"/>
    <n v="174"/>
    <s v="SUV"/>
    <n v="5"/>
    <x v="2"/>
    <n v="21575"/>
    <n v="3.67"/>
    <n v="1330258620.75"/>
  </r>
  <r>
    <x v="2"/>
    <s v="Model Y"/>
    <n v="2022"/>
    <x v="4"/>
    <n v="74321.009999999995"/>
    <n v="61.2"/>
    <n v="226"/>
    <n v="118"/>
    <s v="Truck"/>
    <n v="5"/>
    <x v="0"/>
    <n v="438573"/>
    <n v="3.82"/>
    <n v="32595188318.73"/>
  </r>
  <r>
    <x v="4"/>
    <s v="Q6 e-tron"/>
    <n v="2022"/>
    <x v="2"/>
    <n v="87894.85"/>
    <n v="84.4"/>
    <n v="315"/>
    <n v="136"/>
    <s v="Hatchback"/>
    <n v="5"/>
    <x v="0"/>
    <n v="64291"/>
    <n v="3.45"/>
    <n v="5650847801.3500004"/>
  </r>
  <r>
    <x v="0"/>
    <s v="bZ Compact SUV"/>
    <n v="2022"/>
    <x v="1"/>
    <n v="56751.98"/>
    <n v="90.8"/>
    <n v="324"/>
    <n v="191"/>
    <s v="SUV"/>
    <n v="5"/>
    <x v="2"/>
    <n v="9887"/>
    <n v="3.39"/>
    <n v="561106826.25999999"/>
  </r>
  <r>
    <x v="12"/>
    <s v="Blazer EV"/>
    <n v="2022"/>
    <x v="3"/>
    <n v="55685.25"/>
    <n v="80.400000000000006"/>
    <n v="288"/>
    <n v="158"/>
    <s v="Sedan"/>
    <n v="4"/>
    <x v="2"/>
    <n v="22694"/>
    <n v="3.58"/>
    <n v="1263721063.5"/>
  </r>
  <r>
    <x v="2"/>
    <s v="Model 3"/>
    <n v="2022"/>
    <x v="4"/>
    <n v="74667.63"/>
    <n v="60.5"/>
    <n v="201"/>
    <n v="159"/>
    <s v="Truck"/>
    <n v="5"/>
    <x v="0"/>
    <n v="245609"/>
    <n v="3.71"/>
    <n v="18339041936.670002"/>
  </r>
  <r>
    <x v="2"/>
    <s v="Model X"/>
    <n v="2022"/>
    <x v="1"/>
    <n v="66277.97"/>
    <n v="97.7"/>
    <n v="340"/>
    <n v="189"/>
    <s v="Truck"/>
    <n v="3"/>
    <x v="0"/>
    <n v="108652"/>
    <n v="4.1100000000000003"/>
    <n v="7201233996.4400005"/>
  </r>
  <r>
    <x v="6"/>
    <s v="Ioniq 5"/>
    <n v="2022"/>
    <x v="1"/>
    <n v="81725.25"/>
    <n v="71.7"/>
    <n v="234"/>
    <n v="197"/>
    <s v="Sedan"/>
    <n v="5"/>
    <x v="0"/>
    <n v="72070"/>
    <n v="3.48"/>
    <n v="5889938767.5"/>
  </r>
  <r>
    <x v="3"/>
    <s v="Atto 3"/>
    <n v="2022"/>
    <x v="4"/>
    <n v="107436.09"/>
    <n v="65.7"/>
    <n v="255"/>
    <n v="137"/>
    <s v="SUV"/>
    <n v="5"/>
    <x v="1"/>
    <n v="201045"/>
    <n v="3.64"/>
    <n v="21599488714.049999"/>
  </r>
  <r>
    <x v="12"/>
    <s v="Blazer EV"/>
    <n v="2022"/>
    <x v="0"/>
    <n v="54305.64"/>
    <n v="86.4"/>
    <n v="289"/>
    <n v="162"/>
    <s v="Van"/>
    <n v="5"/>
    <x v="2"/>
    <n v="18445"/>
    <n v="3.56"/>
    <n v="1001667529.8"/>
  </r>
  <r>
    <x v="2"/>
    <s v="Cybertruck"/>
    <n v="2022"/>
    <x v="1"/>
    <n v="161513.5"/>
    <n v="115.3"/>
    <n v="420"/>
    <n v="200"/>
    <s v="Truck"/>
    <n v="4"/>
    <x v="1"/>
    <n v="172224"/>
    <n v="4.09"/>
    <n v="27816501024"/>
  </r>
  <r>
    <x v="2"/>
    <s v="Model Y"/>
    <n v="2022"/>
    <x v="2"/>
    <n v="75540.09"/>
    <n v="49.6"/>
    <n v="150"/>
    <n v="154"/>
    <s v="Coupe"/>
    <n v="5"/>
    <x v="0"/>
    <n v="455317"/>
    <n v="3.27"/>
    <n v="34394687158.529999"/>
  </r>
  <r>
    <x v="2"/>
    <s v="Cybertruck"/>
    <n v="2022"/>
    <x v="1"/>
    <n v="39719.769999999997"/>
    <n v="75.3"/>
    <n v="297"/>
    <n v="200"/>
    <s v="Truck"/>
    <n v="5"/>
    <x v="2"/>
    <n v="220959"/>
    <n v="4"/>
    <n v="8776440659.4299984"/>
  </r>
  <r>
    <x v="9"/>
    <s v="i7"/>
    <n v="2022"/>
    <x v="0"/>
    <n v="115394.15"/>
    <n v="98.5"/>
    <n v="343"/>
    <n v="167"/>
    <s v="Sedan"/>
    <n v="5"/>
    <x v="1"/>
    <n v="58674"/>
    <n v="3.4"/>
    <n v="6770636357.0999994"/>
  </r>
  <r>
    <x v="6"/>
    <s v="Ioniq"/>
    <n v="2022"/>
    <x v="0"/>
    <n v="67747.05"/>
    <n v="89.8"/>
    <n v="333"/>
    <n v="173"/>
    <s v="Coupe"/>
    <n v="5"/>
    <x v="0"/>
    <n v="100096"/>
    <n v="3.57"/>
    <n v="6781208716.8000002"/>
  </r>
  <r>
    <x v="2"/>
    <s v="Model X"/>
    <n v="2022"/>
    <x v="3"/>
    <n v="45367.75"/>
    <n v="80.8"/>
    <n v="287"/>
    <n v="134"/>
    <s v="Sedan"/>
    <n v="5"/>
    <x v="2"/>
    <n v="112809"/>
    <n v="3.72"/>
    <n v="5117890509.75"/>
  </r>
  <r>
    <x v="12"/>
    <s v="Silverado EV"/>
    <n v="2022"/>
    <x v="2"/>
    <n v="39747.919999999998"/>
    <n v="47.2"/>
    <n v="152"/>
    <n v="152"/>
    <s v="Van"/>
    <n v="5"/>
    <x v="2"/>
    <n v="29407"/>
    <n v="3.09"/>
    <n v="1168867083.4400001"/>
  </r>
  <r>
    <x v="2"/>
    <s v="Cybertruck"/>
    <n v="2022"/>
    <x v="2"/>
    <n v="83011.59"/>
    <n v="78.2"/>
    <n v="288"/>
    <n v="147"/>
    <s v="Truck"/>
    <n v="4"/>
    <x v="0"/>
    <n v="132378"/>
    <n v="4.12"/>
    <n v="10988908261.02"/>
  </r>
  <r>
    <x v="9"/>
    <s v="i4"/>
    <n v="2022"/>
    <x v="2"/>
    <n v="87727.18"/>
    <n v="75.099999999999994"/>
    <n v="238"/>
    <n v="150"/>
    <s v="Van"/>
    <n v="5"/>
    <x v="0"/>
    <n v="35030"/>
    <n v="3.42"/>
    <n v="3073083115.3999996"/>
  </r>
  <r>
    <x v="5"/>
    <s v="Picanto EV"/>
    <n v="2022"/>
    <x v="3"/>
    <n v="39229.86"/>
    <n v="42.7"/>
    <n v="154"/>
    <n v="170"/>
    <s v="Hatchback"/>
    <n v="4"/>
    <x v="2"/>
    <n v="92917"/>
    <n v="3.02"/>
    <n v="3645120901.6199999"/>
  </r>
  <r>
    <x v="7"/>
    <s v="ID.5"/>
    <n v="2022"/>
    <x v="4"/>
    <n v="90567.3"/>
    <n v="69.5"/>
    <n v="208"/>
    <n v="147"/>
    <s v="Truck"/>
    <n v="5"/>
    <x v="0"/>
    <n v="266134"/>
    <n v="3.28"/>
    <n v="24103037818.200001"/>
  </r>
  <r>
    <x v="2"/>
    <s v="Model X"/>
    <n v="2022"/>
    <x v="3"/>
    <n v="98265.87"/>
    <n v="83.7"/>
    <n v="298"/>
    <n v="173"/>
    <s v="Hatchback"/>
    <n v="4"/>
    <x v="0"/>
    <n v="144367"/>
    <n v="3.63"/>
    <n v="14186348854.289999"/>
  </r>
  <r>
    <x v="2"/>
    <s v="Cybertruck"/>
    <n v="2022"/>
    <x v="4"/>
    <n v="154962.64000000001"/>
    <n v="53.2"/>
    <n v="157"/>
    <n v="135"/>
    <s v="Truck"/>
    <n v="5"/>
    <x v="1"/>
    <n v="148718"/>
    <n v="3.67"/>
    <n v="23045733895.52"/>
  </r>
  <r>
    <x v="11"/>
    <s v="R1S"/>
    <n v="2022"/>
    <x v="2"/>
    <n v="64347.55"/>
    <n v="45.6"/>
    <n v="150"/>
    <n v="152"/>
    <s v="SUV"/>
    <n v="5"/>
    <x v="2"/>
    <n v="3522"/>
    <n v="3.26"/>
    <n v="226632071.10000002"/>
  </r>
  <r>
    <x v="3"/>
    <s v="Atto 3"/>
    <n v="2022"/>
    <x v="2"/>
    <n v="21384.75"/>
    <n v="62.9"/>
    <n v="201"/>
    <n v="146"/>
    <s v="Hatchback"/>
    <n v="5"/>
    <x v="3"/>
    <n v="233873"/>
    <n v="3.28"/>
    <n v="5001315636.75"/>
  </r>
  <r>
    <x v="2"/>
    <s v="Cybertruck"/>
    <n v="2022"/>
    <x v="0"/>
    <n v="93999.45"/>
    <n v="88.3"/>
    <n v="333"/>
    <n v="167"/>
    <s v="Truck"/>
    <n v="5"/>
    <x v="0"/>
    <n v="124977"/>
    <n v="3.96"/>
    <n v="11747769262.65"/>
  </r>
  <r>
    <x v="2"/>
    <s v="Model Y"/>
    <n v="2022"/>
    <x v="0"/>
    <n v="38805.29"/>
    <n v="86.7"/>
    <n v="295"/>
    <n v="190"/>
    <s v="Truck"/>
    <n v="5"/>
    <x v="2"/>
    <n v="424786"/>
    <n v="4.1399999999999997"/>
    <n v="16483943917.940001"/>
  </r>
  <r>
    <x v="7"/>
    <s v="ID.5"/>
    <n v="2022"/>
    <x v="4"/>
    <n v="70140.570000000007"/>
    <n v="83.5"/>
    <n v="319"/>
    <n v="142"/>
    <s v="Hatchback"/>
    <n v="5"/>
    <x v="0"/>
    <n v="203826"/>
    <n v="3.8"/>
    <n v="14296471820.820002"/>
  </r>
  <r>
    <x v="0"/>
    <s v="bZ4X"/>
    <n v="2022"/>
    <x v="3"/>
    <n v="55775.75"/>
    <n v="84.6"/>
    <n v="281"/>
    <n v="163"/>
    <s v="Coupe"/>
    <n v="4"/>
    <x v="2"/>
    <n v="18523"/>
    <n v="3.32"/>
    <n v="1033134217.25"/>
  </r>
  <r>
    <x v="2"/>
    <s v="Model S"/>
    <n v="2022"/>
    <x v="4"/>
    <n v="163492.79999999999"/>
    <n v="65.400000000000006"/>
    <n v="193"/>
    <n v="154"/>
    <s v="Hatchback"/>
    <n v="5"/>
    <x v="1"/>
    <n v="241709"/>
    <n v="3.96"/>
    <n v="39517681195.199997"/>
  </r>
  <r>
    <x v="3"/>
    <s v="Atto 3"/>
    <n v="2022"/>
    <x v="2"/>
    <n v="49226.29"/>
    <n v="46.7"/>
    <n v="177"/>
    <n v="160"/>
    <s v="Coupe"/>
    <n v="5"/>
    <x v="2"/>
    <n v="172454"/>
    <n v="3.29"/>
    <n v="8489270615.6599998"/>
  </r>
  <r>
    <x v="4"/>
    <s v="e-tron GT"/>
    <n v="2022"/>
    <x v="4"/>
    <n v="137631.97"/>
    <n v="43.1"/>
    <n v="150"/>
    <n v="168"/>
    <s v="Truck"/>
    <n v="4"/>
    <x v="1"/>
    <n v="74974"/>
    <n v="3.3"/>
    <n v="10318819318.780001"/>
  </r>
  <r>
    <x v="5"/>
    <s v="Niro EV"/>
    <n v="2022"/>
    <x v="4"/>
    <n v="93773.43"/>
    <n v="61.9"/>
    <n v="194"/>
    <n v="152"/>
    <s v="Truck"/>
    <n v="5"/>
    <x v="0"/>
    <n v="126881"/>
    <n v="3.6"/>
    <n v="11898066571.83"/>
  </r>
  <r>
    <x v="9"/>
    <s v="i5"/>
    <n v="2022"/>
    <x v="1"/>
    <n v="102440.51"/>
    <n v="94.7"/>
    <n v="337"/>
    <n v="184"/>
    <s v="Hatchback"/>
    <n v="3"/>
    <x v="1"/>
    <n v="23392"/>
    <n v="3.69"/>
    <n v="2396288409.9200001"/>
  </r>
  <r>
    <x v="5"/>
    <s v="EV6"/>
    <n v="2022"/>
    <x v="1"/>
    <n v="48028.480000000003"/>
    <n v="102.7"/>
    <n v="351"/>
    <n v="200"/>
    <s v="Hatchback"/>
    <n v="4"/>
    <x v="2"/>
    <n v="81607"/>
    <n v="3.7"/>
    <n v="3919460167.3600001"/>
  </r>
  <r>
    <x v="6"/>
    <s v="i30"/>
    <n v="2022"/>
    <x v="2"/>
    <n v="52457.02"/>
    <n v="61.6"/>
    <n v="184"/>
    <n v="139"/>
    <s v="Sedan"/>
    <n v="5"/>
    <x v="2"/>
    <n v="72150"/>
    <n v="3.34"/>
    <n v="3784773993"/>
  </r>
  <r>
    <x v="8"/>
    <s v="E-Transit"/>
    <n v="2022"/>
    <x v="4"/>
    <n v="72686.399999999994"/>
    <n v="58.3"/>
    <n v="197"/>
    <n v="135"/>
    <s v="Coupe"/>
    <n v="3"/>
    <x v="0"/>
    <n v="32038"/>
    <n v="3.44"/>
    <n v="2328726883.1999998"/>
  </r>
  <r>
    <x v="2"/>
    <s v="Model 3"/>
    <n v="2022"/>
    <x v="0"/>
    <n v="84609.91"/>
    <n v="107.2"/>
    <n v="365"/>
    <n v="165"/>
    <s v="SUV"/>
    <n v="4"/>
    <x v="0"/>
    <n v="171529"/>
    <n v="4.12"/>
    <n v="14513053252.390001"/>
  </r>
  <r>
    <x v="13"/>
    <s v="GLE EV"/>
    <n v="2022"/>
    <x v="2"/>
    <n v="94570.880000000005"/>
    <n v="72.7"/>
    <n v="257"/>
    <n v="162"/>
    <s v="Truck"/>
    <n v="5"/>
    <x v="0"/>
    <n v="59270"/>
    <n v="3.75"/>
    <n v="5605216057.6000004"/>
  </r>
  <r>
    <x v="2"/>
    <s v="Model 3"/>
    <n v="2022"/>
    <x v="3"/>
    <n v="112086.56"/>
    <n v="61.2"/>
    <n v="215"/>
    <n v="152"/>
    <s v="Sedan"/>
    <n v="5"/>
    <x v="1"/>
    <n v="140793"/>
    <n v="3.65"/>
    <n v="15781003042.08"/>
  </r>
  <r>
    <x v="13"/>
    <s v="EQG"/>
    <n v="2022"/>
    <x v="2"/>
    <n v="64416.89"/>
    <n v="70"/>
    <n v="262"/>
    <n v="142"/>
    <s v="SUV"/>
    <n v="5"/>
    <x v="2"/>
    <n v="31870"/>
    <n v="3.9"/>
    <n v="2052966284.3"/>
  </r>
  <r>
    <x v="8"/>
    <s v="F-150 Lightning"/>
    <n v="2022"/>
    <x v="4"/>
    <n v="39147.79"/>
    <n v="52.5"/>
    <n v="215"/>
    <n v="170"/>
    <s v="Truck"/>
    <n v="4"/>
    <x v="2"/>
    <n v="78104"/>
    <n v="3.41"/>
    <n v="3057598990.1599998"/>
  </r>
  <r>
    <x v="7"/>
    <s v="ID.5"/>
    <n v="2022"/>
    <x v="1"/>
    <n v="46348.56"/>
    <n v="90"/>
    <n v="333"/>
    <n v="188"/>
    <s v="SUV"/>
    <n v="4"/>
    <x v="2"/>
    <n v="219975"/>
    <n v="3.79"/>
    <n v="10195524486"/>
  </r>
  <r>
    <x v="2"/>
    <s v="Cybertruck"/>
    <n v="2022"/>
    <x v="0"/>
    <n v="109130.05"/>
    <n v="91.6"/>
    <n v="339"/>
    <n v="160"/>
    <s v="Truck"/>
    <n v="5"/>
    <x v="1"/>
    <n v="161385"/>
    <n v="4.17"/>
    <n v="17611953119.25"/>
  </r>
  <r>
    <x v="3"/>
    <s v="Atto 3"/>
    <n v="2022"/>
    <x v="0"/>
    <n v="59084.31"/>
    <n v="100.3"/>
    <n v="349"/>
    <n v="182"/>
    <s v="Hatchback"/>
    <n v="4"/>
    <x v="2"/>
    <n v="242445"/>
    <n v="3.57"/>
    <n v="14324695537.949999"/>
  </r>
  <r>
    <x v="9"/>
    <s v="i5"/>
    <n v="2022"/>
    <x v="1"/>
    <n v="74178.539999999994"/>
    <n v="74"/>
    <n v="257"/>
    <n v="187"/>
    <s v="Coupe"/>
    <n v="5"/>
    <x v="0"/>
    <n v="60959"/>
    <n v="3.29"/>
    <n v="4521849619.8599997"/>
  </r>
  <r>
    <x v="3"/>
    <s v="Qin"/>
    <n v="2022"/>
    <x v="2"/>
    <n v="51140.49"/>
    <n v="58.3"/>
    <n v="209"/>
    <n v="182"/>
    <s v="Van"/>
    <n v="5"/>
    <x v="2"/>
    <n v="122452"/>
    <n v="3.62"/>
    <n v="6262255281.4799995"/>
  </r>
  <r>
    <x v="11"/>
    <s v="R1S"/>
    <n v="2022"/>
    <x v="4"/>
    <n v="102878.64"/>
    <n v="67.400000000000006"/>
    <n v="249"/>
    <n v="161"/>
    <s v="Sedan"/>
    <n v="5"/>
    <x v="1"/>
    <n v="27062"/>
    <n v="3.19"/>
    <n v="2784101755.6799998"/>
  </r>
  <r>
    <x v="17"/>
    <s v="XC90 Recharge"/>
    <n v="2022"/>
    <x v="1"/>
    <n v="74428.14"/>
    <n v="86.1"/>
    <n v="316"/>
    <n v="191"/>
    <s v="Truck"/>
    <n v="5"/>
    <x v="0"/>
    <n v="3031"/>
    <n v="3.51"/>
    <n v="225591692.34"/>
  </r>
  <r>
    <x v="5"/>
    <s v="EV9"/>
    <n v="2022"/>
    <x v="0"/>
    <n v="73675.86"/>
    <n v="96"/>
    <n v="333"/>
    <n v="183"/>
    <s v="SUV"/>
    <n v="5"/>
    <x v="0"/>
    <n v="89937"/>
    <n v="3.58"/>
    <n v="6626185820.8199997"/>
  </r>
  <r>
    <x v="0"/>
    <s v="bZ4X"/>
    <n v="2022"/>
    <x v="2"/>
    <n v="35115.72"/>
    <n v="61.4"/>
    <n v="238"/>
    <n v="138"/>
    <s v="Hatchback"/>
    <n v="4"/>
    <x v="2"/>
    <n v="3528"/>
    <n v="3.67"/>
    <n v="123888260.16000001"/>
  </r>
  <r>
    <x v="9"/>
    <s v="i4"/>
    <n v="2022"/>
    <x v="3"/>
    <n v="99869.64"/>
    <n v="50.6"/>
    <n v="193"/>
    <n v="135"/>
    <s v="Coupe"/>
    <n v="4"/>
    <x v="0"/>
    <n v="76842"/>
    <n v="3.62"/>
    <n v="7674182876.8800001"/>
  </r>
  <r>
    <x v="3"/>
    <s v="Dolphin"/>
    <n v="2022"/>
    <x v="3"/>
    <n v="30805.35"/>
    <n v="40"/>
    <n v="150"/>
    <n v="141"/>
    <s v="Truck"/>
    <n v="5"/>
    <x v="3"/>
    <n v="133529"/>
    <n v="3.4"/>
    <n v="4113407580.1499996"/>
  </r>
  <r>
    <x v="13"/>
    <s v="EQG"/>
    <n v="2022"/>
    <x v="3"/>
    <n v="126403.53"/>
    <n v="64.900000000000006"/>
    <n v="225"/>
    <n v="137"/>
    <s v="SUV"/>
    <n v="4"/>
    <x v="1"/>
    <n v="37272"/>
    <n v="3.78"/>
    <n v="4711312370.1599998"/>
  </r>
  <r>
    <x v="3"/>
    <s v="Seagull"/>
    <n v="2022"/>
    <x v="0"/>
    <n v="53237.26"/>
    <n v="103"/>
    <n v="376"/>
    <n v="186"/>
    <s v="Truck"/>
    <n v="5"/>
    <x v="2"/>
    <n v="163016"/>
    <n v="3.81"/>
    <n v="8678525176.1599998"/>
  </r>
  <r>
    <x v="13"/>
    <s v="EQC"/>
    <n v="2022"/>
    <x v="4"/>
    <n v="155446.31"/>
    <n v="72.7"/>
    <n v="265"/>
    <n v="175"/>
    <s v="Sedan"/>
    <n v="5"/>
    <x v="1"/>
    <n v="41853"/>
    <n v="3.77"/>
    <n v="6505894412.4300003"/>
  </r>
  <r>
    <x v="6"/>
    <s v="Ioniq 5"/>
    <n v="2022"/>
    <x v="4"/>
    <n v="55487.47"/>
    <n v="41.2"/>
    <n v="154"/>
    <n v="169"/>
    <s v="Sedan"/>
    <n v="3"/>
    <x v="2"/>
    <n v="52238"/>
    <n v="3.21"/>
    <n v="2898554457.8600001"/>
  </r>
  <r>
    <x v="9"/>
    <s v="iX"/>
    <n v="2022"/>
    <x v="2"/>
    <n v="51043.69"/>
    <n v="76"/>
    <n v="263"/>
    <n v="172"/>
    <s v="Coupe"/>
    <n v="4"/>
    <x v="2"/>
    <n v="44259"/>
    <n v="3.39"/>
    <n v="2259142675.71"/>
  </r>
  <r>
    <x v="8"/>
    <s v="Mustang Mach-E"/>
    <n v="2022"/>
    <x v="3"/>
    <n v="56513.760000000002"/>
    <n v="52.3"/>
    <n v="189"/>
    <n v="162"/>
    <s v="Truck"/>
    <n v="3"/>
    <x v="2"/>
    <n v="39584"/>
    <n v="3.23"/>
    <n v="2237040675.8400002"/>
  </r>
  <r>
    <x v="2"/>
    <s v="Model X"/>
    <n v="2022"/>
    <x v="2"/>
    <n v="53235.86"/>
    <n v="84.7"/>
    <n v="305"/>
    <n v="178"/>
    <s v="Coupe"/>
    <n v="4"/>
    <x v="2"/>
    <n v="178460"/>
    <n v="3.67"/>
    <n v="9500471575.6000004"/>
  </r>
  <r>
    <x v="3"/>
    <s v="Atto 3"/>
    <n v="2022"/>
    <x v="0"/>
    <n v="101092.71"/>
    <n v="80.099999999999994"/>
    <n v="278"/>
    <n v="177"/>
    <s v="Sedan"/>
    <n v="5"/>
    <x v="1"/>
    <n v="230522"/>
    <n v="3.61"/>
    <n v="23304093694.620003"/>
  </r>
  <r>
    <x v="7"/>
    <s v="ID. Aero"/>
    <n v="2022"/>
    <x v="1"/>
    <n v="94244.35"/>
    <n v="75.7"/>
    <n v="264"/>
    <n v="200"/>
    <s v="SUV"/>
    <n v="4"/>
    <x v="0"/>
    <n v="251606"/>
    <n v="3.39"/>
    <n v="23712443926.100002"/>
  </r>
  <r>
    <x v="7"/>
    <s v="ID. Buzz"/>
    <n v="2022"/>
    <x v="1"/>
    <n v="46160.26"/>
    <n v="117.4"/>
    <n v="399"/>
    <n v="198"/>
    <s v="Coupe"/>
    <n v="5"/>
    <x v="2"/>
    <n v="298179"/>
    <n v="3.96"/>
    <n v="13764020166.540001"/>
  </r>
  <r>
    <x v="4"/>
    <s v="Q4 e-tron"/>
    <n v="2022"/>
    <x v="2"/>
    <n v="84689.7"/>
    <n v="69.599999999999994"/>
    <n v="254"/>
    <n v="135"/>
    <s v="Van"/>
    <n v="5"/>
    <x v="0"/>
    <n v="55401"/>
    <n v="3.66"/>
    <n v="4691894069.6999998"/>
  </r>
  <r>
    <x v="8"/>
    <s v="E-Transit"/>
    <n v="2022"/>
    <x v="0"/>
    <n v="44715.21"/>
    <n v="85"/>
    <n v="299"/>
    <n v="179"/>
    <s v="SUV"/>
    <n v="5"/>
    <x v="2"/>
    <n v="77918"/>
    <n v="3.48"/>
    <n v="3484119732.7799997"/>
  </r>
  <r>
    <x v="2"/>
    <s v="Cybertruck"/>
    <n v="2022"/>
    <x v="2"/>
    <n v="33281.599999999999"/>
    <n v="82.5"/>
    <n v="281"/>
    <n v="175"/>
    <s v="Truck"/>
    <n v="5"/>
    <x v="3"/>
    <n v="223257"/>
    <n v="3.91"/>
    <n v="7430350171.1999998"/>
  </r>
  <r>
    <x v="3"/>
    <s v="Qin"/>
    <n v="2022"/>
    <x v="2"/>
    <n v="24219.14"/>
    <n v="71.400000000000006"/>
    <n v="265"/>
    <n v="170"/>
    <s v="Coupe"/>
    <n v="4"/>
    <x v="3"/>
    <n v="166519"/>
    <n v="3.3"/>
    <n v="4032946973.6599998"/>
  </r>
  <r>
    <x v="3"/>
    <s v="Dolphin"/>
    <n v="2022"/>
    <x v="0"/>
    <n v="43671.62"/>
    <n v="95.1"/>
    <n v="328"/>
    <n v="173"/>
    <s v="Coupe"/>
    <n v="3"/>
    <x v="2"/>
    <n v="203792"/>
    <n v="3.47"/>
    <n v="8899926783.0400009"/>
  </r>
  <r>
    <x v="12"/>
    <s v="Bolt EV"/>
    <n v="2022"/>
    <x v="2"/>
    <n v="44453.56"/>
    <n v="69.7"/>
    <n v="242"/>
    <n v="145"/>
    <s v="Van"/>
    <n v="5"/>
    <x v="2"/>
    <n v="19383"/>
    <n v="3.42"/>
    <n v="861643353.4799999"/>
  </r>
  <r>
    <x v="2"/>
    <s v="Model X"/>
    <n v="2022"/>
    <x v="4"/>
    <n v="78153.08"/>
    <n v="79.8"/>
    <n v="277"/>
    <n v="130"/>
    <s v="Hatchback"/>
    <n v="4"/>
    <x v="0"/>
    <n v="114033"/>
    <n v="3.63"/>
    <n v="8912030171.6399994"/>
  </r>
  <r>
    <x v="13"/>
    <s v="GLE EV"/>
    <n v="2022"/>
    <x v="4"/>
    <n v="93751.44"/>
    <n v="73.400000000000006"/>
    <n v="267"/>
    <n v="166"/>
    <s v="Van"/>
    <n v="5"/>
    <x v="0"/>
    <n v="32471"/>
    <n v="3.81"/>
    <n v="3044203008.2400002"/>
  </r>
  <r>
    <x v="7"/>
    <s v="ID. Aero"/>
    <n v="2022"/>
    <x v="2"/>
    <n v="29912.83"/>
    <n v="40.5"/>
    <n v="150"/>
    <n v="140"/>
    <s v="Van"/>
    <n v="5"/>
    <x v="3"/>
    <n v="200434"/>
    <n v="3.19"/>
    <n v="5995548168.2200003"/>
  </r>
  <r>
    <x v="2"/>
    <s v="Model X"/>
    <n v="2022"/>
    <x v="1"/>
    <n v="117706.38"/>
    <n v="71.400000000000006"/>
    <n v="249"/>
    <n v="189"/>
    <s v="Truck"/>
    <n v="5"/>
    <x v="1"/>
    <n v="160982"/>
    <n v="3.75"/>
    <n v="18948608465.16"/>
  </r>
  <r>
    <x v="3"/>
    <s v="Atto 3"/>
    <n v="2022"/>
    <x v="1"/>
    <n v="98782.03"/>
    <n v="77.8"/>
    <n v="278"/>
    <n v="192"/>
    <s v="Coupe"/>
    <n v="4"/>
    <x v="0"/>
    <n v="130723"/>
    <n v="3.47"/>
    <n v="12913083307.690001"/>
  </r>
  <r>
    <x v="5"/>
    <s v="EV6"/>
    <n v="2022"/>
    <x v="4"/>
    <n v="40060.04"/>
    <n v="63"/>
    <n v="235"/>
    <n v="153"/>
    <s v="Sedan"/>
    <n v="4"/>
    <x v="2"/>
    <n v="51025"/>
    <n v="3.4"/>
    <n v="2044063541"/>
  </r>
  <r>
    <x v="2"/>
    <s v="Model X"/>
    <n v="2022"/>
    <x v="2"/>
    <n v="43328.14"/>
    <n v="65.3"/>
    <n v="226"/>
    <n v="134"/>
    <s v="Van"/>
    <n v="3"/>
    <x v="2"/>
    <n v="148395"/>
    <n v="3.64"/>
    <n v="6429679335.3000002"/>
  </r>
  <r>
    <x v="9"/>
    <s v="i4"/>
    <n v="2022"/>
    <x v="1"/>
    <n v="102335.06"/>
    <n v="106.5"/>
    <n v="365"/>
    <n v="200"/>
    <s v="Hatchback"/>
    <n v="5"/>
    <x v="1"/>
    <n v="57345"/>
    <n v="3.89"/>
    <n v="5868404015.6999998"/>
  </r>
  <r>
    <x v="5"/>
    <s v="Sportage EV"/>
    <n v="2022"/>
    <x v="3"/>
    <n v="38543.18"/>
    <n v="45.8"/>
    <n v="159"/>
    <n v="175"/>
    <s v="SUV"/>
    <n v="5"/>
    <x v="2"/>
    <n v="117943"/>
    <n v="3.08"/>
    <n v="4545898278.7399998"/>
  </r>
  <r>
    <x v="7"/>
    <s v="ID.3"/>
    <n v="2022"/>
    <x v="2"/>
    <n v="53614.66"/>
    <n v="63.7"/>
    <n v="213"/>
    <n v="160"/>
    <s v="SUV"/>
    <n v="4"/>
    <x v="2"/>
    <n v="208794"/>
    <n v="3.39"/>
    <n v="11194419320.040001"/>
  </r>
  <r>
    <x v="13"/>
    <s v="EQG"/>
    <n v="2022"/>
    <x v="0"/>
    <n v="74524.3"/>
    <n v="84.1"/>
    <n v="298"/>
    <n v="180"/>
    <s v="Hatchback"/>
    <n v="5"/>
    <x v="0"/>
    <n v="75343"/>
    <n v="3.85"/>
    <n v="5614884334.9000006"/>
  </r>
  <r>
    <x v="13"/>
    <s v="GLE EV"/>
    <n v="2022"/>
    <x v="0"/>
    <n v="100017.14"/>
    <n v="108.6"/>
    <n v="382"/>
    <n v="157"/>
    <s v="Hatchback"/>
    <n v="5"/>
    <x v="1"/>
    <n v="39100"/>
    <n v="3.99"/>
    <n v="3910670174"/>
  </r>
  <r>
    <x v="13"/>
    <s v="EQC"/>
    <n v="2022"/>
    <x v="0"/>
    <n v="117361.83"/>
    <n v="91.3"/>
    <n v="335"/>
    <n v="158"/>
    <s v="SUV"/>
    <n v="4"/>
    <x v="1"/>
    <n v="75929"/>
    <n v="3.88"/>
    <n v="8911166390.0699997"/>
  </r>
  <r>
    <x v="18"/>
    <s v="e"/>
    <n v="2022"/>
    <x v="4"/>
    <n v="60662.04"/>
    <n v="67.2"/>
    <n v="242"/>
    <n v="154"/>
    <s v="SUV"/>
    <n v="4"/>
    <x v="2"/>
    <n v="10748"/>
    <n v="3.54"/>
    <n v="651995605.91999996"/>
  </r>
  <r>
    <x v="8"/>
    <s v="Mustang Mach-E"/>
    <n v="2022"/>
    <x v="2"/>
    <n v="64696.27"/>
    <n v="51.7"/>
    <n v="165"/>
    <n v="144"/>
    <s v="Van"/>
    <n v="4"/>
    <x v="2"/>
    <n v="37967"/>
    <n v="3.06"/>
    <n v="2456323283.0899997"/>
  </r>
  <r>
    <x v="3"/>
    <s v="Max"/>
    <n v="2022"/>
    <x v="3"/>
    <n v="59138.53"/>
    <n v="43.2"/>
    <n v="160"/>
    <n v="141"/>
    <s v="Sedan"/>
    <n v="4"/>
    <x v="2"/>
    <n v="241442"/>
    <n v="3.15"/>
    <n v="14278524960.26"/>
  </r>
  <r>
    <x v="12"/>
    <s v="Equinox EV"/>
    <n v="2022"/>
    <x v="2"/>
    <n v="33771.620000000003"/>
    <n v="73.400000000000006"/>
    <n v="250"/>
    <n v="157"/>
    <s v="SUV"/>
    <n v="4"/>
    <x v="3"/>
    <n v="22698"/>
    <n v="3.33"/>
    <n v="766548230.76000011"/>
  </r>
  <r>
    <x v="3"/>
    <s v="Qin"/>
    <n v="2022"/>
    <x v="2"/>
    <n v="30225.18"/>
    <n v="54.4"/>
    <n v="172"/>
    <n v="162"/>
    <s v="Coupe"/>
    <n v="4"/>
    <x v="3"/>
    <n v="237770"/>
    <n v="3.36"/>
    <n v="7186641048.6000004"/>
  </r>
  <r>
    <x v="3"/>
    <s v="Max"/>
    <n v="2022"/>
    <x v="3"/>
    <n v="72612.58"/>
    <n v="73.400000000000006"/>
    <n v="257"/>
    <n v="142"/>
    <s v="Van"/>
    <n v="4"/>
    <x v="0"/>
    <n v="232843"/>
    <n v="3.32"/>
    <n v="16907330964.940001"/>
  </r>
  <r>
    <x v="5"/>
    <s v="Niro EV"/>
    <n v="2022"/>
    <x v="2"/>
    <n v="34817.25"/>
    <n v="56.3"/>
    <n v="207"/>
    <n v="173"/>
    <s v="Truck"/>
    <n v="4"/>
    <x v="3"/>
    <n v="109878"/>
    <n v="3.27"/>
    <n v="3825649795.5"/>
  </r>
  <r>
    <x v="6"/>
    <s v="Ioniq"/>
    <n v="2022"/>
    <x v="3"/>
    <n v="39241.19"/>
    <n v="62.3"/>
    <n v="205"/>
    <n v="173"/>
    <s v="SUV"/>
    <n v="5"/>
    <x v="2"/>
    <n v="50222"/>
    <n v="3.32"/>
    <n v="1970771044.1800001"/>
  </r>
  <r>
    <x v="6"/>
    <s v="Ioniq 6"/>
    <n v="2022"/>
    <x v="1"/>
    <n v="56768.4"/>
    <n v="117.3"/>
    <n v="400"/>
    <n v="200"/>
    <s v="Coupe"/>
    <n v="5"/>
    <x v="2"/>
    <n v="141874"/>
    <n v="4.18"/>
    <n v="8053959981.6000004"/>
  </r>
  <r>
    <x v="8"/>
    <s v="Explorer EV"/>
    <n v="2022"/>
    <x v="0"/>
    <n v="86649.72"/>
    <n v="78.8"/>
    <n v="301"/>
    <n v="175"/>
    <s v="Truck"/>
    <n v="5"/>
    <x v="0"/>
    <n v="45060"/>
    <n v="3.95"/>
    <n v="3904436383.2000003"/>
  </r>
  <r>
    <x v="3"/>
    <s v="Qin"/>
    <n v="2022"/>
    <x v="4"/>
    <n v="39142.51"/>
    <n v="67.400000000000006"/>
    <n v="236"/>
    <n v="159"/>
    <s v="Hatchback"/>
    <n v="3"/>
    <x v="2"/>
    <n v="143146"/>
    <n v="3.46"/>
    <n v="5603093736.46"/>
  </r>
  <r>
    <x v="7"/>
    <s v="ID. Aero"/>
    <n v="2022"/>
    <x v="0"/>
    <n v="73265.41"/>
    <n v="102.2"/>
    <n v="363"/>
    <n v="187"/>
    <s v="Truck"/>
    <n v="3"/>
    <x v="0"/>
    <n v="255210"/>
    <n v="3.55"/>
    <n v="18698065286.100002"/>
  </r>
  <r>
    <x v="13"/>
    <s v="EQS"/>
    <n v="2022"/>
    <x v="0"/>
    <n v="178840.11"/>
    <n v="102.1"/>
    <n v="380"/>
    <n v="182"/>
    <s v="Truck"/>
    <n v="5"/>
    <x v="1"/>
    <n v="49341"/>
    <n v="4.26"/>
    <n v="8824149867.5100002"/>
  </r>
  <r>
    <x v="3"/>
    <s v="Qin"/>
    <n v="2022"/>
    <x v="2"/>
    <n v="46766.53"/>
    <n v="44.5"/>
    <n v="150"/>
    <n v="162"/>
    <s v="Sedan"/>
    <n v="3"/>
    <x v="2"/>
    <n v="150601"/>
    <n v="3.18"/>
    <n v="7043086184.5299997"/>
  </r>
  <r>
    <x v="2"/>
    <s v="Cybertruck"/>
    <n v="2022"/>
    <x v="1"/>
    <n v="57537.68"/>
    <n v="103.2"/>
    <n v="386"/>
    <n v="199"/>
    <s v="Truck"/>
    <n v="5"/>
    <x v="2"/>
    <n v="194936"/>
    <n v="4.0599999999999996"/>
    <n v="11216165188.48"/>
  </r>
  <r>
    <x v="7"/>
    <s v="ID.5"/>
    <n v="2022"/>
    <x v="2"/>
    <n v="27966.77"/>
    <n v="59.8"/>
    <n v="195"/>
    <n v="172"/>
    <s v="Sedan"/>
    <n v="5"/>
    <x v="3"/>
    <n v="258777"/>
    <n v="3.29"/>
    <n v="7237156840.29"/>
  </r>
  <r>
    <x v="2"/>
    <s v="Model Y"/>
    <n v="2022"/>
    <x v="0"/>
    <n v="45169.5"/>
    <n v="98.8"/>
    <n v="340"/>
    <n v="170"/>
    <s v="Van"/>
    <n v="4"/>
    <x v="2"/>
    <n v="416114"/>
    <n v="4.22"/>
    <n v="18795661323"/>
  </r>
  <r>
    <x v="6"/>
    <s v="Ioniq"/>
    <n v="2022"/>
    <x v="2"/>
    <n v="28093.63"/>
    <n v="47.2"/>
    <n v="167"/>
    <n v="139"/>
    <s v="Van"/>
    <n v="3"/>
    <x v="3"/>
    <n v="119899"/>
    <n v="3.25"/>
    <n v="3368398143.3699999"/>
  </r>
  <r>
    <x v="4"/>
    <s v="Q4 e-tron"/>
    <n v="2022"/>
    <x v="4"/>
    <n v="144615.75"/>
    <n v="49.5"/>
    <n v="161"/>
    <n v="152"/>
    <s v="SUV"/>
    <n v="5"/>
    <x v="1"/>
    <n v="57074"/>
    <n v="3.06"/>
    <n v="8253799315.5"/>
  </r>
  <r>
    <x v="6"/>
    <s v="Ioniq 5"/>
    <n v="2022"/>
    <x v="4"/>
    <n v="39046.61"/>
    <n v="54.4"/>
    <n v="178"/>
    <n v="148"/>
    <s v="Coupe"/>
    <n v="4"/>
    <x v="2"/>
    <n v="57836"/>
    <n v="3.14"/>
    <n v="2258299735.96"/>
  </r>
  <r>
    <x v="17"/>
    <s v="XC90 Recharge"/>
    <n v="2022"/>
    <x v="1"/>
    <n v="90661.21"/>
    <n v="108.4"/>
    <n v="396"/>
    <n v="200"/>
    <s v="SUV"/>
    <n v="5"/>
    <x v="0"/>
    <n v="15699"/>
    <n v="3.68"/>
    <n v="1423290335.7900002"/>
  </r>
  <r>
    <x v="9"/>
    <s v="i7"/>
    <n v="2022"/>
    <x v="1"/>
    <n v="154009.88"/>
    <n v="79"/>
    <n v="275"/>
    <n v="180"/>
    <s v="Coupe"/>
    <n v="4"/>
    <x v="1"/>
    <n v="26663"/>
    <n v="3.51"/>
    <n v="4106365430.4400001"/>
  </r>
  <r>
    <x v="9"/>
    <s v="i7"/>
    <n v="2022"/>
    <x v="4"/>
    <n v="116700.28"/>
    <n v="62.9"/>
    <n v="213"/>
    <n v="146"/>
    <s v="Van"/>
    <n v="5"/>
    <x v="1"/>
    <n v="29505"/>
    <n v="3.78"/>
    <n v="3443241761.4000001"/>
  </r>
  <r>
    <x v="2"/>
    <s v="Cybertruck"/>
    <n v="2022"/>
    <x v="0"/>
    <n v="88720.74"/>
    <n v="92.2"/>
    <n v="341"/>
    <n v="175"/>
    <s v="Truck"/>
    <n v="4"/>
    <x v="0"/>
    <n v="226922"/>
    <n v="4.0199999999999996"/>
    <n v="20132687762.280003"/>
  </r>
  <r>
    <x v="17"/>
    <s v="C40 Recharge"/>
    <n v="2022"/>
    <x v="2"/>
    <n v="45992.59"/>
    <n v="83.4"/>
    <n v="291"/>
    <n v="175"/>
    <s v="Hatchback"/>
    <n v="5"/>
    <x v="2"/>
    <n v="3048"/>
    <n v="3.39"/>
    <n v="140185414.31999999"/>
  </r>
  <r>
    <x v="14"/>
    <s v="EC6"/>
    <n v="2022"/>
    <x v="3"/>
    <n v="64086.32"/>
    <n v="52.7"/>
    <n v="161"/>
    <n v="169"/>
    <s v="SUV"/>
    <n v="5"/>
    <x v="2"/>
    <n v="19395"/>
    <n v="3.46"/>
    <n v="1242954176.4000001"/>
  </r>
  <r>
    <x v="7"/>
    <s v="ID. Aero"/>
    <n v="2022"/>
    <x v="0"/>
    <n v="60508.93"/>
    <n v="105.5"/>
    <n v="362"/>
    <n v="171"/>
    <s v="Coupe"/>
    <n v="5"/>
    <x v="2"/>
    <n v="222081"/>
    <n v="3.78"/>
    <n v="13437883683.33"/>
  </r>
  <r>
    <x v="3"/>
    <s v="Qin"/>
    <n v="2022"/>
    <x v="3"/>
    <n v="70030.570000000007"/>
    <n v="41.8"/>
    <n v="150"/>
    <n v="133"/>
    <s v="Hatchback"/>
    <n v="3"/>
    <x v="0"/>
    <n v="187796"/>
    <n v="3.45"/>
    <n v="13151460923.720001"/>
  </r>
  <r>
    <x v="7"/>
    <s v="ID. Aero"/>
    <n v="2022"/>
    <x v="1"/>
    <n v="77144.75"/>
    <n v="109.8"/>
    <n v="367"/>
    <n v="200"/>
    <s v="Coupe"/>
    <n v="5"/>
    <x v="0"/>
    <n v="280321"/>
    <n v="3.69"/>
    <n v="21625293464.75"/>
  </r>
  <r>
    <x v="6"/>
    <s v="Ioniq 5"/>
    <n v="2022"/>
    <x v="1"/>
    <n v="87757.22"/>
    <n v="77.5"/>
    <n v="262"/>
    <n v="194"/>
    <s v="Truck"/>
    <n v="5"/>
    <x v="0"/>
    <n v="73010"/>
    <n v="3.41"/>
    <n v="6407154632.1999998"/>
  </r>
  <r>
    <x v="2"/>
    <s v="Model X"/>
    <n v="2022"/>
    <x v="1"/>
    <n v="77379.740000000005"/>
    <n v="110"/>
    <n v="373"/>
    <n v="200"/>
    <s v="Sedan"/>
    <n v="3"/>
    <x v="0"/>
    <n v="238571"/>
    <n v="4.04"/>
    <n v="18460561951.540001"/>
  </r>
  <r>
    <x v="12"/>
    <s v="Equinox EV"/>
    <n v="2022"/>
    <x v="2"/>
    <n v="32829.19"/>
    <n v="77.7"/>
    <n v="295"/>
    <n v="139"/>
    <s v="SUV"/>
    <n v="5"/>
    <x v="3"/>
    <n v="26546"/>
    <n v="3.6"/>
    <n v="871483677.74000001"/>
  </r>
  <r>
    <x v="2"/>
    <s v="Model Y"/>
    <n v="2022"/>
    <x v="3"/>
    <n v="93506.44"/>
    <n v="60.2"/>
    <n v="206"/>
    <n v="137"/>
    <s v="Van"/>
    <n v="5"/>
    <x v="0"/>
    <n v="464918"/>
    <n v="3.52"/>
    <n v="43472827071.919998"/>
  </r>
  <r>
    <x v="8"/>
    <s v="E-Transit"/>
    <n v="2022"/>
    <x v="1"/>
    <n v="72683.98"/>
    <n v="73.7"/>
    <n v="253"/>
    <n v="200"/>
    <s v="Coupe"/>
    <n v="4"/>
    <x v="0"/>
    <n v="25267"/>
    <n v="3.64"/>
    <n v="1836506122.6599998"/>
  </r>
  <r>
    <x v="2"/>
    <s v="Model 3"/>
    <n v="2022"/>
    <x v="4"/>
    <n v="78038.19"/>
    <n v="59.8"/>
    <n v="219"/>
    <n v="162"/>
    <s v="Coupe"/>
    <n v="3"/>
    <x v="0"/>
    <n v="156841"/>
    <n v="3.58"/>
    <n v="12239587757.790001"/>
  </r>
  <r>
    <x v="3"/>
    <s v="Leaf 50X"/>
    <n v="2022"/>
    <x v="0"/>
    <n v="80180.179999999993"/>
    <n v="86.6"/>
    <n v="329"/>
    <n v="183"/>
    <s v="Truck"/>
    <n v="5"/>
    <x v="0"/>
    <n v="170493"/>
    <n v="3.64"/>
    <n v="13670159428.739998"/>
  </r>
  <r>
    <x v="12"/>
    <s v="Equinox EV"/>
    <n v="2022"/>
    <x v="1"/>
    <n v="59493.52"/>
    <n v="71.900000000000006"/>
    <n v="270"/>
    <n v="200"/>
    <s v="SUV"/>
    <n v="3"/>
    <x v="2"/>
    <n v="16751"/>
    <n v="3.44"/>
    <n v="996575953.51999998"/>
  </r>
  <r>
    <x v="3"/>
    <s v="Max"/>
    <n v="2022"/>
    <x v="3"/>
    <n v="68088.929999999993"/>
    <n v="51.8"/>
    <n v="170"/>
    <n v="173"/>
    <s v="Hatchback"/>
    <n v="4"/>
    <x v="0"/>
    <n v="201225"/>
    <n v="3.25"/>
    <n v="13701194939.249998"/>
  </r>
  <r>
    <x v="13"/>
    <s v="EQE"/>
    <n v="2022"/>
    <x v="0"/>
    <n v="118966.22"/>
    <n v="83.4"/>
    <n v="306"/>
    <n v="187"/>
    <s v="Hatchback"/>
    <n v="4"/>
    <x v="1"/>
    <n v="78467"/>
    <n v="3.86"/>
    <n v="9334922384.7399998"/>
  </r>
  <r>
    <x v="13"/>
    <s v="EQG"/>
    <n v="2022"/>
    <x v="0"/>
    <n v="140186.97"/>
    <n v="89.7"/>
    <n v="340"/>
    <n v="162"/>
    <s v="Hatchback"/>
    <n v="4"/>
    <x v="1"/>
    <n v="31832"/>
    <n v="4.04"/>
    <n v="4462431629.04"/>
  </r>
  <r>
    <x v="5"/>
    <s v="Sportage EV"/>
    <n v="2022"/>
    <x v="0"/>
    <n v="89447.77"/>
    <n v="97.2"/>
    <n v="328"/>
    <n v="187"/>
    <s v="SUV"/>
    <n v="5"/>
    <x v="0"/>
    <n v="135902"/>
    <n v="3.67"/>
    <n v="12156130838.540001"/>
  </r>
  <r>
    <x v="17"/>
    <s v="C40 Recharge"/>
    <n v="2022"/>
    <x v="2"/>
    <n v="46215.01"/>
    <n v="45.9"/>
    <n v="150"/>
    <n v="165"/>
    <s v="Hatchback"/>
    <n v="5"/>
    <x v="2"/>
    <n v="17974"/>
    <n v="3.32"/>
    <n v="830668589.74000001"/>
  </r>
  <r>
    <x v="7"/>
    <s v="ID.4"/>
    <n v="2022"/>
    <x v="0"/>
    <n v="82795.09"/>
    <n v="103.2"/>
    <n v="345"/>
    <n v="181"/>
    <s v="Coupe"/>
    <n v="4"/>
    <x v="0"/>
    <n v="263434"/>
    <n v="3.53"/>
    <n v="21811041739.059998"/>
  </r>
  <r>
    <x v="0"/>
    <s v="bZ4X"/>
    <n v="2022"/>
    <x v="4"/>
    <n v="46862.78"/>
    <n v="63.4"/>
    <n v="215"/>
    <n v="151"/>
    <s v="Sedan"/>
    <n v="5"/>
    <x v="2"/>
    <n v="1920"/>
    <n v="3.39"/>
    <n v="89976537.599999994"/>
  </r>
  <r>
    <x v="3"/>
    <s v="Qin"/>
    <n v="2022"/>
    <x v="0"/>
    <n v="77020.14"/>
    <n v="86.6"/>
    <n v="333"/>
    <n v="161"/>
    <s v="Van"/>
    <n v="5"/>
    <x v="0"/>
    <n v="167490"/>
    <n v="3.58"/>
    <n v="12900103248.6"/>
  </r>
  <r>
    <x v="12"/>
    <s v="Equinox EV"/>
    <n v="2022"/>
    <x v="4"/>
    <n v="82968.06"/>
    <n v="75.400000000000006"/>
    <n v="253"/>
    <n v="163"/>
    <s v="SUV"/>
    <n v="4"/>
    <x v="0"/>
    <n v="7825"/>
    <n v="3.4"/>
    <n v="649225069.5"/>
  </r>
  <r>
    <x v="7"/>
    <s v="ID.4"/>
    <n v="2022"/>
    <x v="1"/>
    <n v="97372.99"/>
    <n v="74.099999999999994"/>
    <n v="240"/>
    <n v="200"/>
    <s v="Sedan"/>
    <n v="4"/>
    <x v="0"/>
    <n v="246097"/>
    <n v="3.31"/>
    <n v="23963200720.030003"/>
  </r>
  <r>
    <x v="6"/>
    <s v="Ioniq 5"/>
    <n v="2022"/>
    <x v="3"/>
    <n v="34455.089999999997"/>
    <n v="43.1"/>
    <n v="150"/>
    <n v="165"/>
    <s v="Van"/>
    <n v="5"/>
    <x v="3"/>
    <n v="120724"/>
    <n v="3.13"/>
    <n v="4159556285.1599994"/>
  </r>
  <r>
    <x v="6"/>
    <s v="Ioniq 6"/>
    <n v="2022"/>
    <x v="4"/>
    <n v="45588.01"/>
    <n v="53.8"/>
    <n v="175"/>
    <n v="159"/>
    <s v="Truck"/>
    <n v="4"/>
    <x v="2"/>
    <n v="103603"/>
    <n v="3.49"/>
    <n v="4723054600.0300007"/>
  </r>
  <r>
    <x v="2"/>
    <s v="Model Y"/>
    <n v="2022"/>
    <x v="0"/>
    <n v="79776.37"/>
    <n v="94.5"/>
    <n v="332"/>
    <n v="163"/>
    <s v="Truck"/>
    <n v="3"/>
    <x v="0"/>
    <n v="488350"/>
    <n v="4"/>
    <n v="38958790289.5"/>
  </r>
  <r>
    <x v="2"/>
    <s v="Model S"/>
    <n v="2022"/>
    <x v="3"/>
    <n v="127540.88"/>
    <n v="49.1"/>
    <n v="186"/>
    <n v="163"/>
    <s v="Coupe"/>
    <n v="3"/>
    <x v="1"/>
    <n v="136670"/>
    <n v="3.54"/>
    <n v="17431012069.600002"/>
  </r>
  <r>
    <x v="2"/>
    <s v="Model X"/>
    <n v="2022"/>
    <x v="0"/>
    <n v="85291.7"/>
    <n v="102.2"/>
    <n v="332"/>
    <n v="184"/>
    <s v="Van"/>
    <n v="5"/>
    <x v="0"/>
    <n v="146415"/>
    <n v="3.95"/>
    <n v="12487984255.5"/>
  </r>
  <r>
    <x v="5"/>
    <s v="Picanto EV"/>
    <n v="2022"/>
    <x v="0"/>
    <n v="73622.080000000002"/>
    <n v="94.4"/>
    <n v="291"/>
    <n v="187"/>
    <s v="SUV"/>
    <n v="5"/>
    <x v="0"/>
    <n v="128389"/>
    <n v="3.38"/>
    <n v="9452265229.1200008"/>
  </r>
  <r>
    <x v="3"/>
    <s v="Dolphin"/>
    <n v="2022"/>
    <x v="2"/>
    <n v="71011.58"/>
    <n v="47.4"/>
    <n v="159"/>
    <n v="132"/>
    <s v="SUV"/>
    <n v="4"/>
    <x v="0"/>
    <n v="210658"/>
    <n v="3.09"/>
    <n v="14959157419.640001"/>
  </r>
  <r>
    <x v="7"/>
    <s v="ID. Buzz"/>
    <n v="2023"/>
    <x v="1"/>
    <n v="104880.8"/>
    <n v="118.7"/>
    <n v="400"/>
    <n v="195"/>
    <s v="Truck"/>
    <n v="4"/>
    <x v="1"/>
    <n v="202182"/>
    <n v="4"/>
    <n v="21205009905.600002"/>
  </r>
  <r>
    <x v="2"/>
    <s v="Model Y"/>
    <n v="2023"/>
    <x v="1"/>
    <n v="119590.27"/>
    <n v="78.3"/>
    <n v="251"/>
    <n v="200"/>
    <s v="Hatchback"/>
    <n v="5"/>
    <x v="1"/>
    <n v="411764"/>
    <n v="3.67"/>
    <n v="49242967936.279999"/>
  </r>
  <r>
    <x v="3"/>
    <s v="Seagull"/>
    <n v="2023"/>
    <x v="2"/>
    <n v="16394.330000000002"/>
    <n v="41.8"/>
    <n v="158"/>
    <n v="155"/>
    <s v="Coupe"/>
    <n v="5"/>
    <x v="3"/>
    <n v="224997"/>
    <n v="3.58"/>
    <n v="3688675067.0100002"/>
  </r>
  <r>
    <x v="2"/>
    <s v="Cybertruck"/>
    <n v="2023"/>
    <x v="2"/>
    <n v="70531.960000000006"/>
    <n v="70.5"/>
    <n v="256"/>
    <n v="165"/>
    <s v="Truck"/>
    <n v="5"/>
    <x v="0"/>
    <n v="209622"/>
    <n v="3.6"/>
    <n v="14785050519.120001"/>
  </r>
  <r>
    <x v="2"/>
    <s v="Model X"/>
    <n v="2023"/>
    <x v="3"/>
    <n v="67772.81"/>
    <n v="53.3"/>
    <n v="175"/>
    <n v="128"/>
    <s v="Sedan"/>
    <n v="5"/>
    <x v="0"/>
    <n v="207968"/>
    <n v="3.36"/>
    <n v="14094575750.08"/>
  </r>
  <r>
    <x v="2"/>
    <s v="Model X"/>
    <n v="2023"/>
    <x v="2"/>
    <n v="109503.65"/>
    <n v="47.9"/>
    <n v="155"/>
    <n v="164"/>
    <s v="Van"/>
    <n v="5"/>
    <x v="1"/>
    <n v="174834"/>
    <n v="3.59"/>
    <n v="19144961144.099998"/>
  </r>
  <r>
    <x v="5"/>
    <s v="Sportage EV"/>
    <n v="2023"/>
    <x v="3"/>
    <n v="77484.789999999994"/>
    <n v="81.2"/>
    <n v="284"/>
    <n v="169"/>
    <s v="SUV"/>
    <n v="3"/>
    <x v="0"/>
    <n v="101678"/>
    <n v="3.34"/>
    <n v="7878498477.6199989"/>
  </r>
  <r>
    <x v="2"/>
    <s v="Model Y"/>
    <n v="2023"/>
    <x v="3"/>
    <n v="98108.77"/>
    <n v="46.5"/>
    <n v="150"/>
    <n v="174"/>
    <s v="SUV"/>
    <n v="5"/>
    <x v="0"/>
    <n v="431290"/>
    <n v="3.33"/>
    <n v="42313331413.300003"/>
  </r>
  <r>
    <x v="7"/>
    <s v="ID.4"/>
    <n v="2023"/>
    <x v="0"/>
    <n v="94330.19"/>
    <n v="105.4"/>
    <n v="383"/>
    <n v="177"/>
    <s v="Sedan"/>
    <n v="5"/>
    <x v="0"/>
    <n v="232451"/>
    <n v="3.95"/>
    <n v="21927146995.690002"/>
  </r>
  <r>
    <x v="13"/>
    <s v="GLE EV"/>
    <n v="2023"/>
    <x v="3"/>
    <n v="144581.79"/>
    <n v="42.8"/>
    <n v="150"/>
    <n v="156"/>
    <s v="SUV"/>
    <n v="4"/>
    <x v="1"/>
    <n v="76491"/>
    <n v="3.42"/>
    <n v="11059205698.890001"/>
  </r>
  <r>
    <x v="9"/>
    <s v="iX"/>
    <n v="2023"/>
    <x v="4"/>
    <n v="86081.93"/>
    <n v="72.3"/>
    <n v="247"/>
    <n v="166"/>
    <s v="Truck"/>
    <n v="4"/>
    <x v="0"/>
    <n v="51887"/>
    <n v="3.42"/>
    <n v="4466533101.9099998"/>
  </r>
  <r>
    <x v="3"/>
    <s v="Yuan Plus"/>
    <n v="2023"/>
    <x v="3"/>
    <n v="21523.03"/>
    <n v="42.4"/>
    <n v="150"/>
    <n v="157"/>
    <s v="Sedan"/>
    <n v="4"/>
    <x v="3"/>
    <n v="183596"/>
    <n v="3.23"/>
    <n v="3951542215.8799996"/>
  </r>
  <r>
    <x v="5"/>
    <s v="Niro EV"/>
    <n v="2023"/>
    <x v="4"/>
    <n v="92594.29"/>
    <n v="74.2"/>
    <n v="257"/>
    <n v="158"/>
    <s v="Coupe"/>
    <n v="5"/>
    <x v="0"/>
    <n v="83731"/>
    <n v="3.6"/>
    <n v="7753012495.9899998"/>
  </r>
  <r>
    <x v="8"/>
    <s v="Mustang Mach-E"/>
    <n v="2023"/>
    <x v="0"/>
    <n v="76072"/>
    <n v="105.6"/>
    <n v="363"/>
    <n v="189"/>
    <s v="Hatchback"/>
    <n v="5"/>
    <x v="0"/>
    <n v="48060"/>
    <n v="4.04"/>
    <n v="3656020320"/>
  </r>
  <r>
    <x v="7"/>
    <s v="ID.4"/>
    <n v="2023"/>
    <x v="1"/>
    <n v="80921.960000000006"/>
    <n v="108.9"/>
    <n v="399"/>
    <n v="198"/>
    <s v="Hatchback"/>
    <n v="3"/>
    <x v="0"/>
    <n v="234095"/>
    <n v="3.86"/>
    <n v="18943426226.200001"/>
  </r>
  <r>
    <x v="2"/>
    <s v="Model X"/>
    <n v="2023"/>
    <x v="1"/>
    <n v="184745.86"/>
    <n v="106.3"/>
    <n v="348"/>
    <n v="198"/>
    <s v="Coupe"/>
    <n v="3"/>
    <x v="1"/>
    <n v="148529"/>
    <n v="4.29"/>
    <n v="27440117839.939999"/>
  </r>
  <r>
    <x v="3"/>
    <s v="Max"/>
    <n v="2023"/>
    <x v="1"/>
    <n v="26461.18"/>
    <n v="71.3"/>
    <n v="265"/>
    <n v="200"/>
    <s v="SUV"/>
    <n v="3"/>
    <x v="3"/>
    <n v="226324"/>
    <n v="3.6"/>
    <n v="5988800102.3199997"/>
  </r>
  <r>
    <x v="13"/>
    <s v="EQG"/>
    <n v="2023"/>
    <x v="0"/>
    <n v="163924.89000000001"/>
    <n v="83.9"/>
    <n v="285"/>
    <n v="180"/>
    <s v="Coupe"/>
    <n v="4"/>
    <x v="1"/>
    <n v="50822"/>
    <n v="3.77"/>
    <n v="8330990759.5800009"/>
  </r>
  <r>
    <x v="5"/>
    <s v="Niro EV"/>
    <n v="2023"/>
    <x v="4"/>
    <n v="38796.18"/>
    <n v="49.4"/>
    <n v="150"/>
    <n v="168"/>
    <s v="Coupe"/>
    <n v="5"/>
    <x v="2"/>
    <n v="146563"/>
    <n v="3.09"/>
    <n v="5686084529.3400002"/>
  </r>
  <r>
    <x v="8"/>
    <s v="Mustang Mach-E"/>
    <n v="2023"/>
    <x v="2"/>
    <n v="59885.41"/>
    <n v="65.900000000000006"/>
    <n v="231"/>
    <n v="148"/>
    <s v="Truck"/>
    <n v="4"/>
    <x v="2"/>
    <n v="28589"/>
    <n v="3.5"/>
    <n v="1712063986.49"/>
  </r>
  <r>
    <x v="2"/>
    <s v="Model S"/>
    <n v="2023"/>
    <x v="1"/>
    <n v="65004.86"/>
    <n v="111"/>
    <n v="405"/>
    <n v="200"/>
    <s v="Truck"/>
    <n v="4"/>
    <x v="0"/>
    <n v="208805"/>
    <n v="4.34"/>
    <n v="13573339792.299999"/>
  </r>
  <r>
    <x v="3"/>
    <s v="Dolphin"/>
    <n v="2023"/>
    <x v="1"/>
    <n v="33904.31"/>
    <n v="91.8"/>
    <n v="310"/>
    <n v="200"/>
    <s v="Sedan"/>
    <n v="4"/>
    <x v="3"/>
    <n v="106140"/>
    <n v="3.65"/>
    <n v="3598603463.3999996"/>
  </r>
  <r>
    <x v="3"/>
    <s v="Seagull"/>
    <n v="2023"/>
    <x v="0"/>
    <n v="77902.259999999995"/>
    <n v="85.2"/>
    <n v="288"/>
    <n v="183"/>
    <s v="SUV"/>
    <n v="5"/>
    <x v="0"/>
    <n v="177211"/>
    <n v="3.38"/>
    <n v="13805137396.859999"/>
  </r>
  <r>
    <x v="3"/>
    <s v="Dolphin"/>
    <n v="2023"/>
    <x v="3"/>
    <n v="50127.13"/>
    <n v="47.6"/>
    <n v="150"/>
    <n v="140"/>
    <s v="Sedan"/>
    <n v="4"/>
    <x v="2"/>
    <n v="176192"/>
    <n v="3.19"/>
    <n v="8831999288.9599991"/>
  </r>
  <r>
    <x v="3"/>
    <s v="Max"/>
    <n v="2023"/>
    <x v="4"/>
    <n v="29372.26"/>
    <n v="77"/>
    <n v="257"/>
    <n v="129"/>
    <s v="Hatchback"/>
    <n v="4"/>
    <x v="3"/>
    <n v="240988"/>
    <n v="3.46"/>
    <n v="7078362192.8799992"/>
  </r>
  <r>
    <x v="2"/>
    <s v="Model 3"/>
    <n v="2023"/>
    <x v="4"/>
    <n v="123494.48"/>
    <n v="79.099999999999994"/>
    <n v="283"/>
    <n v="175"/>
    <s v="SUV"/>
    <n v="5"/>
    <x v="1"/>
    <n v="228731"/>
    <n v="3.4"/>
    <n v="28247015904.879997"/>
  </r>
  <r>
    <x v="2"/>
    <s v="Model X"/>
    <n v="2023"/>
    <x v="4"/>
    <n v="41055.46"/>
    <n v="66.5"/>
    <n v="234"/>
    <n v="157"/>
    <s v="Truck"/>
    <n v="5"/>
    <x v="2"/>
    <n v="203412"/>
    <n v="3.84"/>
    <n v="8351173229.5199995"/>
  </r>
  <r>
    <x v="9"/>
    <s v="i4"/>
    <n v="2023"/>
    <x v="0"/>
    <n v="76874.69"/>
    <n v="96.7"/>
    <n v="338"/>
    <n v="159"/>
    <s v="Sedan"/>
    <n v="5"/>
    <x v="0"/>
    <n v="29925"/>
    <n v="3.89"/>
    <n v="2300475098.25"/>
  </r>
  <r>
    <x v="9"/>
    <s v="i5"/>
    <n v="2023"/>
    <x v="2"/>
    <n v="58951.66"/>
    <n v="72.400000000000006"/>
    <n v="252"/>
    <n v="167"/>
    <s v="Van"/>
    <n v="5"/>
    <x v="2"/>
    <n v="20422"/>
    <n v="3.39"/>
    <n v="1203910800.52"/>
  </r>
  <r>
    <x v="2"/>
    <s v="Cybertruck"/>
    <n v="2023"/>
    <x v="2"/>
    <n v="113861.27"/>
    <n v="81.2"/>
    <n v="306"/>
    <n v="131"/>
    <s v="Truck"/>
    <n v="5"/>
    <x v="1"/>
    <n v="162424"/>
    <n v="3.82"/>
    <n v="18493802918.48"/>
  </r>
  <r>
    <x v="11"/>
    <s v="R3"/>
    <n v="2023"/>
    <x v="1"/>
    <n v="104608.91"/>
    <n v="116.3"/>
    <n v="395"/>
    <n v="200"/>
    <s v="Sedan"/>
    <n v="5"/>
    <x v="1"/>
    <n v="4453"/>
    <n v="3.72"/>
    <n v="465823476.23000002"/>
  </r>
  <r>
    <x v="9"/>
    <s v="iX"/>
    <n v="2023"/>
    <x v="2"/>
    <n v="90267.93"/>
    <n v="63"/>
    <n v="260"/>
    <n v="172"/>
    <s v="Hatchback"/>
    <n v="4"/>
    <x v="0"/>
    <n v="26056"/>
    <n v="3.46"/>
    <n v="2352021184.0799999"/>
  </r>
  <r>
    <x v="2"/>
    <s v="Cybertruck"/>
    <n v="2023"/>
    <x v="2"/>
    <n v="46210.19"/>
    <n v="70.099999999999994"/>
    <n v="244"/>
    <n v="171"/>
    <s v="Truck"/>
    <n v="4"/>
    <x v="2"/>
    <n v="187848"/>
    <n v="3.58"/>
    <n v="8680491771.1200008"/>
  </r>
  <r>
    <x v="9"/>
    <s v="i3"/>
    <n v="2023"/>
    <x v="4"/>
    <n v="137951.81"/>
    <n v="60.1"/>
    <n v="220"/>
    <n v="152"/>
    <s v="Hatchback"/>
    <n v="4"/>
    <x v="1"/>
    <n v="26110"/>
    <n v="3.46"/>
    <n v="3601921759.0999999"/>
  </r>
  <r>
    <x v="9"/>
    <s v="i3"/>
    <n v="2023"/>
    <x v="3"/>
    <n v="67705.119999999995"/>
    <n v="63"/>
    <n v="239"/>
    <n v="176"/>
    <s v="Coupe"/>
    <n v="5"/>
    <x v="0"/>
    <n v="68305"/>
    <n v="3.3"/>
    <n v="4624598221.5999994"/>
  </r>
  <r>
    <x v="3"/>
    <s v="Qin"/>
    <n v="2023"/>
    <x v="3"/>
    <n v="36044.93"/>
    <n v="74.5"/>
    <n v="251"/>
    <n v="127"/>
    <s v="Truck"/>
    <n v="4"/>
    <x v="2"/>
    <n v="117310"/>
    <n v="3.57"/>
    <n v="4228430738.3000002"/>
  </r>
  <r>
    <x v="2"/>
    <s v="Model Y"/>
    <n v="2023"/>
    <x v="3"/>
    <n v="44516.36"/>
    <n v="56.4"/>
    <n v="227"/>
    <n v="147"/>
    <s v="Sedan"/>
    <n v="4"/>
    <x v="2"/>
    <n v="403294"/>
    <n v="3.48"/>
    <n v="17953180889.84"/>
  </r>
  <r>
    <x v="2"/>
    <s v="Model X"/>
    <n v="2023"/>
    <x v="4"/>
    <n v="100324.34"/>
    <n v="79.900000000000006"/>
    <n v="300"/>
    <n v="150"/>
    <s v="Coupe"/>
    <n v="4"/>
    <x v="1"/>
    <n v="121739"/>
    <n v="3.62"/>
    <n v="12213384827.26"/>
  </r>
  <r>
    <x v="0"/>
    <s v="bZ4X"/>
    <n v="2023"/>
    <x v="2"/>
    <n v="53579.07"/>
    <n v="65.5"/>
    <n v="233"/>
    <n v="133"/>
    <s v="Coupe"/>
    <n v="4"/>
    <x v="2"/>
    <n v="16544"/>
    <n v="3.42"/>
    <n v="886412134.08000004"/>
  </r>
  <r>
    <x v="11"/>
    <s v="R3"/>
    <n v="2023"/>
    <x v="3"/>
    <n v="81874.34"/>
    <n v="83.6"/>
    <n v="317"/>
    <n v="177"/>
    <s v="Sedan"/>
    <n v="4"/>
    <x v="0"/>
    <n v="1989"/>
    <n v="3.61"/>
    <n v="162848062.25999999"/>
  </r>
  <r>
    <x v="13"/>
    <s v="EQG"/>
    <n v="2023"/>
    <x v="1"/>
    <n v="181026.58"/>
    <n v="110.6"/>
    <n v="370"/>
    <n v="200"/>
    <s v="Truck"/>
    <n v="4"/>
    <x v="1"/>
    <n v="35248"/>
    <n v="3.91"/>
    <n v="6380824891.8399992"/>
  </r>
  <r>
    <x v="7"/>
    <s v="ID.3"/>
    <n v="2023"/>
    <x v="4"/>
    <n v="40146.71"/>
    <n v="41.6"/>
    <n v="150"/>
    <n v="142"/>
    <s v="Coupe"/>
    <n v="4"/>
    <x v="2"/>
    <n v="229072"/>
    <n v="3.13"/>
    <n v="9196487153.1199989"/>
  </r>
  <r>
    <x v="13"/>
    <s v="GLE EV"/>
    <n v="2023"/>
    <x v="0"/>
    <n v="182443.72"/>
    <n v="104.6"/>
    <n v="359"/>
    <n v="174"/>
    <s v="Sedan"/>
    <n v="4"/>
    <x v="1"/>
    <n v="20765"/>
    <n v="4.0999999999999996"/>
    <n v="3788443845.8000002"/>
  </r>
  <r>
    <x v="2"/>
    <s v="Model S"/>
    <n v="2023"/>
    <x v="4"/>
    <n v="76607.64"/>
    <n v="81.099999999999994"/>
    <n v="288"/>
    <n v="137"/>
    <s v="Van"/>
    <n v="3"/>
    <x v="0"/>
    <n v="244244"/>
    <n v="3.81"/>
    <n v="18710956424.16"/>
  </r>
  <r>
    <x v="8"/>
    <s v="Mustang Mach-E"/>
    <n v="2023"/>
    <x v="0"/>
    <n v="63827.68"/>
    <n v="85.8"/>
    <n v="270"/>
    <n v="180"/>
    <s v="Truck"/>
    <n v="4"/>
    <x v="2"/>
    <n v="74506"/>
    <n v="3.43"/>
    <n v="4755545126.0799999"/>
  </r>
  <r>
    <x v="12"/>
    <s v="Bolt EUV"/>
    <n v="2023"/>
    <x v="1"/>
    <n v="74889.56"/>
    <n v="92.7"/>
    <n v="312"/>
    <n v="193"/>
    <s v="Coupe"/>
    <n v="4"/>
    <x v="0"/>
    <n v="29402"/>
    <n v="3.57"/>
    <n v="2201902843.1199999"/>
  </r>
  <r>
    <x v="2"/>
    <s v="Cybertruck"/>
    <n v="2023"/>
    <x v="2"/>
    <n v="104581.09"/>
    <n v="50.5"/>
    <n v="185"/>
    <n v="165"/>
    <s v="Truck"/>
    <n v="5"/>
    <x v="1"/>
    <n v="156090"/>
    <n v="3.54"/>
    <n v="16324062338.1"/>
  </r>
  <r>
    <x v="2"/>
    <s v="Model S"/>
    <n v="2023"/>
    <x v="2"/>
    <n v="56750.25"/>
    <n v="40.5"/>
    <n v="163"/>
    <n v="136"/>
    <s v="Van"/>
    <n v="4"/>
    <x v="2"/>
    <n v="175034"/>
    <n v="3.89"/>
    <n v="9933223258.5"/>
  </r>
  <r>
    <x v="2"/>
    <s v="Cybertruck"/>
    <n v="2023"/>
    <x v="2"/>
    <n v="62213.09"/>
    <n v="54.2"/>
    <n v="191"/>
    <n v="136"/>
    <s v="Truck"/>
    <n v="5"/>
    <x v="2"/>
    <n v="199768"/>
    <n v="3.77"/>
    <n v="12428184563.119999"/>
  </r>
  <r>
    <x v="9"/>
    <s v="i3"/>
    <n v="2023"/>
    <x v="0"/>
    <n v="134039.99"/>
    <n v="84.4"/>
    <n v="313"/>
    <n v="177"/>
    <s v="Sedan"/>
    <n v="5"/>
    <x v="1"/>
    <n v="70841"/>
    <n v="3.71"/>
    <n v="9495526931.5900002"/>
  </r>
  <r>
    <x v="6"/>
    <s v="i30"/>
    <n v="2023"/>
    <x v="0"/>
    <n v="65970"/>
    <n v="108.1"/>
    <n v="394"/>
    <n v="179"/>
    <s v="Coupe"/>
    <n v="5"/>
    <x v="0"/>
    <n v="146072"/>
    <n v="4.09"/>
    <n v="9636369840"/>
  </r>
  <r>
    <x v="8"/>
    <s v="E-Transit"/>
    <n v="2023"/>
    <x v="2"/>
    <n v="42208.33"/>
    <n v="66.3"/>
    <n v="224"/>
    <n v="165"/>
    <s v="SUV"/>
    <n v="5"/>
    <x v="2"/>
    <n v="47569"/>
    <n v="3.37"/>
    <n v="2007808049.77"/>
  </r>
  <r>
    <x v="2"/>
    <s v="Cybertruck"/>
    <n v="2023"/>
    <x v="2"/>
    <n v="38622.29"/>
    <n v="51.5"/>
    <n v="186"/>
    <n v="124"/>
    <s v="Truck"/>
    <n v="5"/>
    <x v="2"/>
    <n v="174372"/>
    <n v="3.4"/>
    <n v="6734645951.8800001"/>
  </r>
  <r>
    <x v="2"/>
    <s v="Model X"/>
    <n v="2023"/>
    <x v="2"/>
    <n v="27433.3"/>
    <n v="82.4"/>
    <n v="258"/>
    <n v="161"/>
    <s v="Coupe"/>
    <n v="5"/>
    <x v="3"/>
    <n v="230869"/>
    <n v="3.79"/>
    <n v="6333498537.6999998"/>
  </r>
  <r>
    <x v="12"/>
    <s v="Silverado EV"/>
    <n v="2023"/>
    <x v="3"/>
    <n v="64132.24"/>
    <n v="51.9"/>
    <n v="150"/>
    <n v="155"/>
    <s v="Truck"/>
    <n v="4"/>
    <x v="2"/>
    <n v="5462"/>
    <n v="3.44"/>
    <n v="350290294.88"/>
  </r>
  <r>
    <x v="3"/>
    <s v="Dolphin"/>
    <n v="2023"/>
    <x v="4"/>
    <n v="65383.31"/>
    <n v="69.599999999999994"/>
    <n v="240"/>
    <n v="161"/>
    <s v="Coupe"/>
    <n v="5"/>
    <x v="0"/>
    <n v="171261"/>
    <n v="3.56"/>
    <n v="11197611053.91"/>
  </r>
  <r>
    <x v="2"/>
    <s v="Model 3"/>
    <n v="2023"/>
    <x v="2"/>
    <n v="33304.79"/>
    <n v="70.400000000000006"/>
    <n v="262"/>
    <n v="180"/>
    <s v="Van"/>
    <n v="4"/>
    <x v="3"/>
    <n v="239021"/>
    <n v="3.85"/>
    <n v="7960544210.5900002"/>
  </r>
  <r>
    <x v="2"/>
    <s v="Model S"/>
    <n v="2023"/>
    <x v="0"/>
    <n v="98608.05"/>
    <n v="77.7"/>
    <n v="286"/>
    <n v="183"/>
    <s v="Hatchback"/>
    <n v="4"/>
    <x v="0"/>
    <n v="246839"/>
    <n v="3.98"/>
    <n v="24340312453.950001"/>
  </r>
  <r>
    <x v="5"/>
    <s v="Picanto EV"/>
    <n v="2023"/>
    <x v="4"/>
    <n v="95598.48"/>
    <n v="63.5"/>
    <n v="202"/>
    <n v="166"/>
    <s v="SUV"/>
    <n v="5"/>
    <x v="0"/>
    <n v="107457"/>
    <n v="3.32"/>
    <n v="10272725865.359999"/>
  </r>
  <r>
    <x v="14"/>
    <s v="EC6"/>
    <n v="2023"/>
    <x v="0"/>
    <n v="98011.85"/>
    <n v="106.2"/>
    <n v="364"/>
    <n v="171"/>
    <s v="Sedan"/>
    <n v="4"/>
    <x v="0"/>
    <n v="12631"/>
    <n v="3.86"/>
    <n v="1237987677.3500001"/>
  </r>
  <r>
    <x v="2"/>
    <s v="Cybertruck"/>
    <n v="2023"/>
    <x v="3"/>
    <n v="121896.5"/>
    <n v="64.2"/>
    <n v="216"/>
    <n v="145"/>
    <s v="Truck"/>
    <n v="5"/>
    <x v="1"/>
    <n v="186743"/>
    <n v="3.62"/>
    <n v="22763318099.5"/>
  </r>
  <r>
    <x v="8"/>
    <s v="Explorer EV"/>
    <n v="2023"/>
    <x v="2"/>
    <n v="35481.879999999997"/>
    <n v="41"/>
    <n v="173"/>
    <n v="155"/>
    <s v="Hatchback"/>
    <n v="5"/>
    <x v="2"/>
    <n v="63701"/>
    <n v="3.25"/>
    <n v="2260231237.8799996"/>
  </r>
  <r>
    <x v="3"/>
    <s v="Leaf 50X"/>
    <n v="2023"/>
    <x v="0"/>
    <n v="100157.25"/>
    <n v="105.4"/>
    <n v="362"/>
    <n v="177"/>
    <s v="Truck"/>
    <n v="4"/>
    <x v="1"/>
    <n v="107443"/>
    <n v="3.79"/>
    <n v="10761195411.75"/>
  </r>
  <r>
    <x v="2"/>
    <s v="Model Y"/>
    <n v="2023"/>
    <x v="2"/>
    <n v="55299.28"/>
    <n v="40.9"/>
    <n v="150"/>
    <n v="151"/>
    <s v="Hatchback"/>
    <n v="5"/>
    <x v="2"/>
    <n v="449181"/>
    <n v="3.75"/>
    <n v="24839385889.68"/>
  </r>
  <r>
    <x v="8"/>
    <s v="Explorer EV"/>
    <n v="2023"/>
    <x v="2"/>
    <n v="52080.38"/>
    <n v="54.7"/>
    <n v="222"/>
    <n v="143"/>
    <s v="Van"/>
    <n v="4"/>
    <x v="2"/>
    <n v="72053"/>
    <n v="3.42"/>
    <n v="3752547620.1399999"/>
  </r>
  <r>
    <x v="7"/>
    <s v="ID. Buzz"/>
    <n v="2023"/>
    <x v="1"/>
    <n v="50097.36"/>
    <n v="93.7"/>
    <n v="319"/>
    <n v="182"/>
    <s v="Van"/>
    <n v="4"/>
    <x v="2"/>
    <n v="238954"/>
    <n v="3.69"/>
    <n v="11970964561.440001"/>
  </r>
  <r>
    <x v="13"/>
    <s v="EQS"/>
    <n v="2023"/>
    <x v="0"/>
    <n v="123138.78"/>
    <n v="81.2"/>
    <n v="263"/>
    <n v="174"/>
    <s v="Truck"/>
    <n v="5"/>
    <x v="1"/>
    <n v="65127"/>
    <n v="3.77"/>
    <n v="8019659325.0599995"/>
  </r>
  <r>
    <x v="2"/>
    <s v="Model S"/>
    <n v="2023"/>
    <x v="4"/>
    <n v="131294.35999999999"/>
    <n v="66"/>
    <n v="236"/>
    <n v="159"/>
    <s v="SUV"/>
    <n v="4"/>
    <x v="1"/>
    <n v="154508"/>
    <n v="3.91"/>
    <n v="20286028974.879997"/>
  </r>
  <r>
    <x v="7"/>
    <s v="ID.4"/>
    <n v="2023"/>
    <x v="4"/>
    <n v="44868.54"/>
    <n v="71"/>
    <n v="254"/>
    <n v="135"/>
    <s v="Sedan"/>
    <n v="3"/>
    <x v="2"/>
    <n v="264149"/>
    <n v="3.6"/>
    <n v="11851979972.460001"/>
  </r>
  <r>
    <x v="6"/>
    <s v="Ioniq 5"/>
    <n v="2023"/>
    <x v="3"/>
    <n v="68110.080000000002"/>
    <n v="72.3"/>
    <n v="255"/>
    <n v="152"/>
    <s v="Truck"/>
    <n v="4"/>
    <x v="0"/>
    <n v="73761"/>
    <n v="3.77"/>
    <n v="5023867610.8800001"/>
  </r>
  <r>
    <x v="2"/>
    <s v="Model Y"/>
    <n v="2023"/>
    <x v="2"/>
    <n v="92950.35"/>
    <n v="77.5"/>
    <n v="263"/>
    <n v="166"/>
    <s v="SUV"/>
    <n v="5"/>
    <x v="0"/>
    <n v="491547"/>
    <n v="3.57"/>
    <n v="45689465691.450005"/>
  </r>
  <r>
    <x v="8"/>
    <s v="Explorer EV"/>
    <n v="2023"/>
    <x v="3"/>
    <n v="73469.820000000007"/>
    <n v="58.2"/>
    <n v="186"/>
    <n v="134"/>
    <s v="Coupe"/>
    <n v="5"/>
    <x v="0"/>
    <n v="59218"/>
    <n v="3.38"/>
    <n v="4350735800.7600002"/>
  </r>
  <r>
    <x v="2"/>
    <s v="Model X"/>
    <n v="2023"/>
    <x v="1"/>
    <n v="93392.21"/>
    <n v="85.7"/>
    <n v="297"/>
    <n v="200"/>
    <s v="SUV"/>
    <n v="5"/>
    <x v="0"/>
    <n v="138082"/>
    <n v="3.74"/>
    <n v="12895783141.220001"/>
  </r>
  <r>
    <x v="2"/>
    <s v="Model S"/>
    <n v="2023"/>
    <x v="4"/>
    <n v="109016.04"/>
    <n v="46.6"/>
    <n v="178"/>
    <n v="137"/>
    <s v="Hatchback"/>
    <n v="5"/>
    <x v="1"/>
    <n v="113179"/>
    <n v="3.59"/>
    <n v="12338326391.16"/>
  </r>
  <r>
    <x v="15"/>
    <s v="Taycan"/>
    <n v="2023"/>
    <x v="2"/>
    <n v="145262.78"/>
    <n v="70.599999999999994"/>
    <n v="265"/>
    <n v="148"/>
    <s v="Hatchback"/>
    <n v="4"/>
    <x v="1"/>
    <n v="24347"/>
    <n v="3.55"/>
    <n v="3536712904.6599998"/>
  </r>
  <r>
    <x v="8"/>
    <s v="E-Transit"/>
    <n v="2023"/>
    <x v="2"/>
    <n v="51056.88"/>
    <n v="78.599999999999994"/>
    <n v="262"/>
    <n v="156"/>
    <s v="Coupe"/>
    <n v="5"/>
    <x v="2"/>
    <n v="59730"/>
    <n v="3.53"/>
    <n v="3049627442.3999996"/>
  </r>
  <r>
    <x v="2"/>
    <s v="Model S"/>
    <n v="2023"/>
    <x v="4"/>
    <n v="137659.6"/>
    <n v="56.7"/>
    <n v="186"/>
    <n v="142"/>
    <s v="Coupe"/>
    <n v="4"/>
    <x v="1"/>
    <n v="167952"/>
    <n v="3.72"/>
    <n v="23120205139.200001"/>
  </r>
  <r>
    <x v="12"/>
    <s v="Equinox EV"/>
    <n v="2023"/>
    <x v="2"/>
    <n v="37448.46"/>
    <n v="74.099999999999994"/>
    <n v="275"/>
    <n v="165"/>
    <s v="SUV"/>
    <n v="5"/>
    <x v="2"/>
    <n v="12182"/>
    <n v="3.71"/>
    <n v="456197139.71999997"/>
  </r>
  <r>
    <x v="5"/>
    <s v="EV9"/>
    <n v="2023"/>
    <x v="3"/>
    <n v="55591.96"/>
    <n v="80.5"/>
    <n v="283"/>
    <n v="166"/>
    <s v="SUV"/>
    <n v="4"/>
    <x v="2"/>
    <n v="113695"/>
    <n v="3.55"/>
    <n v="6320527892.1999998"/>
  </r>
  <r>
    <x v="3"/>
    <s v="Qin"/>
    <n v="2023"/>
    <x v="2"/>
    <n v="51321.91"/>
    <n v="45.9"/>
    <n v="150"/>
    <n v="156"/>
    <s v="Hatchback"/>
    <n v="5"/>
    <x v="2"/>
    <n v="135053"/>
    <n v="3.36"/>
    <n v="6931177911.2300005"/>
  </r>
  <r>
    <x v="9"/>
    <s v="i3"/>
    <n v="2023"/>
    <x v="4"/>
    <n v="102426.61"/>
    <n v="53.1"/>
    <n v="197"/>
    <n v="146"/>
    <s v="Truck"/>
    <n v="5"/>
    <x v="1"/>
    <n v="26181"/>
    <n v="3.26"/>
    <n v="2681631076.4099998"/>
  </r>
  <r>
    <x v="2"/>
    <s v="Model S"/>
    <n v="2023"/>
    <x v="3"/>
    <n v="44024.89"/>
    <n v="81.599999999999994"/>
    <n v="284"/>
    <n v="143"/>
    <s v="Truck"/>
    <n v="5"/>
    <x v="2"/>
    <n v="124369"/>
    <n v="3.76"/>
    <n v="5475331544.4099998"/>
  </r>
  <r>
    <x v="9"/>
    <s v="i5"/>
    <n v="2023"/>
    <x v="4"/>
    <n v="140938.73000000001"/>
    <n v="59.3"/>
    <n v="195"/>
    <n v="137"/>
    <s v="SUV"/>
    <n v="5"/>
    <x v="1"/>
    <n v="51811"/>
    <n v="3.11"/>
    <n v="7302176540.0300007"/>
  </r>
  <r>
    <x v="5"/>
    <s v="Picanto EV"/>
    <n v="2023"/>
    <x v="2"/>
    <n v="42171.81"/>
    <n v="67.099999999999994"/>
    <n v="252"/>
    <n v="155"/>
    <s v="Hatchback"/>
    <n v="4"/>
    <x v="2"/>
    <n v="135630"/>
    <n v="3.6"/>
    <n v="5719762590.2999992"/>
  </r>
  <r>
    <x v="8"/>
    <s v="Explorer EV"/>
    <n v="2023"/>
    <x v="3"/>
    <n v="68553.62"/>
    <n v="71.3"/>
    <n v="243"/>
    <n v="173"/>
    <s v="SUV"/>
    <n v="5"/>
    <x v="0"/>
    <n v="60519"/>
    <n v="3.36"/>
    <n v="4148796528.7799997"/>
  </r>
  <r>
    <x v="15"/>
    <s v="Taycan"/>
    <n v="2023"/>
    <x v="1"/>
    <n v="254017.08"/>
    <n v="118.1"/>
    <n v="408"/>
    <n v="190"/>
    <s v="Sedan"/>
    <n v="5"/>
    <x v="1"/>
    <n v="26159"/>
    <n v="4.2"/>
    <n v="6644832795.7199993"/>
  </r>
  <r>
    <x v="8"/>
    <s v="Mustang Mach-E"/>
    <n v="2023"/>
    <x v="2"/>
    <n v="67976.38"/>
    <n v="49"/>
    <n v="179"/>
    <n v="166"/>
    <s v="SUV"/>
    <n v="4"/>
    <x v="0"/>
    <n v="21067"/>
    <n v="3.27"/>
    <n v="1432058397.46"/>
  </r>
  <r>
    <x v="0"/>
    <s v="bZ4X"/>
    <n v="2023"/>
    <x v="3"/>
    <n v="69285.919999999998"/>
    <n v="67.099999999999994"/>
    <n v="201"/>
    <n v="168"/>
    <s v="Hatchback"/>
    <n v="5"/>
    <x v="0"/>
    <n v="15625"/>
    <n v="3.58"/>
    <n v="1082592500"/>
  </r>
  <r>
    <x v="2"/>
    <s v="Model S"/>
    <n v="2023"/>
    <x v="1"/>
    <n v="82511.11"/>
    <n v="85.6"/>
    <n v="289"/>
    <n v="180"/>
    <s v="Coupe"/>
    <n v="4"/>
    <x v="0"/>
    <n v="243479"/>
    <n v="3.78"/>
    <n v="20089722551.689999"/>
  </r>
  <r>
    <x v="5"/>
    <s v="Sportage EV"/>
    <n v="2023"/>
    <x v="4"/>
    <n v="102070.65"/>
    <n v="49.5"/>
    <n v="174"/>
    <n v="163"/>
    <s v="SUV"/>
    <n v="3"/>
    <x v="1"/>
    <n v="148039"/>
    <n v="3.37"/>
    <n v="15110436955.349998"/>
  </r>
  <r>
    <x v="5"/>
    <s v="Niro EV"/>
    <n v="2023"/>
    <x v="4"/>
    <n v="96493.02"/>
    <n v="59.1"/>
    <n v="207"/>
    <n v="146"/>
    <s v="Van"/>
    <n v="5"/>
    <x v="0"/>
    <n v="123691"/>
    <n v="3.45"/>
    <n v="11935318136.82"/>
  </r>
  <r>
    <x v="5"/>
    <s v="EV9"/>
    <n v="2023"/>
    <x v="2"/>
    <n v="52108.05"/>
    <n v="65.900000000000006"/>
    <n v="230"/>
    <n v="152"/>
    <s v="SUV"/>
    <n v="5"/>
    <x v="2"/>
    <n v="98868"/>
    <n v="3.23"/>
    <n v="5151818687.4000006"/>
  </r>
  <r>
    <x v="4"/>
    <s v="e-tron"/>
    <n v="2023"/>
    <x v="2"/>
    <n v="93510.78"/>
    <n v="53"/>
    <n v="195"/>
    <n v="161"/>
    <s v="Hatchback"/>
    <n v="5"/>
    <x v="0"/>
    <n v="70832"/>
    <n v="3.16"/>
    <n v="6623555568.96"/>
  </r>
  <r>
    <x v="7"/>
    <s v="ID.5"/>
    <n v="2023"/>
    <x v="4"/>
    <n v="87378.559999999998"/>
    <n v="46.6"/>
    <n v="155"/>
    <n v="162"/>
    <s v="Truck"/>
    <n v="3"/>
    <x v="0"/>
    <n v="280958"/>
    <n v="3.26"/>
    <n v="24549705460.48"/>
  </r>
  <r>
    <x v="6"/>
    <s v="Ioniq 5"/>
    <n v="2023"/>
    <x v="0"/>
    <n v="51553.1"/>
    <n v="75.3"/>
    <n v="265"/>
    <n v="174"/>
    <s v="Coupe"/>
    <n v="5"/>
    <x v="2"/>
    <n v="110986"/>
    <n v="3.76"/>
    <n v="5721672356.5999994"/>
  </r>
  <r>
    <x v="3"/>
    <s v="Yuan Plus"/>
    <n v="2023"/>
    <x v="3"/>
    <n v="70732.36"/>
    <n v="45.3"/>
    <n v="151"/>
    <n v="161"/>
    <s v="Hatchback"/>
    <n v="4"/>
    <x v="0"/>
    <n v="198624"/>
    <n v="3.14"/>
    <n v="14049144272.639999"/>
  </r>
  <r>
    <x v="9"/>
    <s v="i5"/>
    <n v="2023"/>
    <x v="3"/>
    <n v="106048.4"/>
    <n v="47.8"/>
    <n v="195"/>
    <n v="167"/>
    <s v="Hatchback"/>
    <n v="5"/>
    <x v="1"/>
    <n v="52016"/>
    <n v="3.3"/>
    <n v="5516213574.3999996"/>
  </r>
  <r>
    <x v="7"/>
    <s v="ID. Aero"/>
    <n v="2023"/>
    <x v="1"/>
    <n v="44275.35"/>
    <n v="90.4"/>
    <n v="308"/>
    <n v="180"/>
    <s v="Hatchback"/>
    <n v="5"/>
    <x v="2"/>
    <n v="209760"/>
    <n v="3.52"/>
    <n v="9287197416"/>
  </r>
  <r>
    <x v="12"/>
    <s v="Bolt EV"/>
    <n v="2023"/>
    <x v="2"/>
    <n v="38369.910000000003"/>
    <n v="46.8"/>
    <n v="177"/>
    <n v="139"/>
    <s v="SUV"/>
    <n v="5"/>
    <x v="2"/>
    <n v="19280"/>
    <n v="3.34"/>
    <n v="739771864.80000007"/>
  </r>
  <r>
    <x v="2"/>
    <s v="Model S"/>
    <n v="2023"/>
    <x v="0"/>
    <n v="82872.710000000006"/>
    <n v="88.9"/>
    <n v="322"/>
    <n v="182"/>
    <s v="Coupe"/>
    <n v="5"/>
    <x v="0"/>
    <n v="233601"/>
    <n v="3.61"/>
    <n v="19359147928.710003"/>
  </r>
  <r>
    <x v="2"/>
    <s v="Model X"/>
    <n v="2023"/>
    <x v="3"/>
    <n v="43959.45"/>
    <n v="63.9"/>
    <n v="211"/>
    <n v="148"/>
    <s v="SUV"/>
    <n v="3"/>
    <x v="2"/>
    <n v="124556"/>
    <n v="3.97"/>
    <n v="5475413254.1999998"/>
  </r>
  <r>
    <x v="5"/>
    <s v="EV9"/>
    <n v="2023"/>
    <x v="2"/>
    <n v="65534.18"/>
    <n v="84.3"/>
    <n v="248"/>
    <n v="176"/>
    <s v="SUV"/>
    <n v="4"/>
    <x v="0"/>
    <n v="115671"/>
    <n v="3.43"/>
    <n v="7580404134.7799997"/>
  </r>
  <r>
    <x v="6"/>
    <s v="Ioniq 6"/>
    <n v="2023"/>
    <x v="3"/>
    <n v="66319.66"/>
    <n v="72.900000000000006"/>
    <n v="225"/>
    <n v="134"/>
    <s v="Van"/>
    <n v="4"/>
    <x v="0"/>
    <n v="139935"/>
    <n v="3.2"/>
    <n v="9280441622.1000004"/>
  </r>
  <r>
    <x v="4"/>
    <s v="e-tron"/>
    <n v="2023"/>
    <x v="3"/>
    <n v="63313.85"/>
    <n v="56.2"/>
    <n v="189"/>
    <n v="138"/>
    <s v="Van"/>
    <n v="4"/>
    <x v="2"/>
    <n v="25175"/>
    <n v="3.27"/>
    <n v="1593926173.75"/>
  </r>
  <r>
    <x v="7"/>
    <s v="ID.5"/>
    <n v="2023"/>
    <x v="1"/>
    <n v="62312.34"/>
    <n v="116.7"/>
    <n v="420"/>
    <n v="191"/>
    <s v="Sedan"/>
    <n v="4"/>
    <x v="2"/>
    <n v="298301"/>
    <n v="3.59"/>
    <n v="18587833334.34"/>
  </r>
  <r>
    <x v="3"/>
    <s v="Atto 3"/>
    <n v="2023"/>
    <x v="1"/>
    <n v="62874.95"/>
    <n v="71.7"/>
    <n v="262"/>
    <n v="200"/>
    <s v="Sedan"/>
    <n v="4"/>
    <x v="2"/>
    <n v="207361"/>
    <n v="3.74"/>
    <n v="13037812506.949999"/>
  </r>
  <r>
    <x v="9"/>
    <s v="iX"/>
    <n v="2023"/>
    <x v="2"/>
    <n v="98461.71"/>
    <n v="53"/>
    <n v="185"/>
    <n v="142"/>
    <s v="Sedan"/>
    <n v="5"/>
    <x v="0"/>
    <n v="22686"/>
    <n v="3"/>
    <n v="2233702353.0599999"/>
  </r>
  <r>
    <x v="8"/>
    <s v="Mustang Mach-E"/>
    <n v="2023"/>
    <x v="4"/>
    <n v="61500.69"/>
    <n v="61.2"/>
    <n v="209"/>
    <n v="154"/>
    <s v="Sedan"/>
    <n v="5"/>
    <x v="2"/>
    <n v="52208"/>
    <n v="3.39"/>
    <n v="3210828023.52"/>
  </r>
  <r>
    <x v="2"/>
    <s v="Model 3"/>
    <n v="2023"/>
    <x v="3"/>
    <n v="123171.93"/>
    <n v="71.8"/>
    <n v="246"/>
    <n v="150"/>
    <s v="Hatchback"/>
    <n v="4"/>
    <x v="1"/>
    <n v="165942"/>
    <n v="3.71"/>
    <n v="20439396408.059998"/>
  </r>
  <r>
    <x v="7"/>
    <s v="ID. Buzz"/>
    <n v="2023"/>
    <x v="2"/>
    <n v="31850.78"/>
    <n v="51.4"/>
    <n v="199"/>
    <n v="149"/>
    <s v="Sedan"/>
    <n v="5"/>
    <x v="3"/>
    <n v="272903"/>
    <n v="3.24"/>
    <n v="8692173414.3400002"/>
  </r>
  <r>
    <x v="15"/>
    <s v="Macan Electric"/>
    <n v="2023"/>
    <x v="0"/>
    <n v="139594.69"/>
    <n v="75.599999999999994"/>
    <n v="252"/>
    <n v="179"/>
    <s v="Hatchback"/>
    <n v="3"/>
    <x v="1"/>
    <n v="9428"/>
    <n v="3.64"/>
    <n v="1316098737.3199999"/>
  </r>
  <r>
    <x v="5"/>
    <s v="Niro EV"/>
    <n v="2023"/>
    <x v="3"/>
    <n v="42128.98"/>
    <n v="66.599999999999994"/>
    <n v="226"/>
    <n v="145"/>
    <s v="Hatchback"/>
    <n v="4"/>
    <x v="2"/>
    <n v="121472"/>
    <n v="3.23"/>
    <n v="5117491458.5600004"/>
  </r>
  <r>
    <x v="3"/>
    <s v="Seagull"/>
    <n v="2023"/>
    <x v="2"/>
    <n v="52361.13"/>
    <n v="60"/>
    <n v="186"/>
    <n v="142"/>
    <s v="Hatchback"/>
    <n v="4"/>
    <x v="2"/>
    <n v="203886"/>
    <n v="3.06"/>
    <n v="10675701351.18"/>
  </r>
  <r>
    <x v="3"/>
    <s v="Dolphin"/>
    <n v="2023"/>
    <x v="4"/>
    <n v="78664.3"/>
    <n v="82.8"/>
    <n v="301"/>
    <n v="137"/>
    <s v="Truck"/>
    <n v="5"/>
    <x v="0"/>
    <n v="238674"/>
    <n v="3.59"/>
    <n v="18775123138.200001"/>
  </r>
  <r>
    <x v="2"/>
    <s v="Model X"/>
    <n v="2023"/>
    <x v="1"/>
    <n v="84447.94"/>
    <n v="72.5"/>
    <n v="255"/>
    <n v="200"/>
    <s v="Sedan"/>
    <n v="4"/>
    <x v="0"/>
    <n v="103295"/>
    <n v="3.51"/>
    <n v="8723049962.3000011"/>
  </r>
  <r>
    <x v="8"/>
    <s v="E-Transit"/>
    <n v="2023"/>
    <x v="3"/>
    <n v="38404.42"/>
    <n v="49.1"/>
    <n v="193"/>
    <n v="148"/>
    <s v="Truck"/>
    <n v="3"/>
    <x v="2"/>
    <n v="49683"/>
    <n v="3.43"/>
    <n v="1908046798.8599999"/>
  </r>
  <r>
    <x v="3"/>
    <s v="Dolphin"/>
    <n v="2023"/>
    <x v="0"/>
    <n v="77360.56"/>
    <n v="106.1"/>
    <n v="386"/>
    <n v="176"/>
    <s v="Truck"/>
    <n v="5"/>
    <x v="0"/>
    <n v="154361"/>
    <n v="3.89"/>
    <n v="11941453402.16"/>
  </r>
  <r>
    <x v="3"/>
    <s v="Atto 3"/>
    <n v="2023"/>
    <x v="0"/>
    <n v="48954.46"/>
    <n v="94.7"/>
    <n v="326"/>
    <n v="184"/>
    <s v="Van"/>
    <n v="5"/>
    <x v="2"/>
    <n v="200483"/>
    <n v="3.75"/>
    <n v="9814537004.1800003"/>
  </r>
  <r>
    <x v="3"/>
    <s v="Atto 3"/>
    <n v="2023"/>
    <x v="2"/>
    <n v="53518.98"/>
    <n v="71.2"/>
    <n v="260"/>
    <n v="153"/>
    <s v="Hatchback"/>
    <n v="4"/>
    <x v="2"/>
    <n v="222794"/>
    <n v="3.15"/>
    <n v="11923707630.120001"/>
  </r>
  <r>
    <x v="13"/>
    <s v="EQG"/>
    <n v="2023"/>
    <x v="0"/>
    <n v="133058.62"/>
    <n v="89.4"/>
    <n v="309"/>
    <n v="158"/>
    <s v="Truck"/>
    <n v="5"/>
    <x v="1"/>
    <n v="29039"/>
    <n v="3.99"/>
    <n v="3863889266.1799998"/>
  </r>
  <r>
    <x v="2"/>
    <s v="Model Y"/>
    <n v="2023"/>
    <x v="3"/>
    <n v="53432.36"/>
    <n v="79.599999999999994"/>
    <n v="289"/>
    <n v="146"/>
    <s v="Coupe"/>
    <n v="5"/>
    <x v="2"/>
    <n v="490497"/>
    <n v="3.93"/>
    <n v="26208412282.920002"/>
  </r>
  <r>
    <x v="6"/>
    <s v="Kona Electric"/>
    <n v="2023"/>
    <x v="0"/>
    <n v="40702.92"/>
    <n v="77.5"/>
    <n v="277"/>
    <n v="183"/>
    <s v="SUV"/>
    <n v="4"/>
    <x v="2"/>
    <n v="128695"/>
    <n v="3.64"/>
    <n v="5238262289.3999996"/>
  </r>
  <r>
    <x v="4"/>
    <s v="e-tron GT"/>
    <n v="2023"/>
    <x v="2"/>
    <n v="67690.27"/>
    <n v="64.3"/>
    <n v="232"/>
    <n v="158"/>
    <s v="Sedan"/>
    <n v="4"/>
    <x v="0"/>
    <n v="63429"/>
    <n v="3.38"/>
    <n v="4293526135.8300004"/>
  </r>
  <r>
    <x v="4"/>
    <s v="Q6 e-tron"/>
    <n v="2023"/>
    <x v="2"/>
    <n v="103373.32"/>
    <n v="48"/>
    <n v="165"/>
    <n v="147"/>
    <s v="Sedan"/>
    <n v="4"/>
    <x v="1"/>
    <n v="46342"/>
    <n v="3.62"/>
    <n v="4790526395.4400005"/>
  </r>
  <r>
    <x v="4"/>
    <s v="Q6 e-tron"/>
    <n v="2023"/>
    <x v="4"/>
    <n v="94046.97"/>
    <n v="47.5"/>
    <n v="160"/>
    <n v="155"/>
    <s v="Truck"/>
    <n v="5"/>
    <x v="0"/>
    <n v="36637"/>
    <n v="3.22"/>
    <n v="3445598839.8899999"/>
  </r>
  <r>
    <x v="14"/>
    <s v="EL8"/>
    <n v="2023"/>
    <x v="3"/>
    <n v="65637.97"/>
    <n v="69.5"/>
    <n v="270"/>
    <n v="162"/>
    <s v="Hatchback"/>
    <n v="5"/>
    <x v="0"/>
    <n v="24026"/>
    <n v="3.35"/>
    <n v="1577017867.22"/>
  </r>
  <r>
    <x v="9"/>
    <s v="i3"/>
    <n v="2023"/>
    <x v="4"/>
    <n v="86679.02"/>
    <n v="53.8"/>
    <n v="171"/>
    <n v="146"/>
    <s v="Truck"/>
    <n v="5"/>
    <x v="0"/>
    <n v="68670"/>
    <n v="3.23"/>
    <n v="5952248303.4000006"/>
  </r>
  <r>
    <x v="8"/>
    <s v="Explorer EV"/>
    <n v="2023"/>
    <x v="3"/>
    <n v="42429.66"/>
    <n v="63.3"/>
    <n v="218"/>
    <n v="140"/>
    <s v="Sedan"/>
    <n v="3"/>
    <x v="2"/>
    <n v="37998"/>
    <n v="3.47"/>
    <n v="1612242220.6800001"/>
  </r>
  <r>
    <x v="5"/>
    <s v="Sportage EV"/>
    <n v="2023"/>
    <x v="4"/>
    <n v="59926.46"/>
    <n v="66.3"/>
    <n v="219"/>
    <n v="162"/>
    <s v="SUV"/>
    <n v="5"/>
    <x v="2"/>
    <n v="144832"/>
    <n v="3.14"/>
    <n v="8679269054.7199993"/>
  </r>
  <r>
    <x v="2"/>
    <s v="Model 3"/>
    <n v="2023"/>
    <x v="3"/>
    <n v="106795.24"/>
    <n v="45.7"/>
    <n v="163"/>
    <n v="178"/>
    <s v="Van"/>
    <n v="5"/>
    <x v="1"/>
    <n v="212365"/>
    <n v="3.61"/>
    <n v="22679571142.600002"/>
  </r>
  <r>
    <x v="2"/>
    <s v="Model S"/>
    <n v="2023"/>
    <x v="4"/>
    <n v="64307.39"/>
    <n v="44.8"/>
    <n v="171"/>
    <n v="147"/>
    <s v="Hatchback"/>
    <n v="4"/>
    <x v="2"/>
    <n v="138801"/>
    <n v="3.7"/>
    <n v="8925930039.3899994"/>
  </r>
  <r>
    <x v="3"/>
    <s v="Max"/>
    <n v="2023"/>
    <x v="0"/>
    <n v="99850.08"/>
    <n v="105.9"/>
    <n v="400"/>
    <n v="171"/>
    <s v="Truck"/>
    <n v="5"/>
    <x v="0"/>
    <n v="207644"/>
    <n v="3.65"/>
    <n v="20733270011.52"/>
  </r>
  <r>
    <x v="12"/>
    <s v="Bolt EV"/>
    <n v="2023"/>
    <x v="2"/>
    <n v="59074.75"/>
    <n v="54.5"/>
    <n v="198"/>
    <n v="163"/>
    <s v="Coupe"/>
    <n v="4"/>
    <x v="2"/>
    <n v="15584"/>
    <n v="3.31"/>
    <n v="920620904"/>
  </r>
  <r>
    <x v="2"/>
    <s v="Model Y"/>
    <n v="2023"/>
    <x v="3"/>
    <n v="100758.31"/>
    <n v="46"/>
    <n v="171"/>
    <n v="175"/>
    <s v="SUV"/>
    <n v="5"/>
    <x v="1"/>
    <n v="472436"/>
    <n v="3.4"/>
    <n v="47601852943.159996"/>
  </r>
  <r>
    <x v="8"/>
    <s v="Explorer EV"/>
    <n v="2023"/>
    <x v="1"/>
    <n v="78508.55"/>
    <n v="73"/>
    <n v="274"/>
    <n v="200"/>
    <s v="Van"/>
    <n v="4"/>
    <x v="0"/>
    <n v="51688"/>
    <n v="3.3"/>
    <n v="4057949932.4000001"/>
  </r>
  <r>
    <x v="3"/>
    <s v="Yuan Plus"/>
    <n v="2023"/>
    <x v="0"/>
    <n v="44084.51"/>
    <n v="94"/>
    <n v="330"/>
    <n v="179"/>
    <s v="Coupe"/>
    <n v="4"/>
    <x v="2"/>
    <n v="187463"/>
    <n v="3.67"/>
    <n v="8264214498.1300001"/>
  </r>
  <r>
    <x v="7"/>
    <s v="ID.5"/>
    <n v="2023"/>
    <x v="1"/>
    <n v="64071.199999999997"/>
    <n v="77.7"/>
    <n v="297"/>
    <n v="191"/>
    <s v="Coupe"/>
    <n v="3"/>
    <x v="2"/>
    <n v="290103"/>
    <n v="3.66"/>
    <n v="18587247333.599998"/>
  </r>
  <r>
    <x v="9"/>
    <s v="i7"/>
    <n v="2023"/>
    <x v="2"/>
    <n v="89651.14"/>
    <n v="73.099999999999994"/>
    <n v="249"/>
    <n v="165"/>
    <s v="Truck"/>
    <n v="4"/>
    <x v="0"/>
    <n v="72062"/>
    <n v="3.37"/>
    <n v="6460440450.6800003"/>
  </r>
  <r>
    <x v="2"/>
    <s v="Model 3"/>
    <n v="2023"/>
    <x v="1"/>
    <n v="125634.38"/>
    <n v="79.599999999999994"/>
    <n v="268"/>
    <n v="195"/>
    <s v="Hatchback"/>
    <n v="5"/>
    <x v="1"/>
    <n v="223587"/>
    <n v="3.94"/>
    <n v="28090214121.060001"/>
  </r>
  <r>
    <x v="0"/>
    <s v="bZ Compact SUV"/>
    <n v="2023"/>
    <x v="4"/>
    <n v="52160.99"/>
    <n v="69.400000000000006"/>
    <n v="234"/>
    <n v="169"/>
    <s v="SUV"/>
    <n v="5"/>
    <x v="2"/>
    <n v="7110"/>
    <n v="3.56"/>
    <n v="370864638.89999998"/>
  </r>
  <r>
    <x v="2"/>
    <s v="Cybertruck"/>
    <n v="2023"/>
    <x v="3"/>
    <n v="35071.56"/>
    <n v="52.4"/>
    <n v="192"/>
    <n v="168"/>
    <s v="Truck"/>
    <n v="5"/>
    <x v="2"/>
    <n v="139628"/>
    <n v="3.17"/>
    <n v="4896971779.6799994"/>
  </r>
  <r>
    <x v="2"/>
    <s v="Cybertruck"/>
    <n v="2023"/>
    <x v="4"/>
    <n v="118800.8"/>
    <n v="54.2"/>
    <n v="203"/>
    <n v="162"/>
    <s v="Truck"/>
    <n v="4"/>
    <x v="1"/>
    <n v="197139"/>
    <n v="3.38"/>
    <n v="23420270911.200001"/>
  </r>
  <r>
    <x v="7"/>
    <s v="ID. Aero"/>
    <n v="2023"/>
    <x v="3"/>
    <n v="51298.81"/>
    <n v="63.2"/>
    <n v="237"/>
    <n v="162"/>
    <s v="Coupe"/>
    <n v="5"/>
    <x v="2"/>
    <n v="222298"/>
    <n v="3.5"/>
    <n v="11403622865.379999"/>
  </r>
  <r>
    <x v="9"/>
    <s v="i4"/>
    <n v="2023"/>
    <x v="1"/>
    <n v="130983.67"/>
    <n v="110.9"/>
    <n v="390"/>
    <n v="200"/>
    <s v="Van"/>
    <n v="5"/>
    <x v="1"/>
    <n v="64205"/>
    <n v="3.82"/>
    <n v="8409806532.3499994"/>
  </r>
  <r>
    <x v="2"/>
    <s v="Model X"/>
    <n v="2023"/>
    <x v="4"/>
    <n v="53973.57"/>
    <n v="82.6"/>
    <n v="301"/>
    <n v="143"/>
    <s v="Sedan"/>
    <n v="5"/>
    <x v="2"/>
    <n v="206669"/>
    <n v="3.87"/>
    <n v="11154663738.33"/>
  </r>
  <r>
    <x v="9"/>
    <s v="i3"/>
    <n v="2023"/>
    <x v="4"/>
    <n v="81481.72"/>
    <n v="64.8"/>
    <n v="209"/>
    <n v="180"/>
    <s v="Sedan"/>
    <n v="4"/>
    <x v="0"/>
    <n v="60859"/>
    <n v="3.29"/>
    <n v="4958895997.4800005"/>
  </r>
  <r>
    <x v="13"/>
    <s v="EQE"/>
    <n v="2023"/>
    <x v="0"/>
    <n v="142535.28"/>
    <n v="94.3"/>
    <n v="305"/>
    <n v="169"/>
    <s v="Sedan"/>
    <n v="4"/>
    <x v="1"/>
    <n v="32410"/>
    <n v="3.94"/>
    <n v="4619568424.8000002"/>
  </r>
  <r>
    <x v="3"/>
    <s v="Qin"/>
    <n v="2023"/>
    <x v="1"/>
    <n v="54457.48"/>
    <n v="80.599999999999994"/>
    <n v="251"/>
    <n v="193"/>
    <s v="Truck"/>
    <n v="4"/>
    <x v="2"/>
    <n v="205191"/>
    <n v="3.38"/>
    <n v="11174184778.68"/>
  </r>
  <r>
    <x v="3"/>
    <s v="Max"/>
    <n v="2023"/>
    <x v="0"/>
    <n v="35900.230000000003"/>
    <n v="88"/>
    <n v="302"/>
    <n v="198"/>
    <s v="SUV"/>
    <n v="5"/>
    <x v="2"/>
    <n v="176515"/>
    <n v="3.84"/>
    <n v="6336929098.4500008"/>
  </r>
  <r>
    <x v="3"/>
    <s v="Dolphin"/>
    <n v="2023"/>
    <x v="4"/>
    <n v="25794.27"/>
    <n v="50.1"/>
    <n v="188"/>
    <n v="135"/>
    <s v="Truck"/>
    <n v="3"/>
    <x v="3"/>
    <n v="112218"/>
    <n v="3.59"/>
    <n v="2894581390.8600001"/>
  </r>
  <r>
    <x v="13"/>
    <s v="EQG"/>
    <n v="2023"/>
    <x v="2"/>
    <n v="82191.199999999997"/>
    <n v="71.099999999999994"/>
    <n v="281"/>
    <n v="154"/>
    <s v="Sedan"/>
    <n v="4"/>
    <x v="0"/>
    <n v="59566"/>
    <n v="3.91"/>
    <n v="4895801019.1999998"/>
  </r>
  <r>
    <x v="5"/>
    <s v="EV6"/>
    <n v="2023"/>
    <x v="2"/>
    <n v="37474.58"/>
    <n v="58.6"/>
    <n v="209"/>
    <n v="141"/>
    <s v="Truck"/>
    <n v="5"/>
    <x v="2"/>
    <n v="67143"/>
    <n v="3.33"/>
    <n v="2516155724.9400001"/>
  </r>
  <r>
    <x v="6"/>
    <s v="i30"/>
    <n v="2023"/>
    <x v="2"/>
    <n v="37474.79"/>
    <n v="56.5"/>
    <n v="218"/>
    <n v="134"/>
    <s v="Van"/>
    <n v="4"/>
    <x v="2"/>
    <n v="129662"/>
    <n v="3.46"/>
    <n v="4859056220.9800005"/>
  </r>
  <r>
    <x v="7"/>
    <s v="ID.4"/>
    <n v="2023"/>
    <x v="4"/>
    <n v="69215.27"/>
    <n v="62"/>
    <n v="197"/>
    <n v="136"/>
    <s v="Truck"/>
    <n v="5"/>
    <x v="0"/>
    <n v="211559"/>
    <n v="3.61"/>
    <n v="14643113305.93"/>
  </r>
  <r>
    <x v="6"/>
    <s v="Ioniq 6"/>
    <n v="2023"/>
    <x v="2"/>
    <n v="41678.26"/>
    <n v="66.400000000000006"/>
    <n v="252"/>
    <n v="155"/>
    <s v="Van"/>
    <n v="4"/>
    <x v="2"/>
    <n v="52756"/>
    <n v="3.29"/>
    <n v="2198778284.5599999"/>
  </r>
  <r>
    <x v="12"/>
    <s v="Blazer EV"/>
    <n v="2023"/>
    <x v="1"/>
    <n v="60380.4"/>
    <n v="91.2"/>
    <n v="308"/>
    <n v="199"/>
    <s v="Van"/>
    <n v="3"/>
    <x v="2"/>
    <n v="8909"/>
    <n v="3.76"/>
    <n v="537928983.60000002"/>
  </r>
  <r>
    <x v="9"/>
    <s v="i4"/>
    <n v="2023"/>
    <x v="3"/>
    <n v="101992.19"/>
    <n v="49.3"/>
    <n v="168"/>
    <n v="165"/>
    <s v="Sedan"/>
    <n v="5"/>
    <x v="1"/>
    <n v="24913"/>
    <n v="3.34"/>
    <n v="2540931429.4700003"/>
  </r>
  <r>
    <x v="12"/>
    <s v="Blazer EV"/>
    <n v="2023"/>
    <x v="1"/>
    <n v="77802.210000000006"/>
    <n v="81.5"/>
    <n v="300"/>
    <n v="195"/>
    <s v="Truck"/>
    <n v="5"/>
    <x v="0"/>
    <n v="18415"/>
    <n v="3.87"/>
    <n v="1432727697.1500001"/>
  </r>
  <r>
    <x v="3"/>
    <s v="Qin"/>
    <n v="2023"/>
    <x v="2"/>
    <n v="40160.18"/>
    <n v="61.8"/>
    <n v="214"/>
    <n v="164"/>
    <s v="Hatchback"/>
    <n v="5"/>
    <x v="2"/>
    <n v="234883"/>
    <n v="3.4"/>
    <n v="9432943558.9400005"/>
  </r>
  <r>
    <x v="5"/>
    <s v="Picanto EV"/>
    <n v="2023"/>
    <x v="3"/>
    <n v="66396.28"/>
    <n v="40.4"/>
    <n v="150"/>
    <n v="172"/>
    <s v="Sedan"/>
    <n v="4"/>
    <x v="0"/>
    <n v="93251"/>
    <n v="3.17"/>
    <n v="6191519506.2799997"/>
  </r>
  <r>
    <x v="2"/>
    <s v="Model 3"/>
    <n v="2023"/>
    <x v="2"/>
    <n v="50661.72"/>
    <n v="45"/>
    <n v="150"/>
    <n v="132"/>
    <s v="Truck"/>
    <n v="5"/>
    <x v="2"/>
    <n v="240645"/>
    <n v="3.26"/>
    <n v="12191489609.4"/>
  </r>
  <r>
    <x v="11"/>
    <s v="R1S"/>
    <n v="2023"/>
    <x v="2"/>
    <n v="71764.23"/>
    <n v="63.3"/>
    <n v="216"/>
    <n v="179"/>
    <s v="Coupe"/>
    <n v="4"/>
    <x v="0"/>
    <n v="16601"/>
    <n v="3.25"/>
    <n v="1191357982.23"/>
  </r>
  <r>
    <x v="7"/>
    <s v="ID. Buzz"/>
    <n v="2023"/>
    <x v="4"/>
    <n v="99863.63"/>
    <n v="66.5"/>
    <n v="227"/>
    <n v="134"/>
    <s v="Truck"/>
    <n v="5"/>
    <x v="0"/>
    <n v="237739"/>
    <n v="3.79"/>
    <n v="23741479532.57"/>
  </r>
  <r>
    <x v="12"/>
    <s v="Equinox EV"/>
    <n v="2023"/>
    <x v="0"/>
    <n v="33127.160000000003"/>
    <n v="87.4"/>
    <n v="303"/>
    <n v="160"/>
    <s v="SUV"/>
    <n v="4"/>
    <x v="3"/>
    <n v="19880"/>
    <n v="3.66"/>
    <n v="658567940.80000007"/>
  </r>
  <r>
    <x v="8"/>
    <s v="Explorer EV"/>
    <n v="2023"/>
    <x v="1"/>
    <n v="66131.67"/>
    <n v="96.5"/>
    <n v="322"/>
    <n v="200"/>
    <s v="Truck"/>
    <n v="5"/>
    <x v="0"/>
    <n v="34351"/>
    <n v="3.53"/>
    <n v="2271688996.1700001"/>
  </r>
  <r>
    <x v="3"/>
    <s v="Leaf 50X"/>
    <n v="2023"/>
    <x v="1"/>
    <n v="25921.47"/>
    <n v="101.8"/>
    <n v="344"/>
    <n v="188"/>
    <s v="Truck"/>
    <n v="5"/>
    <x v="3"/>
    <n v="110847"/>
    <n v="3.94"/>
    <n v="2873317185.0900002"/>
  </r>
  <r>
    <x v="6"/>
    <s v="Ioniq 6"/>
    <n v="2023"/>
    <x v="3"/>
    <n v="53342.39"/>
    <n v="42.5"/>
    <n v="150"/>
    <n v="179"/>
    <s v="Sedan"/>
    <n v="4"/>
    <x v="2"/>
    <n v="142003"/>
    <n v="3.16"/>
    <n v="7574779407.1700001"/>
  </r>
  <r>
    <x v="5"/>
    <s v="EV9"/>
    <n v="2023"/>
    <x v="3"/>
    <n v="33510.99"/>
    <n v="40.1"/>
    <n v="152"/>
    <n v="135"/>
    <s v="SUV"/>
    <n v="4"/>
    <x v="3"/>
    <n v="137108"/>
    <n v="3.43"/>
    <n v="4594624816.9200001"/>
  </r>
  <r>
    <x v="3"/>
    <s v="Seagull"/>
    <n v="2023"/>
    <x v="3"/>
    <n v="84139.98"/>
    <n v="72.3"/>
    <n v="261"/>
    <n v="130"/>
    <s v="Truck"/>
    <n v="5"/>
    <x v="0"/>
    <n v="236926"/>
    <n v="3.41"/>
    <n v="19934948901.48"/>
  </r>
  <r>
    <x v="14"/>
    <s v="ET5"/>
    <n v="2023"/>
    <x v="4"/>
    <n v="114240.51"/>
    <n v="65.599999999999994"/>
    <n v="218"/>
    <n v="162"/>
    <s v="Truck"/>
    <n v="5"/>
    <x v="1"/>
    <n v="26747"/>
    <n v="3.64"/>
    <n v="3055590920.9699998"/>
  </r>
  <r>
    <x v="12"/>
    <s v="Silverado EV"/>
    <n v="2023"/>
    <x v="4"/>
    <n v="41711.199999999997"/>
    <n v="58.9"/>
    <n v="204"/>
    <n v="135"/>
    <s v="Hatchback"/>
    <n v="4"/>
    <x v="2"/>
    <n v="776"/>
    <n v="3.17"/>
    <n v="32367891.199999999"/>
  </r>
  <r>
    <x v="7"/>
    <s v="ID. Aero"/>
    <n v="2023"/>
    <x v="4"/>
    <n v="60337.62"/>
    <n v="44.2"/>
    <n v="158"/>
    <n v="175"/>
    <s v="Hatchback"/>
    <n v="5"/>
    <x v="2"/>
    <n v="201954"/>
    <n v="3.3"/>
    <n v="12185423709.480001"/>
  </r>
  <r>
    <x v="7"/>
    <s v="ID.3"/>
    <n v="2023"/>
    <x v="4"/>
    <n v="53064.54"/>
    <n v="68.099999999999994"/>
    <n v="226"/>
    <n v="141"/>
    <s v="Truck"/>
    <n v="3"/>
    <x v="2"/>
    <n v="243991"/>
    <n v="3.26"/>
    <n v="12947270179.139999"/>
  </r>
  <r>
    <x v="8"/>
    <s v="F-150 Lightning"/>
    <n v="2023"/>
    <x v="1"/>
    <n v="69526.3"/>
    <n v="114.5"/>
    <n v="415"/>
    <n v="200"/>
    <s v="Truck"/>
    <n v="5"/>
    <x v="0"/>
    <n v="23821"/>
    <n v="3.84"/>
    <n v="1656185992.3"/>
  </r>
  <r>
    <x v="6"/>
    <s v="Ioniq"/>
    <n v="2023"/>
    <x v="3"/>
    <n v="73470.2"/>
    <n v="61.6"/>
    <n v="217"/>
    <n v="167"/>
    <s v="Truck"/>
    <n v="5"/>
    <x v="0"/>
    <n v="142666"/>
    <n v="3.15"/>
    <n v="10481699553.199999"/>
  </r>
  <r>
    <x v="2"/>
    <s v="Model S"/>
    <n v="2023"/>
    <x v="1"/>
    <n v="105706.18"/>
    <n v="114.7"/>
    <n v="391"/>
    <n v="200"/>
    <s v="Coupe"/>
    <n v="3"/>
    <x v="1"/>
    <n v="247669"/>
    <n v="4.2"/>
    <n v="26180143894.419998"/>
  </r>
  <r>
    <x v="2"/>
    <s v="Model S"/>
    <n v="2023"/>
    <x v="3"/>
    <n v="95125.11"/>
    <n v="45.3"/>
    <n v="150"/>
    <n v="135"/>
    <s v="Hatchback"/>
    <n v="3"/>
    <x v="0"/>
    <n v="116755"/>
    <n v="3.27"/>
    <n v="11106332218.049999"/>
  </r>
  <r>
    <x v="4"/>
    <s v="e-tron GT"/>
    <n v="2023"/>
    <x v="0"/>
    <n v="64643.29"/>
    <n v="83.8"/>
    <n v="293"/>
    <n v="173"/>
    <s v="SUV"/>
    <n v="5"/>
    <x v="2"/>
    <n v="67458"/>
    <n v="3.6"/>
    <n v="4360707056.8199997"/>
  </r>
  <r>
    <x v="12"/>
    <s v="Silverado EV"/>
    <n v="2023"/>
    <x v="4"/>
    <n v="73891.199999999997"/>
    <n v="45"/>
    <n v="150"/>
    <n v="134"/>
    <s v="SUV"/>
    <n v="5"/>
    <x v="0"/>
    <n v="7223"/>
    <n v="3.41"/>
    <n v="533716137.59999996"/>
  </r>
  <r>
    <x v="3"/>
    <s v="Yuan Plus"/>
    <n v="2023"/>
    <x v="2"/>
    <n v="36015.660000000003"/>
    <n v="52.4"/>
    <n v="178"/>
    <n v="160"/>
    <s v="SUV"/>
    <n v="5"/>
    <x v="2"/>
    <n v="143487"/>
    <n v="3.37"/>
    <n v="5167779006.4200001"/>
  </r>
  <r>
    <x v="5"/>
    <s v="EV9"/>
    <n v="2023"/>
    <x v="3"/>
    <n v="63386.57"/>
    <n v="61.3"/>
    <n v="218"/>
    <n v="167"/>
    <s v="SUV"/>
    <n v="5"/>
    <x v="2"/>
    <n v="97503"/>
    <n v="3.22"/>
    <n v="6180380734.71"/>
  </r>
  <r>
    <x v="9"/>
    <s v="iX"/>
    <n v="2023"/>
    <x v="1"/>
    <n v="101590.86"/>
    <n v="116.4"/>
    <n v="426"/>
    <n v="174"/>
    <s v="Van"/>
    <n v="5"/>
    <x v="1"/>
    <n v="73116"/>
    <n v="3.97"/>
    <n v="7427917319.7600002"/>
  </r>
  <r>
    <x v="2"/>
    <s v="Model 3"/>
    <n v="2023"/>
    <x v="4"/>
    <n v="67810.929999999993"/>
    <n v="55.5"/>
    <n v="175"/>
    <n v="166"/>
    <s v="Sedan"/>
    <n v="5"/>
    <x v="0"/>
    <n v="194039"/>
    <n v="3.62"/>
    <n v="13157965046.269999"/>
  </r>
  <r>
    <x v="8"/>
    <s v="Explorer EV"/>
    <n v="2023"/>
    <x v="3"/>
    <n v="37298.339999999997"/>
    <n v="72.7"/>
    <n v="262"/>
    <n v="154"/>
    <s v="SUV"/>
    <n v="4"/>
    <x v="2"/>
    <n v="60230"/>
    <n v="3.57"/>
    <n v="2246479018.1999998"/>
  </r>
  <r>
    <x v="3"/>
    <s v="Seagull"/>
    <n v="2023"/>
    <x v="3"/>
    <n v="62912.21"/>
    <n v="54"/>
    <n v="188"/>
    <n v="142"/>
    <s v="Hatchback"/>
    <n v="5"/>
    <x v="2"/>
    <n v="196923"/>
    <n v="3.56"/>
    <n v="12388861129.83"/>
  </r>
  <r>
    <x v="9"/>
    <s v="i4"/>
    <n v="2023"/>
    <x v="2"/>
    <n v="63735.58"/>
    <n v="75.400000000000006"/>
    <n v="276"/>
    <n v="154"/>
    <s v="Sedan"/>
    <n v="5"/>
    <x v="2"/>
    <n v="28907"/>
    <n v="3.44"/>
    <n v="1842404411.0599999"/>
  </r>
  <r>
    <x v="2"/>
    <s v="Model Y"/>
    <n v="2023"/>
    <x v="4"/>
    <n v="144885.91"/>
    <n v="67.7"/>
    <n v="230"/>
    <n v="156"/>
    <s v="Hatchback"/>
    <n v="5"/>
    <x v="1"/>
    <n v="416711"/>
    <n v="3.88"/>
    <n v="60375552442.010002"/>
  </r>
  <r>
    <x v="12"/>
    <s v="Blazer EV"/>
    <n v="2023"/>
    <x v="3"/>
    <n v="62461.41"/>
    <n v="54"/>
    <n v="168"/>
    <n v="138"/>
    <s v="Hatchback"/>
    <n v="4"/>
    <x v="2"/>
    <n v="6024"/>
    <n v="3.32"/>
    <n v="376267533.84000003"/>
  </r>
  <r>
    <x v="3"/>
    <s v="Dolphin"/>
    <n v="2023"/>
    <x v="3"/>
    <n v="23505.59"/>
    <n v="75.5"/>
    <n v="261"/>
    <n v="166"/>
    <s v="Hatchback"/>
    <n v="3"/>
    <x v="3"/>
    <n v="178149"/>
    <n v="3.42"/>
    <n v="4187497352.9099998"/>
  </r>
  <r>
    <x v="8"/>
    <s v="E-Transit"/>
    <n v="2023"/>
    <x v="1"/>
    <n v="78714.850000000006"/>
    <n v="111.5"/>
    <n v="393"/>
    <n v="184"/>
    <s v="Coupe"/>
    <n v="4"/>
    <x v="0"/>
    <n v="41203"/>
    <n v="3.73"/>
    <n v="3243287964.5500002"/>
  </r>
  <r>
    <x v="13"/>
    <s v="EQE"/>
    <n v="2023"/>
    <x v="3"/>
    <n v="142019.75"/>
    <n v="58.7"/>
    <n v="200"/>
    <n v="166"/>
    <s v="Hatchback"/>
    <n v="5"/>
    <x v="1"/>
    <n v="57178"/>
    <n v="3.68"/>
    <n v="8120405265.5"/>
  </r>
  <r>
    <x v="6"/>
    <s v="Ioniq"/>
    <n v="2023"/>
    <x v="0"/>
    <n v="48459.839999999997"/>
    <n v="100"/>
    <n v="358"/>
    <n v="175"/>
    <s v="Van"/>
    <n v="4"/>
    <x v="2"/>
    <n v="128198"/>
    <n v="3.66"/>
    <n v="6212454568.3199997"/>
  </r>
  <r>
    <x v="9"/>
    <s v="i7"/>
    <n v="2023"/>
    <x v="1"/>
    <n v="121734.94"/>
    <n v="72.7"/>
    <n v="249"/>
    <n v="200"/>
    <s v="Coupe"/>
    <n v="5"/>
    <x v="1"/>
    <n v="71997"/>
    <n v="3.55"/>
    <n v="8764550475.1800003"/>
  </r>
  <r>
    <x v="3"/>
    <s v="Qin"/>
    <n v="2023"/>
    <x v="0"/>
    <n v="82830.36"/>
    <n v="90.4"/>
    <n v="294"/>
    <n v="175"/>
    <s v="Van"/>
    <n v="5"/>
    <x v="0"/>
    <n v="213531"/>
    <n v="3.84"/>
    <n v="17686849601.16"/>
  </r>
  <r>
    <x v="2"/>
    <s v="Model S"/>
    <n v="2023"/>
    <x v="1"/>
    <n v="170972.65"/>
    <n v="105.1"/>
    <n v="373"/>
    <n v="200"/>
    <s v="Van"/>
    <n v="3"/>
    <x v="1"/>
    <n v="177006"/>
    <n v="3.89"/>
    <n v="30263184885.899998"/>
  </r>
  <r>
    <x v="2"/>
    <s v="Cybertruck"/>
    <n v="2023"/>
    <x v="4"/>
    <n v="172193.15"/>
    <n v="58.2"/>
    <n v="181"/>
    <n v="147"/>
    <s v="Truck"/>
    <n v="5"/>
    <x v="1"/>
    <n v="199763"/>
    <n v="3.42"/>
    <n v="34397820223.449997"/>
  </r>
  <r>
    <x v="6"/>
    <s v="Ioniq 5"/>
    <n v="2023"/>
    <x v="4"/>
    <n v="42532.36"/>
    <n v="70.099999999999994"/>
    <n v="253"/>
    <n v="167"/>
    <s v="Hatchback"/>
    <n v="5"/>
    <x v="2"/>
    <n v="118099"/>
    <n v="3.33"/>
    <n v="5023029183.6400003"/>
  </r>
  <r>
    <x v="2"/>
    <s v="Model S"/>
    <n v="2023"/>
    <x v="2"/>
    <n v="29555.66"/>
    <n v="54.9"/>
    <n v="182"/>
    <n v="163"/>
    <s v="Truck"/>
    <n v="4"/>
    <x v="3"/>
    <n v="119019"/>
    <n v="3.56"/>
    <n v="3517685097.54"/>
  </r>
  <r>
    <x v="3"/>
    <s v="Yuan Plus"/>
    <n v="2023"/>
    <x v="4"/>
    <n v="62695.67"/>
    <n v="55.1"/>
    <n v="191"/>
    <n v="143"/>
    <s v="Truck"/>
    <n v="3"/>
    <x v="2"/>
    <n v="249959"/>
    <n v="3.49"/>
    <n v="15671346977.529999"/>
  </r>
  <r>
    <x v="2"/>
    <s v="Model S"/>
    <n v="2023"/>
    <x v="0"/>
    <n v="41849.58"/>
    <n v="96.1"/>
    <n v="319"/>
    <n v="174"/>
    <s v="Van"/>
    <n v="5"/>
    <x v="2"/>
    <n v="211387"/>
    <n v="4"/>
    <n v="8846457167.460001"/>
  </r>
  <r>
    <x v="9"/>
    <s v="i3"/>
    <n v="2023"/>
    <x v="0"/>
    <n v="113237.82"/>
    <n v="108.8"/>
    <n v="398"/>
    <n v="174"/>
    <s v="Hatchback"/>
    <n v="4"/>
    <x v="1"/>
    <n v="31347"/>
    <n v="3.49"/>
    <n v="3549665943.5400004"/>
  </r>
  <r>
    <x v="12"/>
    <s v="Equinox EV"/>
    <n v="2023"/>
    <x v="0"/>
    <n v="53068.74"/>
    <n v="78.7"/>
    <n v="273"/>
    <n v="184"/>
    <s v="SUV"/>
    <n v="5"/>
    <x v="2"/>
    <n v="9605"/>
    <n v="3.25"/>
    <n v="509725247.69999999"/>
  </r>
  <r>
    <x v="4"/>
    <s v="Q4 e-tron"/>
    <n v="2023"/>
    <x v="2"/>
    <n v="76292.22"/>
    <n v="51.4"/>
    <n v="180"/>
    <n v="174"/>
    <s v="Truck"/>
    <n v="5"/>
    <x v="0"/>
    <n v="57167"/>
    <n v="3.32"/>
    <n v="4361397340.7399998"/>
  </r>
  <r>
    <x v="13"/>
    <s v="EQS"/>
    <n v="2023"/>
    <x v="2"/>
    <n v="129584.74"/>
    <n v="64.2"/>
    <n v="260"/>
    <n v="126"/>
    <s v="Hatchback"/>
    <n v="5"/>
    <x v="1"/>
    <n v="24901"/>
    <n v="3.81"/>
    <n v="3226789610.7400002"/>
  </r>
  <r>
    <x v="2"/>
    <s v="Model Y"/>
    <n v="2023"/>
    <x v="2"/>
    <n v="112472.41"/>
    <n v="74.3"/>
    <n v="238"/>
    <n v="142"/>
    <s v="Van"/>
    <n v="5"/>
    <x v="1"/>
    <n v="485203"/>
    <n v="3.66"/>
    <n v="54571950749.230003"/>
  </r>
  <r>
    <x v="6"/>
    <s v="Ioniq 5"/>
    <n v="2023"/>
    <x v="1"/>
    <n v="107017.27"/>
    <n v="75.2"/>
    <n v="259"/>
    <n v="184"/>
    <s v="SUV"/>
    <n v="5"/>
    <x v="1"/>
    <n v="67872"/>
    <n v="3.44"/>
    <n v="7263476149.4400005"/>
  </r>
  <r>
    <x v="12"/>
    <s v="Equinox EV"/>
    <n v="2023"/>
    <x v="0"/>
    <n v="65559.399999999994"/>
    <n v="97.3"/>
    <n v="331"/>
    <n v="177"/>
    <s v="SUV"/>
    <n v="4"/>
    <x v="0"/>
    <n v="6658"/>
    <n v="3.7"/>
    <n v="436494485.19999999"/>
  </r>
  <r>
    <x v="7"/>
    <s v="ID.3"/>
    <n v="2023"/>
    <x v="3"/>
    <n v="32332.16"/>
    <n v="53.1"/>
    <n v="184"/>
    <n v="170"/>
    <s v="Hatchback"/>
    <n v="5"/>
    <x v="3"/>
    <n v="283336"/>
    <n v="3.52"/>
    <n v="9160864885.7600002"/>
  </r>
  <r>
    <x v="7"/>
    <s v="ID. Buzz"/>
    <n v="2023"/>
    <x v="1"/>
    <n v="114648.63"/>
    <n v="104.8"/>
    <n v="352"/>
    <n v="197"/>
    <s v="SUV"/>
    <n v="4"/>
    <x v="1"/>
    <n v="297615"/>
    <n v="3.66"/>
    <n v="34121152017.450001"/>
  </r>
  <r>
    <x v="5"/>
    <s v="EV9"/>
    <n v="2023"/>
    <x v="1"/>
    <n v="76777.22"/>
    <n v="72.5"/>
    <n v="254"/>
    <n v="200"/>
    <s v="SUV"/>
    <n v="4"/>
    <x v="0"/>
    <n v="99948"/>
    <n v="3.66"/>
    <n v="7673729584.5600004"/>
  </r>
  <r>
    <x v="9"/>
    <s v="i3"/>
    <n v="2023"/>
    <x v="1"/>
    <n v="111495.73"/>
    <n v="82.7"/>
    <n v="283"/>
    <n v="188"/>
    <s v="Coupe"/>
    <n v="4"/>
    <x v="1"/>
    <n v="41408"/>
    <n v="3.72"/>
    <n v="4616815187.8400002"/>
  </r>
  <r>
    <x v="2"/>
    <s v="Model S"/>
    <n v="2023"/>
    <x v="4"/>
    <n v="163320.60999999999"/>
    <n v="72.8"/>
    <n v="240"/>
    <n v="147"/>
    <s v="Hatchback"/>
    <n v="4"/>
    <x v="1"/>
    <n v="220716"/>
    <n v="3.73"/>
    <n v="36047471756.759995"/>
  </r>
  <r>
    <x v="3"/>
    <s v="Qin"/>
    <n v="2023"/>
    <x v="1"/>
    <n v="89614.35"/>
    <n v="100.7"/>
    <n v="334"/>
    <n v="192"/>
    <s v="Hatchback"/>
    <n v="5"/>
    <x v="0"/>
    <n v="198687"/>
    <n v="4"/>
    <n v="17805206358.450001"/>
  </r>
  <r>
    <x v="3"/>
    <s v="Max"/>
    <n v="2023"/>
    <x v="1"/>
    <n v="102394.49"/>
    <n v="115.2"/>
    <n v="421"/>
    <n v="174"/>
    <s v="Truck"/>
    <n v="5"/>
    <x v="1"/>
    <n v="226612"/>
    <n v="3.99"/>
    <n v="23203820167.880001"/>
  </r>
  <r>
    <x v="7"/>
    <s v="ID.4"/>
    <n v="2023"/>
    <x v="4"/>
    <n v="78484.960000000006"/>
    <n v="48.2"/>
    <n v="168"/>
    <n v="144"/>
    <s v="Sedan"/>
    <n v="4"/>
    <x v="0"/>
    <n v="208905"/>
    <n v="3.41"/>
    <n v="16395900568.800001"/>
  </r>
  <r>
    <x v="3"/>
    <s v="Max"/>
    <n v="2023"/>
    <x v="0"/>
    <n v="30609.19"/>
    <n v="78.599999999999994"/>
    <n v="268"/>
    <n v="184"/>
    <s v="Hatchback"/>
    <n v="5"/>
    <x v="3"/>
    <n v="111239"/>
    <n v="3.49"/>
    <n v="3404935686.4099998"/>
  </r>
  <r>
    <x v="12"/>
    <s v="Bolt EUV"/>
    <n v="2023"/>
    <x v="1"/>
    <n v="73854.22"/>
    <n v="104.5"/>
    <n v="365"/>
    <n v="200"/>
    <s v="Coupe"/>
    <n v="4"/>
    <x v="0"/>
    <n v="27191"/>
    <n v="3.61"/>
    <n v="2008170096.02"/>
  </r>
  <r>
    <x v="13"/>
    <s v="EQE"/>
    <n v="2023"/>
    <x v="1"/>
    <n v="91688.58"/>
    <n v="90.5"/>
    <n v="311"/>
    <n v="192"/>
    <s v="Van"/>
    <n v="5"/>
    <x v="0"/>
    <n v="45385"/>
    <n v="4.0599999999999996"/>
    <n v="4161286203.3000002"/>
  </r>
  <r>
    <x v="3"/>
    <s v="Atto 3"/>
    <n v="2023"/>
    <x v="4"/>
    <n v="72252.78"/>
    <n v="40.799999999999997"/>
    <n v="150"/>
    <n v="162"/>
    <s v="Hatchback"/>
    <n v="4"/>
    <x v="0"/>
    <n v="245833"/>
    <n v="3.12"/>
    <n v="17762117665.739998"/>
  </r>
  <r>
    <x v="3"/>
    <s v="Max"/>
    <n v="2023"/>
    <x v="2"/>
    <n v="20788.8"/>
    <n v="46.9"/>
    <n v="161"/>
    <n v="150"/>
    <s v="Van"/>
    <n v="4"/>
    <x v="3"/>
    <n v="208014"/>
    <n v="3.15"/>
    <n v="4324361443.1999998"/>
  </r>
  <r>
    <x v="15"/>
    <s v="Macan Electric"/>
    <n v="2023"/>
    <x v="3"/>
    <n v="107490.34"/>
    <n v="61.7"/>
    <n v="224"/>
    <n v="161"/>
    <s v="SUV"/>
    <n v="4"/>
    <x v="1"/>
    <n v="2249"/>
    <n v="3.5"/>
    <n v="241745774.66"/>
  </r>
  <r>
    <x v="1"/>
    <s v="Ocean"/>
    <n v="2023"/>
    <x v="4"/>
    <n v="100837.22"/>
    <n v="71.599999999999994"/>
    <n v="259"/>
    <n v="163"/>
    <s v="Sedan"/>
    <n v="5"/>
    <x v="1"/>
    <n v="27700"/>
    <n v="3.3"/>
    <n v="2793190994"/>
  </r>
  <r>
    <x v="6"/>
    <s v="Ioniq"/>
    <n v="2023"/>
    <x v="1"/>
    <n v="69817.039999999994"/>
    <n v="113.2"/>
    <n v="415"/>
    <n v="198"/>
    <s v="Van"/>
    <n v="5"/>
    <x v="0"/>
    <n v="127527"/>
    <n v="3.55"/>
    <n v="8903557660.0799999"/>
  </r>
  <r>
    <x v="2"/>
    <s v="Model S"/>
    <n v="2023"/>
    <x v="0"/>
    <n v="122960.47"/>
    <n v="98.5"/>
    <n v="350"/>
    <n v="178"/>
    <s v="SUV"/>
    <n v="4"/>
    <x v="1"/>
    <n v="114585"/>
    <n v="4.09"/>
    <n v="14089425454.950001"/>
  </r>
  <r>
    <x v="12"/>
    <s v="Silverado EV"/>
    <n v="2023"/>
    <x v="1"/>
    <n v="42948.13"/>
    <n v="93.8"/>
    <n v="328"/>
    <n v="200"/>
    <s v="Sedan"/>
    <n v="4"/>
    <x v="2"/>
    <n v="14040"/>
    <n v="3.76"/>
    <n v="602991745.19999993"/>
  </r>
  <r>
    <x v="2"/>
    <s v="Model 3"/>
    <n v="2023"/>
    <x v="3"/>
    <n v="128698.36"/>
    <n v="60.8"/>
    <n v="240"/>
    <n v="154"/>
    <s v="Truck"/>
    <n v="5"/>
    <x v="1"/>
    <n v="132614"/>
    <n v="3.6"/>
    <n v="17067204313.040001"/>
  </r>
  <r>
    <x v="2"/>
    <s v="Model 3"/>
    <n v="2023"/>
    <x v="3"/>
    <n v="68205.179999999993"/>
    <n v="50.5"/>
    <n v="178"/>
    <n v="121"/>
    <s v="Van"/>
    <n v="4"/>
    <x v="0"/>
    <n v="179048"/>
    <n v="3.64"/>
    <n v="12212001068.639999"/>
  </r>
  <r>
    <x v="7"/>
    <s v="ID. Aero"/>
    <n v="2023"/>
    <x v="4"/>
    <n v="107650.74"/>
    <n v="66"/>
    <n v="238"/>
    <n v="169"/>
    <s v="Hatchback"/>
    <n v="4"/>
    <x v="1"/>
    <n v="215531"/>
    <n v="3.43"/>
    <n v="23202071642.940002"/>
  </r>
  <r>
    <x v="6"/>
    <s v="Ioniq"/>
    <n v="2023"/>
    <x v="0"/>
    <n v="85387.82"/>
    <n v="78.5"/>
    <n v="251"/>
    <n v="178"/>
    <s v="Sedan"/>
    <n v="4"/>
    <x v="0"/>
    <n v="131774"/>
    <n v="3.48"/>
    <n v="11251894592.68"/>
  </r>
  <r>
    <x v="2"/>
    <s v="Model S"/>
    <n v="2023"/>
    <x v="4"/>
    <n v="84622.11"/>
    <n v="73.7"/>
    <n v="264"/>
    <n v="143"/>
    <s v="SUV"/>
    <n v="4"/>
    <x v="0"/>
    <n v="193331"/>
    <n v="3.64"/>
    <n v="16360077148.41"/>
  </r>
  <r>
    <x v="5"/>
    <s v="EV6"/>
    <n v="2023"/>
    <x v="0"/>
    <n v="68881.259999999995"/>
    <n v="85.2"/>
    <n v="297"/>
    <n v="172"/>
    <s v="SUV"/>
    <n v="4"/>
    <x v="0"/>
    <n v="85490"/>
    <n v="3.48"/>
    <n v="5888658917.3999996"/>
  </r>
  <r>
    <x v="5"/>
    <s v="Niro EV"/>
    <n v="2023"/>
    <x v="2"/>
    <n v="53627.18"/>
    <n v="75.2"/>
    <n v="266"/>
    <n v="154"/>
    <s v="Sedan"/>
    <n v="3"/>
    <x v="2"/>
    <n v="65815"/>
    <n v="3.66"/>
    <n v="3529472851.6999998"/>
  </r>
  <r>
    <x v="0"/>
    <s v="bZ Compact SUV"/>
    <n v="2023"/>
    <x v="0"/>
    <n v="79916.17"/>
    <n v="85.7"/>
    <n v="295"/>
    <n v="176"/>
    <s v="SUV"/>
    <n v="4"/>
    <x v="0"/>
    <n v="29619"/>
    <n v="3.47"/>
    <n v="2367037039.23"/>
  </r>
  <r>
    <x v="3"/>
    <s v="Max"/>
    <n v="2023"/>
    <x v="1"/>
    <n v="93434.880000000005"/>
    <n v="89.1"/>
    <n v="321"/>
    <n v="200"/>
    <s v="Van"/>
    <n v="5"/>
    <x v="0"/>
    <n v="220329"/>
    <n v="3.35"/>
    <n v="20586413675.52"/>
  </r>
  <r>
    <x v="3"/>
    <s v="Qin"/>
    <n v="2023"/>
    <x v="0"/>
    <n v="27057.77"/>
    <n v="108.5"/>
    <n v="385"/>
    <n v="162"/>
    <s v="Sedan"/>
    <n v="4"/>
    <x v="3"/>
    <n v="176350"/>
    <n v="3.6"/>
    <n v="4771637739.5"/>
  </r>
  <r>
    <x v="2"/>
    <s v="Cybertruck"/>
    <n v="2023"/>
    <x v="1"/>
    <n v="56003.28"/>
    <n v="108.7"/>
    <n v="392"/>
    <n v="192"/>
    <s v="Truck"/>
    <n v="4"/>
    <x v="2"/>
    <n v="102435"/>
    <n v="4.04"/>
    <n v="5736695986.8000002"/>
  </r>
  <r>
    <x v="5"/>
    <s v="EV9"/>
    <n v="2023"/>
    <x v="0"/>
    <n v="62846.87"/>
    <n v="96.2"/>
    <n v="339"/>
    <n v="186"/>
    <s v="SUV"/>
    <n v="5"/>
    <x v="2"/>
    <n v="73090"/>
    <n v="3.76"/>
    <n v="4593477728.3000002"/>
  </r>
  <r>
    <x v="3"/>
    <s v="Yuan Plus"/>
    <n v="2023"/>
    <x v="4"/>
    <n v="44973.03"/>
    <n v="70.2"/>
    <n v="272"/>
    <n v="156"/>
    <s v="Hatchback"/>
    <n v="4"/>
    <x v="2"/>
    <n v="163237"/>
    <n v="3.63"/>
    <n v="7341262498.1099997"/>
  </r>
  <r>
    <x v="5"/>
    <s v="Picanto EV"/>
    <n v="2023"/>
    <x v="1"/>
    <n v="84710.91"/>
    <n v="95.4"/>
    <n v="364"/>
    <n v="192"/>
    <s v="Sedan"/>
    <n v="4"/>
    <x v="0"/>
    <n v="109134"/>
    <n v="3.67"/>
    <n v="9244840451.9400005"/>
  </r>
  <r>
    <x v="8"/>
    <s v="Mustang Mach-E"/>
    <n v="2023"/>
    <x v="3"/>
    <n v="61247.58"/>
    <n v="43"/>
    <n v="150"/>
    <n v="145"/>
    <s v="Hatchback"/>
    <n v="4"/>
    <x v="2"/>
    <n v="76286"/>
    <n v="3.13"/>
    <n v="4672332887.8800001"/>
  </r>
  <r>
    <x v="3"/>
    <s v="Max"/>
    <n v="2023"/>
    <x v="3"/>
    <n v="26581.17"/>
    <n v="76.3"/>
    <n v="257"/>
    <n v="143"/>
    <s v="SUV"/>
    <n v="5"/>
    <x v="3"/>
    <n v="206659"/>
    <n v="3.36"/>
    <n v="5493238011.0299997"/>
  </r>
  <r>
    <x v="5"/>
    <s v="Sportage EV"/>
    <n v="2023"/>
    <x v="1"/>
    <n v="92527.86"/>
    <n v="110.6"/>
    <n v="404"/>
    <n v="200"/>
    <s v="SUV"/>
    <n v="4"/>
    <x v="0"/>
    <n v="118664"/>
    <n v="3.6"/>
    <n v="10979725979.040001"/>
  </r>
  <r>
    <x v="2"/>
    <s v="Model Y"/>
    <n v="2023"/>
    <x v="2"/>
    <n v="106611.48"/>
    <n v="81.099999999999994"/>
    <n v="298"/>
    <n v="153"/>
    <s v="Hatchback"/>
    <n v="5"/>
    <x v="1"/>
    <n v="481578"/>
    <n v="4.09"/>
    <n v="51341743315.439995"/>
  </r>
  <r>
    <x v="3"/>
    <s v="Qin"/>
    <n v="2023"/>
    <x v="4"/>
    <n v="33832.39"/>
    <n v="82.8"/>
    <n v="276"/>
    <n v="128"/>
    <s v="SUV"/>
    <n v="4"/>
    <x v="3"/>
    <n v="177176"/>
    <n v="3.68"/>
    <n v="5994287530.6400003"/>
  </r>
  <r>
    <x v="7"/>
    <s v="ID.3"/>
    <n v="2023"/>
    <x v="4"/>
    <n v="92433.279999999999"/>
    <n v="70.099999999999994"/>
    <n v="250"/>
    <n v="162"/>
    <s v="Coupe"/>
    <n v="4"/>
    <x v="0"/>
    <n v="212147"/>
    <n v="3.39"/>
    <n v="19609443052.16"/>
  </r>
  <r>
    <x v="2"/>
    <s v="Model X"/>
    <n v="2023"/>
    <x v="2"/>
    <n v="55932.63"/>
    <n v="59.8"/>
    <n v="209"/>
    <n v="155"/>
    <s v="SUV"/>
    <n v="3"/>
    <x v="2"/>
    <n v="183636"/>
    <n v="3.65"/>
    <n v="10271244442.68"/>
  </r>
  <r>
    <x v="9"/>
    <s v="i7"/>
    <n v="2023"/>
    <x v="0"/>
    <n v="131127.44"/>
    <n v="88.4"/>
    <n v="275"/>
    <n v="175"/>
    <s v="Van"/>
    <n v="4"/>
    <x v="1"/>
    <n v="49932"/>
    <n v="3.32"/>
    <n v="6547455334.0799999"/>
  </r>
  <r>
    <x v="2"/>
    <s v="Model Y"/>
    <n v="2023"/>
    <x v="0"/>
    <n v="63692.69"/>
    <n v="107.7"/>
    <n v="357"/>
    <n v="188"/>
    <s v="Van"/>
    <n v="3"/>
    <x v="2"/>
    <n v="462962"/>
    <n v="4.05"/>
    <n v="29487295147.780003"/>
  </r>
  <r>
    <x v="7"/>
    <s v="ID. Aero"/>
    <n v="2023"/>
    <x v="1"/>
    <n v="82345.289999999994"/>
    <n v="78.400000000000006"/>
    <n v="276"/>
    <n v="200"/>
    <s v="Hatchback"/>
    <n v="4"/>
    <x v="0"/>
    <n v="291745"/>
    <n v="3.72"/>
    <n v="24023826631.049999"/>
  </r>
  <r>
    <x v="5"/>
    <s v="Niro EV"/>
    <n v="2023"/>
    <x v="1"/>
    <n v="59632.87"/>
    <n v="90.3"/>
    <n v="325"/>
    <n v="196"/>
    <s v="Coupe"/>
    <n v="5"/>
    <x v="2"/>
    <n v="97616"/>
    <n v="3.74"/>
    <n v="5821122237.9200001"/>
  </r>
  <r>
    <x v="12"/>
    <s v="Bolt EV"/>
    <n v="2023"/>
    <x v="1"/>
    <n v="39441.22"/>
    <n v="70.400000000000006"/>
    <n v="238"/>
    <n v="192"/>
    <s v="Coupe"/>
    <n v="3"/>
    <x v="2"/>
    <n v="9783"/>
    <n v="3.17"/>
    <n v="385853455.25999999"/>
  </r>
  <r>
    <x v="5"/>
    <s v="Sportage EV"/>
    <n v="2023"/>
    <x v="2"/>
    <n v="47384.85"/>
    <n v="55.2"/>
    <n v="193"/>
    <n v="168"/>
    <s v="SUV"/>
    <n v="4"/>
    <x v="2"/>
    <n v="57685"/>
    <n v="3.6"/>
    <n v="2733395072.25"/>
  </r>
  <r>
    <x v="2"/>
    <s v="Model X"/>
    <n v="2023"/>
    <x v="1"/>
    <n v="111766.84"/>
    <n v="104.9"/>
    <n v="361"/>
    <n v="200"/>
    <s v="Hatchback"/>
    <n v="4"/>
    <x v="1"/>
    <n v="176852"/>
    <n v="4.05"/>
    <n v="19766189187.68"/>
  </r>
  <r>
    <x v="5"/>
    <s v="EV6"/>
    <n v="2023"/>
    <x v="4"/>
    <n v="82403.5"/>
    <n v="78.599999999999994"/>
    <n v="288"/>
    <n v="151"/>
    <s v="Van"/>
    <n v="4"/>
    <x v="0"/>
    <n v="95064"/>
    <n v="3.74"/>
    <n v="7833606324"/>
  </r>
  <r>
    <x v="9"/>
    <s v="i5"/>
    <n v="2023"/>
    <x v="4"/>
    <n v="104739.58"/>
    <n v="54.5"/>
    <n v="189"/>
    <n v="151"/>
    <s v="Coupe"/>
    <n v="5"/>
    <x v="1"/>
    <n v="58894"/>
    <n v="3.16"/>
    <n v="6168532824.5200005"/>
  </r>
  <r>
    <x v="2"/>
    <s v="Cybertruck"/>
    <n v="2023"/>
    <x v="0"/>
    <n v="40789.910000000003"/>
    <n v="106.8"/>
    <n v="379"/>
    <n v="177"/>
    <s v="Truck"/>
    <n v="5"/>
    <x v="2"/>
    <n v="187262"/>
    <n v="4.38"/>
    <n v="7638400126.420001"/>
  </r>
  <r>
    <x v="10"/>
    <s v="Polestar 4"/>
    <n v="2023"/>
    <x v="1"/>
    <n v="90903.84"/>
    <n v="95"/>
    <n v="337"/>
    <n v="185"/>
    <s v="Coupe"/>
    <n v="5"/>
    <x v="0"/>
    <n v="18672"/>
    <n v="3.64"/>
    <n v="1697356500.48"/>
  </r>
  <r>
    <x v="3"/>
    <s v="Max"/>
    <n v="2023"/>
    <x v="0"/>
    <n v="98961.38"/>
    <n v="90.2"/>
    <n v="294"/>
    <n v="171"/>
    <s v="Van"/>
    <n v="4"/>
    <x v="0"/>
    <n v="230275"/>
    <n v="3.52"/>
    <n v="22788331779.5"/>
  </r>
  <r>
    <x v="3"/>
    <s v="Qin"/>
    <n v="2023"/>
    <x v="0"/>
    <n v="52355.75"/>
    <n v="87.1"/>
    <n v="286"/>
    <n v="184"/>
    <s v="Sedan"/>
    <n v="5"/>
    <x v="2"/>
    <n v="146928"/>
    <n v="3.27"/>
    <n v="7692525636"/>
  </r>
  <r>
    <x v="4"/>
    <s v="e-tron GT"/>
    <n v="2023"/>
    <x v="4"/>
    <n v="88280.78"/>
    <n v="42.7"/>
    <n v="156"/>
    <n v="173"/>
    <s v="Coupe"/>
    <n v="4"/>
    <x v="0"/>
    <n v="66857"/>
    <n v="3.24"/>
    <n v="5902188108.46"/>
  </r>
  <r>
    <x v="2"/>
    <s v="Model S"/>
    <n v="2023"/>
    <x v="2"/>
    <n v="45116.56"/>
    <n v="45.3"/>
    <n v="169"/>
    <n v="158"/>
    <s v="Sedan"/>
    <n v="3"/>
    <x v="2"/>
    <n v="116884"/>
    <n v="3.58"/>
    <n v="5273403999.04"/>
  </r>
  <r>
    <x v="7"/>
    <s v="ID.4"/>
    <n v="2023"/>
    <x v="0"/>
    <n v="49537.91"/>
    <n v="82.9"/>
    <n v="278"/>
    <n v="191"/>
    <s v="Coupe"/>
    <n v="5"/>
    <x v="2"/>
    <n v="250021"/>
    <n v="3.64"/>
    <n v="12385517796.110001"/>
  </r>
  <r>
    <x v="2"/>
    <s v="Model 3"/>
    <n v="2023"/>
    <x v="1"/>
    <n v="53096.09"/>
    <n v="113.8"/>
    <n v="404"/>
    <n v="200"/>
    <s v="Van"/>
    <n v="4"/>
    <x v="2"/>
    <n v="123687"/>
    <n v="4.34"/>
    <n v="6567296083.8299999"/>
  </r>
  <r>
    <x v="6"/>
    <s v="Ioniq 5"/>
    <n v="2023"/>
    <x v="2"/>
    <n v="40063.519999999997"/>
    <n v="83"/>
    <n v="298"/>
    <n v="134"/>
    <s v="Van"/>
    <n v="5"/>
    <x v="2"/>
    <n v="95016"/>
    <n v="3.55"/>
    <n v="3806675416.3199997"/>
  </r>
  <r>
    <x v="3"/>
    <s v="Seagull"/>
    <n v="2023"/>
    <x v="2"/>
    <n v="72565.72"/>
    <n v="43.8"/>
    <n v="153"/>
    <n v="175"/>
    <s v="Hatchback"/>
    <n v="5"/>
    <x v="0"/>
    <n v="193019"/>
    <n v="3.17"/>
    <n v="14006562708.68"/>
  </r>
  <r>
    <x v="2"/>
    <s v="Model S"/>
    <n v="2023"/>
    <x v="4"/>
    <n v="90489.19"/>
    <n v="66.8"/>
    <n v="227"/>
    <n v="144"/>
    <s v="Van"/>
    <n v="4"/>
    <x v="0"/>
    <n v="231411"/>
    <n v="3.84"/>
    <n v="20940193947.09"/>
  </r>
  <r>
    <x v="6"/>
    <s v="Ioniq 6"/>
    <n v="2023"/>
    <x v="0"/>
    <n v="79421.070000000007"/>
    <n v="79.2"/>
    <n v="250"/>
    <n v="164"/>
    <s v="Van"/>
    <n v="5"/>
    <x v="0"/>
    <n v="120050"/>
    <n v="3.41"/>
    <n v="9534499453.5"/>
  </r>
  <r>
    <x v="6"/>
    <s v="Kona Electric"/>
    <n v="2023"/>
    <x v="0"/>
    <n v="89541.119999999995"/>
    <n v="95.4"/>
    <n v="330"/>
    <n v="179"/>
    <s v="SUV"/>
    <n v="5"/>
    <x v="0"/>
    <n v="122583"/>
    <n v="3.74"/>
    <n v="10976219112.959999"/>
  </r>
  <r>
    <x v="9"/>
    <s v="i3"/>
    <n v="2023"/>
    <x v="2"/>
    <n v="89086.86"/>
    <n v="79.5"/>
    <n v="279"/>
    <n v="179"/>
    <s v="Truck"/>
    <n v="4"/>
    <x v="0"/>
    <n v="63501"/>
    <n v="3.78"/>
    <n v="5657104696.8599997"/>
  </r>
  <r>
    <x v="13"/>
    <s v="EQS"/>
    <n v="2023"/>
    <x v="4"/>
    <n v="111693.41"/>
    <n v="44.9"/>
    <n v="154"/>
    <n v="144"/>
    <s v="Hatchback"/>
    <n v="4"/>
    <x v="1"/>
    <n v="72096"/>
    <n v="3.64"/>
    <n v="8052648087.3600006"/>
  </r>
  <r>
    <x v="9"/>
    <s v="iX"/>
    <n v="2023"/>
    <x v="0"/>
    <n v="130324.5"/>
    <n v="105"/>
    <n v="370"/>
    <n v="186"/>
    <s v="Sedan"/>
    <n v="5"/>
    <x v="1"/>
    <n v="62481"/>
    <n v="3.82"/>
    <n v="8142805084.5"/>
  </r>
  <r>
    <x v="2"/>
    <s v="Model 3"/>
    <n v="2023"/>
    <x v="4"/>
    <n v="98229.28"/>
    <n v="82.6"/>
    <n v="290"/>
    <n v="142"/>
    <s v="Sedan"/>
    <n v="4"/>
    <x v="0"/>
    <n v="151125"/>
    <n v="4.05"/>
    <n v="14844899940"/>
  </r>
  <r>
    <x v="9"/>
    <s v="i3"/>
    <n v="2023"/>
    <x v="4"/>
    <n v="126296.04"/>
    <n v="69.400000000000006"/>
    <n v="238"/>
    <n v="158"/>
    <s v="Truck"/>
    <n v="4"/>
    <x v="1"/>
    <n v="27018"/>
    <n v="3.73"/>
    <n v="3412266408.7199998"/>
  </r>
  <r>
    <x v="2"/>
    <s v="Cybertruck"/>
    <n v="2023"/>
    <x v="1"/>
    <n v="182463.57"/>
    <n v="109.2"/>
    <n v="389"/>
    <n v="200"/>
    <s v="Truck"/>
    <n v="5"/>
    <x v="1"/>
    <n v="202403"/>
    <n v="3.98"/>
    <n v="36931173958.709999"/>
  </r>
  <r>
    <x v="2"/>
    <s v="Model X"/>
    <n v="2023"/>
    <x v="4"/>
    <n v="43481.03"/>
    <n v="65.2"/>
    <n v="217"/>
    <n v="143"/>
    <s v="SUV"/>
    <n v="5"/>
    <x v="2"/>
    <n v="134257"/>
    <n v="3.73"/>
    <n v="5837632644.71"/>
  </r>
  <r>
    <x v="3"/>
    <s v="Atto 3"/>
    <n v="2023"/>
    <x v="2"/>
    <n v="73542.570000000007"/>
    <n v="52.6"/>
    <n v="178"/>
    <n v="142"/>
    <s v="Hatchback"/>
    <n v="5"/>
    <x v="0"/>
    <n v="164917"/>
    <n v="3"/>
    <n v="12128420016.690001"/>
  </r>
  <r>
    <x v="2"/>
    <s v="Model S"/>
    <n v="2023"/>
    <x v="4"/>
    <n v="51643.69"/>
    <n v="41.7"/>
    <n v="150"/>
    <n v="153"/>
    <s v="Truck"/>
    <n v="5"/>
    <x v="2"/>
    <n v="247691"/>
    <n v="3.41"/>
    <n v="12791677219.790001"/>
  </r>
  <r>
    <x v="8"/>
    <s v="E-Transit"/>
    <n v="2023"/>
    <x v="3"/>
    <n v="53190.35"/>
    <n v="62.2"/>
    <n v="200"/>
    <n v="148"/>
    <s v="Hatchback"/>
    <n v="4"/>
    <x v="2"/>
    <n v="73417"/>
    <n v="3.13"/>
    <n v="3905075925.9499998"/>
  </r>
  <r>
    <x v="6"/>
    <s v="Kona Electric"/>
    <n v="2023"/>
    <x v="0"/>
    <n v="49376.97"/>
    <n v="105.9"/>
    <n v="348"/>
    <n v="175"/>
    <s v="Hatchback"/>
    <n v="5"/>
    <x v="2"/>
    <n v="113770"/>
    <n v="3.51"/>
    <n v="5617617876.9000006"/>
  </r>
  <r>
    <x v="1"/>
    <s v="Ocean"/>
    <n v="2023"/>
    <x v="2"/>
    <n v="81514.31"/>
    <n v="48.1"/>
    <n v="186"/>
    <n v="157"/>
    <s v="Hatchback"/>
    <n v="4"/>
    <x v="0"/>
    <n v="16427"/>
    <n v="3.38"/>
    <n v="1339035570.3699999"/>
  </r>
  <r>
    <x v="10"/>
    <s v="Polestar 3"/>
    <n v="2023"/>
    <x v="0"/>
    <n v="77182.19"/>
    <n v="88.8"/>
    <n v="337"/>
    <n v="160"/>
    <s v="Hatchback"/>
    <n v="5"/>
    <x v="0"/>
    <n v="5412"/>
    <n v="3.55"/>
    <n v="417710012.28000003"/>
  </r>
  <r>
    <x v="8"/>
    <s v="Explorer EV"/>
    <n v="2023"/>
    <x v="3"/>
    <n v="38433.81"/>
    <n v="45.5"/>
    <n v="152"/>
    <n v="137"/>
    <s v="Truck"/>
    <n v="4"/>
    <x v="2"/>
    <n v="31451"/>
    <n v="3.08"/>
    <n v="1208781758.3099999"/>
  </r>
  <r>
    <x v="7"/>
    <s v="ID.3"/>
    <n v="2023"/>
    <x v="4"/>
    <n v="99609.58"/>
    <n v="83.8"/>
    <n v="287"/>
    <n v="141"/>
    <s v="Coupe"/>
    <n v="4"/>
    <x v="0"/>
    <n v="245824"/>
    <n v="3.56"/>
    <n v="24486425393.920002"/>
  </r>
  <r>
    <x v="3"/>
    <s v="Max"/>
    <n v="2023"/>
    <x v="0"/>
    <n v="94064.69"/>
    <n v="95.8"/>
    <n v="342"/>
    <n v="180"/>
    <s v="Hatchback"/>
    <n v="5"/>
    <x v="0"/>
    <n v="117049"/>
    <n v="3.64"/>
    <n v="11010177899.809999"/>
  </r>
  <r>
    <x v="5"/>
    <s v="Sportage EV"/>
    <n v="2023"/>
    <x v="2"/>
    <n v="31014.43"/>
    <n v="43.7"/>
    <n v="167"/>
    <n v="149"/>
    <s v="SUV"/>
    <n v="5"/>
    <x v="3"/>
    <n v="68930"/>
    <n v="3.05"/>
    <n v="2137824659.9000001"/>
  </r>
  <r>
    <x v="12"/>
    <s v="Blazer EV"/>
    <n v="2023"/>
    <x v="3"/>
    <n v="45534.53"/>
    <n v="61.3"/>
    <n v="201"/>
    <n v="130"/>
    <s v="Sedan"/>
    <n v="5"/>
    <x v="2"/>
    <n v="7422"/>
    <n v="3.31"/>
    <n v="337957281.65999997"/>
  </r>
  <r>
    <x v="12"/>
    <s v="Blazer EV"/>
    <n v="2023"/>
    <x v="2"/>
    <n v="30572.73"/>
    <n v="55.2"/>
    <n v="208"/>
    <n v="134"/>
    <s v="Coupe"/>
    <n v="4"/>
    <x v="3"/>
    <n v="13459"/>
    <n v="3.31"/>
    <n v="411478373.06999999"/>
  </r>
  <r>
    <x v="2"/>
    <s v="Model S"/>
    <n v="2023"/>
    <x v="2"/>
    <n v="41460.269999999997"/>
    <n v="53.8"/>
    <n v="191"/>
    <n v="155"/>
    <s v="Van"/>
    <n v="4"/>
    <x v="2"/>
    <n v="119951"/>
    <n v="3.56"/>
    <n v="4973200846.7699995"/>
  </r>
  <r>
    <x v="7"/>
    <s v="ID.3"/>
    <n v="2023"/>
    <x v="1"/>
    <n v="70444.740000000005"/>
    <n v="90.5"/>
    <n v="338"/>
    <n v="185"/>
    <s v="Truck"/>
    <n v="4"/>
    <x v="0"/>
    <n v="214221"/>
    <n v="3.69"/>
    <n v="15090742647.540001"/>
  </r>
  <r>
    <x v="4"/>
    <s v="Q4 e-tron"/>
    <n v="2023"/>
    <x v="2"/>
    <n v="48523.32"/>
    <n v="82.6"/>
    <n v="283"/>
    <n v="137"/>
    <s v="SUV"/>
    <n v="5"/>
    <x v="2"/>
    <n v="57366"/>
    <n v="3.57"/>
    <n v="2783588775.1199999"/>
  </r>
  <r>
    <x v="7"/>
    <s v="ID.3"/>
    <n v="2023"/>
    <x v="4"/>
    <n v="57817.4"/>
    <n v="40.4"/>
    <n v="167"/>
    <n v="156"/>
    <s v="Truck"/>
    <n v="5"/>
    <x v="2"/>
    <n v="227778"/>
    <n v="3.41"/>
    <n v="13169531737.200001"/>
  </r>
  <r>
    <x v="4"/>
    <s v="e-tron"/>
    <n v="2023"/>
    <x v="0"/>
    <n v="82135.990000000005"/>
    <n v="78.3"/>
    <n v="272"/>
    <n v="170"/>
    <s v="Sedan"/>
    <n v="4"/>
    <x v="0"/>
    <n v="56851"/>
    <n v="3.65"/>
    <n v="4669513167.4900007"/>
  </r>
  <r>
    <x v="13"/>
    <s v="EQE"/>
    <n v="2023"/>
    <x v="3"/>
    <n v="112177.54"/>
    <n v="67.5"/>
    <n v="236"/>
    <n v="128"/>
    <s v="Van"/>
    <n v="4"/>
    <x v="1"/>
    <n v="38676"/>
    <n v="3.75"/>
    <n v="4338578537.04"/>
  </r>
  <r>
    <x v="6"/>
    <s v="i30"/>
    <n v="2023"/>
    <x v="3"/>
    <n v="33062.26"/>
    <n v="78.5"/>
    <n v="266"/>
    <n v="128"/>
    <s v="Van"/>
    <n v="5"/>
    <x v="3"/>
    <n v="88310"/>
    <n v="3.39"/>
    <n v="2919728180.6000004"/>
  </r>
  <r>
    <x v="7"/>
    <s v="ID. Buzz"/>
    <n v="2023"/>
    <x v="1"/>
    <n v="110994.9"/>
    <n v="76.8"/>
    <n v="250"/>
    <n v="198"/>
    <s v="SUV"/>
    <n v="5"/>
    <x v="1"/>
    <n v="225518"/>
    <n v="3.24"/>
    <n v="25031347858.199997"/>
  </r>
  <r>
    <x v="12"/>
    <s v="Silverado EV"/>
    <n v="2023"/>
    <x v="1"/>
    <n v="95648.05"/>
    <n v="112.2"/>
    <n v="409"/>
    <n v="200"/>
    <s v="Truck"/>
    <n v="4"/>
    <x v="0"/>
    <n v="20948"/>
    <n v="3.66"/>
    <n v="2003635351.4000001"/>
  </r>
  <r>
    <x v="7"/>
    <s v="ID. Aero"/>
    <n v="2023"/>
    <x v="2"/>
    <n v="44658.67"/>
    <n v="73.2"/>
    <n v="219"/>
    <n v="140"/>
    <s v="Sedan"/>
    <n v="5"/>
    <x v="2"/>
    <n v="256210"/>
    <n v="3.39"/>
    <n v="11441997840.699999"/>
  </r>
  <r>
    <x v="7"/>
    <s v="ID.4"/>
    <n v="2023"/>
    <x v="0"/>
    <n v="78653.83"/>
    <n v="94.4"/>
    <n v="350"/>
    <n v="189"/>
    <s v="Coupe"/>
    <n v="5"/>
    <x v="0"/>
    <n v="204287"/>
    <n v="3.97"/>
    <n v="16067954969.210001"/>
  </r>
  <r>
    <x v="3"/>
    <s v="Leaf 50X"/>
    <n v="2023"/>
    <x v="3"/>
    <n v="74284.45"/>
    <n v="84.2"/>
    <n v="286"/>
    <n v="162"/>
    <s v="Truck"/>
    <n v="5"/>
    <x v="0"/>
    <n v="128075"/>
    <n v="3.77"/>
    <n v="9513980933.75"/>
  </r>
  <r>
    <x v="3"/>
    <s v="Seagull"/>
    <n v="2023"/>
    <x v="4"/>
    <n v="109450.6"/>
    <n v="64.2"/>
    <n v="232"/>
    <n v="143"/>
    <s v="Sedan"/>
    <n v="5"/>
    <x v="1"/>
    <n v="128508"/>
    <n v="3.59"/>
    <n v="14065277704.800001"/>
  </r>
  <r>
    <x v="2"/>
    <s v="Model X"/>
    <n v="2023"/>
    <x v="1"/>
    <n v="164467.67000000001"/>
    <n v="113.9"/>
    <n v="371"/>
    <n v="200"/>
    <s v="Van"/>
    <n v="5"/>
    <x v="1"/>
    <n v="146842"/>
    <n v="3.92"/>
    <n v="24150761598.140003"/>
  </r>
  <r>
    <x v="6"/>
    <s v="Ioniq 5"/>
    <n v="2023"/>
    <x v="3"/>
    <n v="55335.519999999997"/>
    <n v="51.9"/>
    <n v="156"/>
    <n v="176"/>
    <s v="Van"/>
    <n v="3"/>
    <x v="2"/>
    <n v="84896"/>
    <n v="3.28"/>
    <n v="4697764305.9200001"/>
  </r>
  <r>
    <x v="6"/>
    <s v="Ioniq 5"/>
    <n v="2023"/>
    <x v="0"/>
    <n v="41738.1"/>
    <n v="88.1"/>
    <n v="330"/>
    <n v="167"/>
    <s v="Hatchback"/>
    <n v="5"/>
    <x v="2"/>
    <n v="92151"/>
    <n v="3.69"/>
    <n v="3846207653.0999999"/>
  </r>
  <r>
    <x v="9"/>
    <s v="i3"/>
    <n v="2023"/>
    <x v="0"/>
    <n v="122665.71"/>
    <n v="102.1"/>
    <n v="360"/>
    <n v="190"/>
    <s v="Hatchback"/>
    <n v="5"/>
    <x v="1"/>
    <n v="66187"/>
    <n v="3.78"/>
    <n v="8118875347.7700005"/>
  </r>
  <r>
    <x v="12"/>
    <s v="Bolt EV"/>
    <n v="2024"/>
    <x v="4"/>
    <n v="49651.12"/>
    <n v="58.2"/>
    <n v="225"/>
    <n v="148"/>
    <s v="Van"/>
    <n v="4"/>
    <x v="2"/>
    <n v="16590"/>
    <n v="3.7"/>
    <n v="823712080.80000007"/>
  </r>
  <r>
    <x v="5"/>
    <s v="Sportage EV"/>
    <n v="2024"/>
    <x v="0"/>
    <n v="38131.56"/>
    <n v="102.5"/>
    <n v="349"/>
    <n v="176"/>
    <s v="SUV"/>
    <n v="4"/>
    <x v="2"/>
    <n v="127201"/>
    <n v="3.81"/>
    <n v="4850372563.5599995"/>
  </r>
  <r>
    <x v="2"/>
    <s v="Model 3"/>
    <n v="2024"/>
    <x v="4"/>
    <n v="128427.66"/>
    <n v="68.599999999999994"/>
    <n v="222"/>
    <n v="149"/>
    <s v="Coupe"/>
    <n v="5"/>
    <x v="1"/>
    <n v="213937"/>
    <n v="3.54"/>
    <n v="27475428297.420002"/>
  </r>
  <r>
    <x v="2"/>
    <s v="Model 3"/>
    <n v="2024"/>
    <x v="4"/>
    <n v="95912.83"/>
    <n v="49.8"/>
    <n v="167"/>
    <n v="138"/>
    <s v="Sedan"/>
    <n v="4"/>
    <x v="0"/>
    <n v="124780"/>
    <n v="3.56"/>
    <n v="11968002927.4"/>
  </r>
  <r>
    <x v="2"/>
    <s v="Model S"/>
    <n v="2024"/>
    <x v="4"/>
    <n v="134964.13"/>
    <n v="67.400000000000006"/>
    <n v="250"/>
    <n v="135"/>
    <s v="Van"/>
    <n v="5"/>
    <x v="1"/>
    <n v="235048"/>
    <n v="3.81"/>
    <n v="31723048828.240002"/>
  </r>
  <r>
    <x v="3"/>
    <s v="Atto 3"/>
    <n v="2024"/>
    <x v="3"/>
    <n v="64427.02"/>
    <n v="70.5"/>
    <n v="265"/>
    <n v="138"/>
    <s v="Truck"/>
    <n v="5"/>
    <x v="2"/>
    <n v="204232"/>
    <n v="3.52"/>
    <n v="13158059148.639999"/>
  </r>
  <r>
    <x v="6"/>
    <s v="Kona Electric"/>
    <n v="2024"/>
    <x v="4"/>
    <n v="63139.95"/>
    <n v="81"/>
    <n v="275"/>
    <n v="141"/>
    <s v="Coupe"/>
    <n v="4"/>
    <x v="2"/>
    <n v="132242"/>
    <n v="3.43"/>
    <n v="8349753267.8999996"/>
  </r>
  <r>
    <x v="7"/>
    <s v="ID.4"/>
    <n v="2024"/>
    <x v="0"/>
    <n v="77030"/>
    <n v="88"/>
    <n v="332"/>
    <n v="183"/>
    <s v="Sedan"/>
    <n v="4"/>
    <x v="0"/>
    <n v="238587"/>
    <n v="3.37"/>
    <n v="18378356610"/>
  </r>
  <r>
    <x v="3"/>
    <s v="Atto 3"/>
    <n v="2024"/>
    <x v="4"/>
    <n v="72336.67"/>
    <n v="77.900000000000006"/>
    <n v="295"/>
    <n v="178"/>
    <s v="Van"/>
    <n v="3"/>
    <x v="0"/>
    <n v="168778"/>
    <n v="3.53"/>
    <n v="12208838489.26"/>
  </r>
  <r>
    <x v="3"/>
    <s v="Yuan Plus"/>
    <n v="2024"/>
    <x v="1"/>
    <n v="114839.62"/>
    <n v="76.599999999999994"/>
    <n v="293"/>
    <n v="200"/>
    <s v="SUV"/>
    <n v="5"/>
    <x v="1"/>
    <n v="229532"/>
    <n v="3.41"/>
    <n v="26359367657.84"/>
  </r>
  <r>
    <x v="7"/>
    <s v="ID.5"/>
    <n v="2024"/>
    <x v="0"/>
    <n v="51142.17"/>
    <n v="101.7"/>
    <n v="359"/>
    <n v="161"/>
    <s v="Coupe"/>
    <n v="4"/>
    <x v="2"/>
    <n v="203079"/>
    <n v="3.64"/>
    <n v="10385900741.43"/>
  </r>
  <r>
    <x v="5"/>
    <s v="EV9"/>
    <n v="2024"/>
    <x v="3"/>
    <n v="66876.75"/>
    <n v="66.7"/>
    <n v="236"/>
    <n v="164"/>
    <s v="SUV"/>
    <n v="4"/>
    <x v="0"/>
    <n v="117514"/>
    <n v="3.53"/>
    <n v="7858954399.5"/>
  </r>
  <r>
    <x v="5"/>
    <s v="Niro EV"/>
    <n v="2024"/>
    <x v="1"/>
    <n v="105946.66"/>
    <n v="79.3"/>
    <n v="245"/>
    <n v="200"/>
    <s v="Coupe"/>
    <n v="4"/>
    <x v="1"/>
    <n v="147459"/>
    <n v="3.43"/>
    <n v="15622788536.940001"/>
  </r>
  <r>
    <x v="2"/>
    <s v="Cybertruck"/>
    <n v="2024"/>
    <x v="1"/>
    <n v="42827.24"/>
    <n v="89.9"/>
    <n v="311"/>
    <n v="200"/>
    <s v="Truck"/>
    <n v="4"/>
    <x v="2"/>
    <n v="133489"/>
    <n v="3.82"/>
    <n v="5716965440.3599997"/>
  </r>
  <r>
    <x v="2"/>
    <s v="Cybertruck"/>
    <n v="2024"/>
    <x v="3"/>
    <n v="121805.3"/>
    <n v="58.9"/>
    <n v="204"/>
    <n v="173"/>
    <s v="Truck"/>
    <n v="4"/>
    <x v="1"/>
    <n v="225373"/>
    <n v="3.75"/>
    <n v="27451625876.900002"/>
  </r>
  <r>
    <x v="2"/>
    <s v="Model X"/>
    <n v="2024"/>
    <x v="0"/>
    <n v="117517.98"/>
    <n v="101"/>
    <n v="350"/>
    <n v="186"/>
    <s v="Truck"/>
    <n v="5"/>
    <x v="1"/>
    <n v="122440"/>
    <n v="3.96"/>
    <n v="14388901471.199999"/>
  </r>
  <r>
    <x v="3"/>
    <s v="Max"/>
    <n v="2024"/>
    <x v="2"/>
    <n v="24029.61"/>
    <n v="45.6"/>
    <n v="153"/>
    <n v="177"/>
    <s v="Sedan"/>
    <n v="5"/>
    <x v="3"/>
    <n v="157077"/>
    <n v="3.46"/>
    <n v="3774499049.9700003"/>
  </r>
  <r>
    <x v="9"/>
    <s v="i3"/>
    <n v="2024"/>
    <x v="0"/>
    <n v="120387.4"/>
    <n v="79.400000000000006"/>
    <n v="285"/>
    <n v="193"/>
    <s v="Truck"/>
    <n v="4"/>
    <x v="1"/>
    <n v="62864"/>
    <n v="3.27"/>
    <n v="7568033513.5999994"/>
  </r>
  <r>
    <x v="5"/>
    <s v="Sportage EV"/>
    <n v="2024"/>
    <x v="0"/>
    <n v="95244.75"/>
    <n v="77.2"/>
    <n v="262"/>
    <n v="194"/>
    <s v="SUV"/>
    <n v="4"/>
    <x v="0"/>
    <n v="76023"/>
    <n v="3.44"/>
    <n v="7240791629.25"/>
  </r>
  <r>
    <x v="11"/>
    <s v="R3"/>
    <n v="2024"/>
    <x v="2"/>
    <n v="66816.36"/>
    <n v="69.900000000000006"/>
    <n v="247"/>
    <n v="171"/>
    <s v="Sedan"/>
    <n v="5"/>
    <x v="0"/>
    <n v="27456"/>
    <n v="3.39"/>
    <n v="1834509980.1600001"/>
  </r>
  <r>
    <x v="7"/>
    <s v="ID. Aero"/>
    <n v="2024"/>
    <x v="0"/>
    <n v="42431.05"/>
    <n v="88.6"/>
    <n v="306"/>
    <n v="166"/>
    <s v="Coupe"/>
    <n v="3"/>
    <x v="2"/>
    <n v="260840"/>
    <n v="3.53"/>
    <n v="11067715082"/>
  </r>
  <r>
    <x v="3"/>
    <s v="Dolphin"/>
    <n v="2024"/>
    <x v="1"/>
    <n v="30671.06"/>
    <n v="87.5"/>
    <n v="303"/>
    <n v="190"/>
    <s v="Sedan"/>
    <n v="5"/>
    <x v="3"/>
    <n v="201621"/>
    <n v="3.28"/>
    <n v="6183929788.2600002"/>
  </r>
  <r>
    <x v="3"/>
    <s v="Dolphin"/>
    <n v="2024"/>
    <x v="4"/>
    <n v="83518.44"/>
    <n v="77.099999999999994"/>
    <n v="267"/>
    <n v="146"/>
    <s v="Coupe"/>
    <n v="3"/>
    <x v="0"/>
    <n v="148454"/>
    <n v="3.28"/>
    <n v="12398646491.76"/>
  </r>
  <r>
    <x v="5"/>
    <s v="Niro EV"/>
    <n v="2024"/>
    <x v="4"/>
    <n v="68436.66"/>
    <n v="70"/>
    <n v="249"/>
    <n v="141"/>
    <s v="Coupe"/>
    <n v="3"/>
    <x v="0"/>
    <n v="81219"/>
    <n v="3.63"/>
    <n v="5558357088.54"/>
  </r>
  <r>
    <x v="8"/>
    <s v="Explorer EV"/>
    <n v="2024"/>
    <x v="0"/>
    <n v="66402.61"/>
    <n v="90.5"/>
    <n v="334"/>
    <n v="162"/>
    <s v="Van"/>
    <n v="5"/>
    <x v="0"/>
    <n v="36517"/>
    <n v="3.69"/>
    <n v="2424824109.3699999"/>
  </r>
  <r>
    <x v="2"/>
    <s v="Model X"/>
    <n v="2024"/>
    <x v="1"/>
    <n v="42932.18"/>
    <n v="99"/>
    <n v="356"/>
    <n v="192"/>
    <s v="Hatchback"/>
    <n v="5"/>
    <x v="2"/>
    <n v="238196"/>
    <n v="4"/>
    <n v="10226273547.280001"/>
  </r>
  <r>
    <x v="2"/>
    <s v="Model S"/>
    <n v="2024"/>
    <x v="4"/>
    <n v="66707.72"/>
    <n v="45.8"/>
    <n v="150"/>
    <n v="166"/>
    <s v="Van"/>
    <n v="5"/>
    <x v="0"/>
    <n v="187104"/>
    <n v="3.23"/>
    <n v="12481281242.880001"/>
  </r>
  <r>
    <x v="8"/>
    <s v="Explorer EV"/>
    <n v="2024"/>
    <x v="0"/>
    <n v="69723.399999999994"/>
    <n v="91.5"/>
    <n v="331"/>
    <n v="180"/>
    <s v="Truck"/>
    <n v="5"/>
    <x v="0"/>
    <n v="54063"/>
    <n v="3.64"/>
    <n v="3769456174.1999998"/>
  </r>
  <r>
    <x v="12"/>
    <s v="Equinox EV"/>
    <n v="2024"/>
    <x v="0"/>
    <n v="78668.52"/>
    <n v="102.9"/>
    <n v="368"/>
    <n v="179"/>
    <s v="SUV"/>
    <n v="5"/>
    <x v="0"/>
    <n v="14020"/>
    <n v="3.97"/>
    <n v="1102932650.4000001"/>
  </r>
  <r>
    <x v="8"/>
    <s v="Mustang Mach-E"/>
    <n v="2024"/>
    <x v="3"/>
    <n v="79438.2"/>
    <n v="82.5"/>
    <n v="299"/>
    <n v="149"/>
    <s v="Van"/>
    <n v="5"/>
    <x v="0"/>
    <n v="21827"/>
    <n v="3.81"/>
    <n v="1733897591.3999999"/>
  </r>
  <r>
    <x v="2"/>
    <s v="Model 3"/>
    <n v="2024"/>
    <x v="1"/>
    <n v="139025.28"/>
    <n v="93.4"/>
    <n v="320"/>
    <n v="200"/>
    <s v="Coupe"/>
    <n v="4"/>
    <x v="1"/>
    <n v="220216"/>
    <n v="4.07"/>
    <n v="30615591060.48"/>
  </r>
  <r>
    <x v="2"/>
    <s v="Cybertruck"/>
    <n v="2024"/>
    <x v="0"/>
    <n v="158925.9"/>
    <n v="82.5"/>
    <n v="291"/>
    <n v="186"/>
    <s v="Truck"/>
    <n v="5"/>
    <x v="1"/>
    <n v="138950"/>
    <n v="3.85"/>
    <n v="22082753805"/>
  </r>
  <r>
    <x v="3"/>
    <s v="Leaf 50X"/>
    <n v="2024"/>
    <x v="4"/>
    <n v="100360.19"/>
    <n v="50"/>
    <n v="193"/>
    <n v="155"/>
    <s v="Van"/>
    <n v="5"/>
    <x v="1"/>
    <n v="137465"/>
    <n v="3.1"/>
    <n v="13796013518.35"/>
  </r>
  <r>
    <x v="9"/>
    <s v="i3"/>
    <n v="2024"/>
    <x v="3"/>
    <n v="84405.92"/>
    <n v="52.5"/>
    <n v="173"/>
    <n v="169"/>
    <s v="Truck"/>
    <n v="3"/>
    <x v="0"/>
    <n v="42777"/>
    <n v="3.19"/>
    <n v="3610632039.8400002"/>
  </r>
  <r>
    <x v="4"/>
    <s v="Q6 e-tron"/>
    <n v="2024"/>
    <x v="3"/>
    <n v="73910.789999999994"/>
    <n v="41.9"/>
    <n v="150"/>
    <n v="142"/>
    <s v="SUV"/>
    <n v="4"/>
    <x v="0"/>
    <n v="36319"/>
    <n v="3"/>
    <n v="2684365982.0099998"/>
  </r>
  <r>
    <x v="2"/>
    <s v="Cybertruck"/>
    <n v="2024"/>
    <x v="2"/>
    <n v="38394.15"/>
    <n v="47.7"/>
    <n v="189"/>
    <n v="169"/>
    <s v="Truck"/>
    <n v="3"/>
    <x v="2"/>
    <n v="246203"/>
    <n v="3.51"/>
    <n v="9452754912.4500008"/>
  </r>
  <r>
    <x v="12"/>
    <s v="Blazer EV"/>
    <n v="2024"/>
    <x v="0"/>
    <n v="76560.479999999996"/>
    <n v="82.9"/>
    <n v="300"/>
    <n v="184"/>
    <s v="Van"/>
    <n v="4"/>
    <x v="0"/>
    <n v="12139"/>
    <n v="3.5"/>
    <n v="929367666.71999991"/>
  </r>
  <r>
    <x v="6"/>
    <s v="Ioniq"/>
    <n v="2024"/>
    <x v="3"/>
    <n v="44654.99"/>
    <n v="65.400000000000006"/>
    <n v="223"/>
    <n v="146"/>
    <s v="SUV"/>
    <n v="4"/>
    <x v="2"/>
    <n v="128091"/>
    <n v="3"/>
    <n v="5719902324.0900002"/>
  </r>
  <r>
    <x v="2"/>
    <s v="Cybertruck"/>
    <n v="2024"/>
    <x v="1"/>
    <n v="177944.09"/>
    <n v="93"/>
    <n v="295"/>
    <n v="193"/>
    <s v="Truck"/>
    <n v="3"/>
    <x v="1"/>
    <n v="234160"/>
    <n v="3.91"/>
    <n v="41667388114.400002"/>
  </r>
  <r>
    <x v="2"/>
    <s v="Cybertruck"/>
    <n v="2024"/>
    <x v="2"/>
    <n v="59967.87"/>
    <n v="70"/>
    <n v="238"/>
    <n v="159"/>
    <s v="Truck"/>
    <n v="4"/>
    <x v="2"/>
    <n v="228933"/>
    <n v="3.44"/>
    <n v="13728624382.710001"/>
  </r>
  <r>
    <x v="9"/>
    <s v="iX"/>
    <n v="2024"/>
    <x v="1"/>
    <n v="84125.95"/>
    <n v="98.9"/>
    <n v="363"/>
    <n v="192"/>
    <s v="Hatchback"/>
    <n v="5"/>
    <x v="0"/>
    <n v="33561"/>
    <n v="3.47"/>
    <n v="2823351007.9499998"/>
  </r>
  <r>
    <x v="7"/>
    <s v="ID.3"/>
    <n v="2024"/>
    <x v="1"/>
    <n v="50097.49"/>
    <n v="98.3"/>
    <n v="341"/>
    <n v="200"/>
    <s v="Van"/>
    <n v="3"/>
    <x v="2"/>
    <n v="263009"/>
    <n v="3.76"/>
    <n v="13176090747.41"/>
  </r>
  <r>
    <x v="12"/>
    <s v="Bolt EUV"/>
    <n v="2024"/>
    <x v="4"/>
    <n v="43668.28"/>
    <n v="79.400000000000006"/>
    <n v="284"/>
    <n v="120"/>
    <s v="Truck"/>
    <n v="4"/>
    <x v="2"/>
    <n v="1211"/>
    <n v="3.34"/>
    <n v="52882287.079999998"/>
  </r>
  <r>
    <x v="8"/>
    <s v="F-150 Lightning"/>
    <n v="2024"/>
    <x v="0"/>
    <n v="54997.37"/>
    <n v="100.7"/>
    <n v="353"/>
    <n v="183"/>
    <s v="Truck"/>
    <n v="5"/>
    <x v="2"/>
    <n v="49671"/>
    <n v="3.66"/>
    <n v="2731774365.27"/>
  </r>
  <r>
    <x v="4"/>
    <s v="Q6 e-tron"/>
    <n v="2024"/>
    <x v="0"/>
    <n v="130606.12"/>
    <n v="106.6"/>
    <n v="385"/>
    <n v="169"/>
    <s v="SUV"/>
    <n v="5"/>
    <x v="1"/>
    <n v="39897"/>
    <n v="3.7"/>
    <n v="5210792369.6399994"/>
  </r>
  <r>
    <x v="3"/>
    <s v="Atto 3"/>
    <n v="2024"/>
    <x v="0"/>
    <n v="47823.41"/>
    <n v="77.2"/>
    <n v="258"/>
    <n v="182"/>
    <s v="Coupe"/>
    <n v="5"/>
    <x v="2"/>
    <n v="108045"/>
    <n v="3.61"/>
    <n v="5167080333.4500008"/>
  </r>
  <r>
    <x v="3"/>
    <s v="Qin"/>
    <n v="2024"/>
    <x v="3"/>
    <n v="21712.400000000001"/>
    <n v="83.3"/>
    <n v="307"/>
    <n v="171"/>
    <s v="Van"/>
    <n v="4"/>
    <x v="3"/>
    <n v="169389"/>
    <n v="3.37"/>
    <n v="3677841723.6000004"/>
  </r>
  <r>
    <x v="7"/>
    <s v="ID. Aero"/>
    <n v="2024"/>
    <x v="0"/>
    <n v="54335.65"/>
    <n v="77.599999999999994"/>
    <n v="286"/>
    <n v="186"/>
    <s v="Sedan"/>
    <n v="5"/>
    <x v="2"/>
    <n v="284565"/>
    <n v="3.65"/>
    <n v="15462024242.25"/>
  </r>
  <r>
    <x v="8"/>
    <s v="Explorer EV"/>
    <n v="2024"/>
    <x v="2"/>
    <n v="53737.95"/>
    <n v="61.5"/>
    <n v="226"/>
    <n v="152"/>
    <s v="Sedan"/>
    <n v="3"/>
    <x v="2"/>
    <n v="62660"/>
    <n v="3.28"/>
    <n v="3367219947"/>
  </r>
  <r>
    <x v="2"/>
    <s v="Model Y"/>
    <n v="2024"/>
    <x v="2"/>
    <n v="105607.38"/>
    <n v="44.4"/>
    <n v="150"/>
    <n v="163"/>
    <s v="Van"/>
    <n v="4"/>
    <x v="1"/>
    <n v="422392"/>
    <n v="3.52"/>
    <n v="44607712452.959999"/>
  </r>
  <r>
    <x v="2"/>
    <s v="Model 3"/>
    <n v="2024"/>
    <x v="0"/>
    <n v="138760.95999999999"/>
    <n v="99.4"/>
    <n v="376"/>
    <n v="175"/>
    <s v="Sedan"/>
    <n v="5"/>
    <x v="1"/>
    <n v="204411"/>
    <n v="3.95"/>
    <n v="28364266594.559998"/>
  </r>
  <r>
    <x v="3"/>
    <s v="Dolphin"/>
    <n v="2024"/>
    <x v="4"/>
    <n v="89340.39"/>
    <n v="64.599999999999994"/>
    <n v="223"/>
    <n v="132"/>
    <s v="Van"/>
    <n v="5"/>
    <x v="0"/>
    <n v="229760"/>
    <n v="3.35"/>
    <n v="20526848006.400002"/>
  </r>
  <r>
    <x v="6"/>
    <s v="Ioniq"/>
    <n v="2024"/>
    <x v="2"/>
    <n v="29445.040000000001"/>
    <n v="64.2"/>
    <n v="222"/>
    <n v="173"/>
    <s v="Hatchback"/>
    <n v="5"/>
    <x v="3"/>
    <n v="53245"/>
    <n v="3.2"/>
    <n v="1567801154.8"/>
  </r>
  <r>
    <x v="2"/>
    <s v="Cybertruck"/>
    <n v="2024"/>
    <x v="0"/>
    <n v="57586.87"/>
    <n v="108.4"/>
    <n v="364"/>
    <n v="163"/>
    <s v="Truck"/>
    <n v="4"/>
    <x v="2"/>
    <n v="136381"/>
    <n v="3.84"/>
    <n v="7853754917.4700003"/>
  </r>
  <r>
    <x v="4"/>
    <s v="Q6 e-tron"/>
    <n v="2024"/>
    <x v="3"/>
    <n v="112837.91"/>
    <n v="61"/>
    <n v="222"/>
    <n v="144"/>
    <s v="Sedan"/>
    <n v="3"/>
    <x v="1"/>
    <n v="45029"/>
    <n v="3.56"/>
    <n v="5080978249.3900003"/>
  </r>
  <r>
    <x v="2"/>
    <s v="Model Y"/>
    <n v="2024"/>
    <x v="2"/>
    <n v="40219.61"/>
    <n v="80.099999999999994"/>
    <n v="308"/>
    <n v="171"/>
    <s v="Coupe"/>
    <n v="5"/>
    <x v="2"/>
    <n v="429025"/>
    <n v="3.73"/>
    <n v="17255218180.25"/>
  </r>
  <r>
    <x v="15"/>
    <s v="Taycan"/>
    <n v="2024"/>
    <x v="4"/>
    <n v="142936.98000000001"/>
    <n v="54.2"/>
    <n v="186"/>
    <n v="130"/>
    <s v="SUV"/>
    <n v="5"/>
    <x v="1"/>
    <n v="23751"/>
    <n v="3.87"/>
    <n v="3394896211.98"/>
  </r>
  <r>
    <x v="3"/>
    <s v="Qin"/>
    <n v="2024"/>
    <x v="1"/>
    <n v="99381.36"/>
    <n v="80.7"/>
    <n v="289"/>
    <n v="200"/>
    <s v="Truck"/>
    <n v="4"/>
    <x v="0"/>
    <n v="152043"/>
    <n v="3.48"/>
    <n v="15110240118.48"/>
  </r>
  <r>
    <x v="9"/>
    <s v="i3"/>
    <n v="2024"/>
    <x v="4"/>
    <n v="109123.19"/>
    <n v="75.8"/>
    <n v="284"/>
    <n v="136"/>
    <s v="Van"/>
    <n v="5"/>
    <x v="1"/>
    <n v="54152"/>
    <n v="3.63"/>
    <n v="5909238984.8800001"/>
  </r>
  <r>
    <x v="3"/>
    <s v="Seagull"/>
    <n v="2024"/>
    <x v="2"/>
    <n v="19470.990000000002"/>
    <n v="82.7"/>
    <n v="291"/>
    <n v="159"/>
    <s v="Truck"/>
    <n v="3"/>
    <x v="3"/>
    <n v="210937"/>
    <n v="3.48"/>
    <n v="4107152217.6300001"/>
  </r>
  <r>
    <x v="13"/>
    <s v="GLE EV"/>
    <n v="2024"/>
    <x v="4"/>
    <n v="194076.68"/>
    <n v="41.1"/>
    <n v="160"/>
    <n v="136"/>
    <s v="Hatchback"/>
    <n v="3"/>
    <x v="1"/>
    <n v="69583"/>
    <n v="3.65"/>
    <n v="13504437624.439999"/>
  </r>
  <r>
    <x v="2"/>
    <s v="Model Y"/>
    <n v="2024"/>
    <x v="3"/>
    <n v="31623.119999999999"/>
    <n v="77.5"/>
    <n v="246"/>
    <n v="165"/>
    <s v="Hatchback"/>
    <n v="5"/>
    <x v="3"/>
    <n v="457458"/>
    <n v="3.75"/>
    <n v="14466249228.959999"/>
  </r>
  <r>
    <x v="3"/>
    <s v="Leaf 50X"/>
    <n v="2024"/>
    <x v="2"/>
    <n v="77144.36"/>
    <n v="70.900000000000006"/>
    <n v="259"/>
    <n v="137"/>
    <s v="Hatchback"/>
    <n v="4"/>
    <x v="0"/>
    <n v="140199"/>
    <n v="3.58"/>
    <n v="10815562127.639999"/>
  </r>
  <r>
    <x v="3"/>
    <s v="Leaf 50X"/>
    <n v="2024"/>
    <x v="3"/>
    <n v="55111.29"/>
    <n v="68.400000000000006"/>
    <n v="223"/>
    <n v="171"/>
    <s v="Hatchback"/>
    <n v="4"/>
    <x v="2"/>
    <n v="112631"/>
    <n v="3.46"/>
    <n v="6207239703.9899998"/>
  </r>
  <r>
    <x v="5"/>
    <s v="EV9"/>
    <n v="2024"/>
    <x v="4"/>
    <n v="65472.17"/>
    <n v="78.2"/>
    <n v="224"/>
    <n v="133"/>
    <s v="SUV"/>
    <n v="4"/>
    <x v="0"/>
    <n v="60682"/>
    <n v="3.3"/>
    <n v="3972982219.9400001"/>
  </r>
  <r>
    <x v="2"/>
    <s v="Model S"/>
    <n v="2024"/>
    <x v="1"/>
    <n v="119857.21"/>
    <n v="83.5"/>
    <n v="307"/>
    <n v="200"/>
    <s v="Truck"/>
    <n v="4"/>
    <x v="1"/>
    <n v="142701"/>
    <n v="4.1399999999999997"/>
    <n v="17103743724.210001"/>
  </r>
  <r>
    <x v="8"/>
    <s v="Explorer EV"/>
    <n v="2024"/>
    <x v="1"/>
    <n v="105603.42"/>
    <n v="114.4"/>
    <n v="427"/>
    <n v="200"/>
    <s v="Van"/>
    <n v="4"/>
    <x v="1"/>
    <n v="31600"/>
    <n v="4.03"/>
    <n v="3337068072"/>
  </r>
  <r>
    <x v="9"/>
    <s v="i7"/>
    <n v="2024"/>
    <x v="0"/>
    <n v="93724.2"/>
    <n v="100"/>
    <n v="326"/>
    <n v="188"/>
    <s v="Van"/>
    <n v="4"/>
    <x v="0"/>
    <n v="36760"/>
    <n v="3.63"/>
    <n v="3445301592"/>
  </r>
  <r>
    <x v="3"/>
    <s v="Seagull"/>
    <n v="2024"/>
    <x v="3"/>
    <n v="32276.7"/>
    <n v="53.8"/>
    <n v="220"/>
    <n v="142"/>
    <s v="Hatchback"/>
    <n v="5"/>
    <x v="3"/>
    <n v="236029"/>
    <n v="3.7"/>
    <n v="7618237224.3000002"/>
  </r>
  <r>
    <x v="12"/>
    <s v="Bolt EV"/>
    <n v="2024"/>
    <x v="3"/>
    <n v="61070.92"/>
    <n v="75.7"/>
    <n v="280"/>
    <n v="156"/>
    <s v="Hatchback"/>
    <n v="5"/>
    <x v="2"/>
    <n v="2434"/>
    <n v="3.31"/>
    <n v="148646619.28"/>
  </r>
  <r>
    <x v="12"/>
    <s v="Bolt EV"/>
    <n v="2024"/>
    <x v="2"/>
    <n v="56305.37"/>
    <n v="52"/>
    <n v="170"/>
    <n v="149"/>
    <s v="Van"/>
    <n v="4"/>
    <x v="2"/>
    <n v="2728"/>
    <n v="3.2"/>
    <n v="153601049.36000001"/>
  </r>
  <r>
    <x v="5"/>
    <s v="EV6"/>
    <n v="2024"/>
    <x v="3"/>
    <n v="44920.54"/>
    <n v="57.9"/>
    <n v="198"/>
    <n v="122"/>
    <s v="Truck"/>
    <n v="5"/>
    <x v="2"/>
    <n v="145791"/>
    <n v="3"/>
    <n v="6549010447.1400003"/>
  </r>
  <r>
    <x v="2"/>
    <s v="Cybertruck"/>
    <n v="2024"/>
    <x v="4"/>
    <n v="47891.48"/>
    <n v="42.5"/>
    <n v="164"/>
    <n v="175"/>
    <s v="Truck"/>
    <n v="3"/>
    <x v="2"/>
    <n v="118665"/>
    <n v="3.65"/>
    <n v="5683042474.2000008"/>
  </r>
  <r>
    <x v="1"/>
    <s v="Ronin"/>
    <n v="2024"/>
    <x v="4"/>
    <n v="67456.63"/>
    <n v="41.7"/>
    <n v="150"/>
    <n v="169"/>
    <s v="Coupe"/>
    <n v="4"/>
    <x v="0"/>
    <n v="20333"/>
    <n v="3.29"/>
    <n v="1371595657.7900002"/>
  </r>
  <r>
    <x v="6"/>
    <s v="Ioniq 5"/>
    <n v="2024"/>
    <x v="0"/>
    <n v="83570.149999999994"/>
    <n v="78.5"/>
    <n v="258"/>
    <n v="189"/>
    <s v="Coupe"/>
    <n v="5"/>
    <x v="0"/>
    <n v="145959"/>
    <n v="3.37"/>
    <n v="12197815523.849998"/>
  </r>
  <r>
    <x v="3"/>
    <s v="Yuan Plus"/>
    <n v="2024"/>
    <x v="4"/>
    <n v="107358.88"/>
    <n v="58.4"/>
    <n v="205"/>
    <n v="132"/>
    <s v="Coupe"/>
    <n v="3"/>
    <x v="1"/>
    <n v="110469"/>
    <n v="3.56"/>
    <n v="11859828114.720001"/>
  </r>
  <r>
    <x v="7"/>
    <s v="ID. Aero"/>
    <n v="2024"/>
    <x v="0"/>
    <n v="59514"/>
    <n v="103.6"/>
    <n v="337"/>
    <n v="183"/>
    <s v="SUV"/>
    <n v="4"/>
    <x v="2"/>
    <n v="230145"/>
    <n v="3.7"/>
    <n v="13696849530"/>
  </r>
  <r>
    <x v="11"/>
    <s v="R2"/>
    <n v="2024"/>
    <x v="3"/>
    <n v="84156.92"/>
    <n v="68.400000000000006"/>
    <n v="226"/>
    <n v="165"/>
    <s v="Coupe"/>
    <n v="4"/>
    <x v="0"/>
    <n v="29685"/>
    <n v="3.44"/>
    <n v="2498198170.1999998"/>
  </r>
  <r>
    <x v="7"/>
    <s v="ID.5"/>
    <n v="2024"/>
    <x v="2"/>
    <n v="39960.53"/>
    <n v="63.9"/>
    <n v="252"/>
    <n v="165"/>
    <s v="Sedan"/>
    <n v="4"/>
    <x v="2"/>
    <n v="212818"/>
    <n v="3.48"/>
    <n v="8504320073.54"/>
  </r>
  <r>
    <x v="1"/>
    <s v="Ronin"/>
    <n v="2024"/>
    <x v="0"/>
    <n v="115878.52"/>
    <n v="94.5"/>
    <n v="334"/>
    <n v="166"/>
    <s v="Truck"/>
    <n v="4"/>
    <x v="1"/>
    <n v="6077"/>
    <n v="3.64"/>
    <n v="704193766.04000008"/>
  </r>
  <r>
    <x v="0"/>
    <s v="bZ Compact SUV"/>
    <n v="2024"/>
    <x v="0"/>
    <n v="64461.760000000002"/>
    <n v="85.4"/>
    <n v="288"/>
    <n v="180"/>
    <s v="SUV"/>
    <n v="4"/>
    <x v="2"/>
    <n v="1214"/>
    <n v="3.76"/>
    <n v="78256576.640000001"/>
  </r>
  <r>
    <x v="6"/>
    <s v="Ioniq"/>
    <n v="2024"/>
    <x v="2"/>
    <n v="50276.57"/>
    <n v="73.2"/>
    <n v="241"/>
    <n v="138"/>
    <s v="Van"/>
    <n v="3"/>
    <x v="2"/>
    <n v="126203"/>
    <n v="3.42"/>
    <n v="6345053963.71"/>
  </r>
  <r>
    <x v="3"/>
    <s v="Leaf 50X"/>
    <n v="2024"/>
    <x v="1"/>
    <n v="118468.84"/>
    <n v="86.8"/>
    <n v="291"/>
    <n v="200"/>
    <s v="Coupe"/>
    <n v="4"/>
    <x v="1"/>
    <n v="209498"/>
    <n v="3.76"/>
    <n v="24818985042.32"/>
  </r>
  <r>
    <x v="8"/>
    <s v="Mustang Mach-E"/>
    <n v="2024"/>
    <x v="2"/>
    <n v="52120.46"/>
    <n v="64.5"/>
    <n v="208"/>
    <n v="181"/>
    <s v="Coupe"/>
    <n v="4"/>
    <x v="2"/>
    <n v="29029"/>
    <n v="3.16"/>
    <n v="1513004833.3399999"/>
  </r>
  <r>
    <x v="13"/>
    <s v="EQC"/>
    <n v="2024"/>
    <x v="0"/>
    <n v="169395.24"/>
    <n v="99.7"/>
    <n v="323"/>
    <n v="172"/>
    <s v="Truck"/>
    <n v="3"/>
    <x v="1"/>
    <n v="60151"/>
    <n v="3.87"/>
    <n v="10189293081.24"/>
  </r>
  <r>
    <x v="6"/>
    <s v="Ioniq"/>
    <n v="2024"/>
    <x v="1"/>
    <n v="50087.55"/>
    <n v="104.8"/>
    <n v="362"/>
    <n v="188"/>
    <s v="Truck"/>
    <n v="5"/>
    <x v="2"/>
    <n v="62703"/>
    <n v="3.86"/>
    <n v="3140639647.6500001"/>
  </r>
  <r>
    <x v="3"/>
    <s v="Max"/>
    <n v="2024"/>
    <x v="2"/>
    <n v="36467.370000000003"/>
    <n v="45"/>
    <n v="150"/>
    <n v="169"/>
    <s v="Coupe"/>
    <n v="4"/>
    <x v="2"/>
    <n v="220450"/>
    <n v="3.22"/>
    <n v="8039231716.500001"/>
  </r>
  <r>
    <x v="13"/>
    <s v="GLE EV"/>
    <n v="2024"/>
    <x v="2"/>
    <n v="116775.93"/>
    <n v="78.599999999999994"/>
    <n v="259"/>
    <n v="166"/>
    <s v="Hatchback"/>
    <n v="4"/>
    <x v="1"/>
    <n v="43904"/>
    <n v="3.6"/>
    <n v="5126930430.7199993"/>
  </r>
  <r>
    <x v="7"/>
    <s v="ID.3"/>
    <n v="2024"/>
    <x v="4"/>
    <n v="98791.59"/>
    <n v="77"/>
    <n v="250"/>
    <n v="133"/>
    <s v="Hatchback"/>
    <n v="5"/>
    <x v="0"/>
    <n v="289215"/>
    <n v="3.46"/>
    <n v="28572009701.849998"/>
  </r>
  <r>
    <x v="6"/>
    <s v="Kona Electric"/>
    <n v="2024"/>
    <x v="4"/>
    <n v="75053.58"/>
    <n v="43"/>
    <n v="154"/>
    <n v="150"/>
    <s v="Truck"/>
    <n v="4"/>
    <x v="0"/>
    <n v="86699"/>
    <n v="3.36"/>
    <n v="6507070332.4200001"/>
  </r>
  <r>
    <x v="3"/>
    <s v="Max"/>
    <n v="2024"/>
    <x v="3"/>
    <n v="39727.71"/>
    <n v="45.3"/>
    <n v="154"/>
    <n v="170"/>
    <s v="Van"/>
    <n v="4"/>
    <x v="2"/>
    <n v="139199"/>
    <n v="3.11"/>
    <n v="5530057504.29"/>
  </r>
  <r>
    <x v="6"/>
    <s v="Ioniq 5"/>
    <n v="2024"/>
    <x v="4"/>
    <n v="80948.92"/>
    <n v="68.599999999999994"/>
    <n v="262"/>
    <n v="162"/>
    <s v="Van"/>
    <n v="5"/>
    <x v="0"/>
    <n v="134570"/>
    <n v="3.64"/>
    <n v="10893296164.4"/>
  </r>
  <r>
    <x v="3"/>
    <s v="Qin"/>
    <n v="2024"/>
    <x v="4"/>
    <n v="67622.89"/>
    <n v="80.400000000000006"/>
    <n v="289"/>
    <n v="131"/>
    <s v="Hatchback"/>
    <n v="4"/>
    <x v="0"/>
    <n v="235660"/>
    <n v="3.57"/>
    <n v="15936010257.4"/>
  </r>
  <r>
    <x v="3"/>
    <s v="Leaf 50X"/>
    <n v="2024"/>
    <x v="2"/>
    <n v="56388.91"/>
    <n v="73.7"/>
    <n v="242"/>
    <n v="156"/>
    <s v="Sedan"/>
    <n v="5"/>
    <x v="2"/>
    <n v="205113"/>
    <n v="3.4"/>
    <n v="11566098496.83"/>
  </r>
  <r>
    <x v="2"/>
    <s v="Cybertruck"/>
    <n v="2024"/>
    <x v="2"/>
    <n v="37365.06"/>
    <n v="44.7"/>
    <n v="150"/>
    <n v="169"/>
    <s v="Truck"/>
    <n v="5"/>
    <x v="2"/>
    <n v="220616"/>
    <n v="3.81"/>
    <n v="8243330076.9599991"/>
  </r>
  <r>
    <x v="3"/>
    <s v="Leaf 50X"/>
    <n v="2024"/>
    <x v="2"/>
    <n v="76472.570000000007"/>
    <n v="67.2"/>
    <n v="227"/>
    <n v="139"/>
    <s v="Van"/>
    <n v="4"/>
    <x v="0"/>
    <n v="191416"/>
    <n v="3.33"/>
    <n v="14638073459.120001"/>
  </r>
  <r>
    <x v="3"/>
    <s v="Seagull"/>
    <n v="2024"/>
    <x v="1"/>
    <n v="117281.9"/>
    <n v="115.7"/>
    <n v="431"/>
    <n v="195"/>
    <s v="Sedan"/>
    <n v="3"/>
    <x v="1"/>
    <n v="111137"/>
    <n v="3.92"/>
    <n v="13034358520.299999"/>
  </r>
  <r>
    <x v="6"/>
    <s v="Kona Electric"/>
    <n v="2024"/>
    <x v="2"/>
    <n v="52223.31"/>
    <n v="42.1"/>
    <n v="150"/>
    <n v="161"/>
    <s v="Van"/>
    <n v="4"/>
    <x v="2"/>
    <n v="89573"/>
    <n v="3.43"/>
    <n v="4677798546.6300001"/>
  </r>
  <r>
    <x v="9"/>
    <s v="i5"/>
    <n v="2024"/>
    <x v="1"/>
    <n v="76696.39"/>
    <n v="87.4"/>
    <n v="313"/>
    <n v="192"/>
    <s v="SUV"/>
    <n v="5"/>
    <x v="0"/>
    <n v="21525"/>
    <n v="3.69"/>
    <n v="1650889794.75"/>
  </r>
  <r>
    <x v="13"/>
    <s v="EQS"/>
    <n v="2024"/>
    <x v="4"/>
    <n v="99625.48"/>
    <n v="81.2"/>
    <n v="306"/>
    <n v="153"/>
    <s v="SUV"/>
    <n v="4"/>
    <x v="0"/>
    <n v="71016"/>
    <n v="3.79"/>
    <n v="7075003087.6799994"/>
  </r>
  <r>
    <x v="2"/>
    <s v="Model Y"/>
    <n v="2024"/>
    <x v="3"/>
    <n v="110939.31"/>
    <n v="48.7"/>
    <n v="160"/>
    <n v="169"/>
    <s v="Coupe"/>
    <n v="4"/>
    <x v="1"/>
    <n v="456268"/>
    <n v="3.43"/>
    <n v="50618057095.080002"/>
  </r>
  <r>
    <x v="9"/>
    <s v="i3"/>
    <n v="2024"/>
    <x v="4"/>
    <n v="69442.009999999995"/>
    <n v="54.1"/>
    <n v="193"/>
    <n v="169"/>
    <s v="Van"/>
    <n v="4"/>
    <x v="0"/>
    <n v="51378"/>
    <n v="3.2"/>
    <n v="3567791589.7799997"/>
  </r>
  <r>
    <x v="5"/>
    <s v="Picanto EV"/>
    <n v="2024"/>
    <x v="4"/>
    <n v="56096.47"/>
    <n v="47.3"/>
    <n v="176"/>
    <n v="159"/>
    <s v="Coupe"/>
    <n v="3"/>
    <x v="2"/>
    <n v="113782"/>
    <n v="3.4"/>
    <n v="6382768549.54"/>
  </r>
  <r>
    <x v="14"/>
    <s v="EL8"/>
    <n v="2024"/>
    <x v="2"/>
    <n v="82536.87"/>
    <n v="69.7"/>
    <n v="264"/>
    <n v="127"/>
    <s v="Truck"/>
    <n v="5"/>
    <x v="0"/>
    <n v="17477"/>
    <n v="3.38"/>
    <n v="1442496876.99"/>
  </r>
  <r>
    <x v="6"/>
    <s v="Ioniq 6"/>
    <n v="2024"/>
    <x v="2"/>
    <n v="54234.95"/>
    <n v="58.4"/>
    <n v="217"/>
    <n v="132"/>
    <s v="Truck"/>
    <n v="5"/>
    <x v="2"/>
    <n v="136935"/>
    <n v="3.41"/>
    <n v="7426662878.25"/>
  </r>
  <r>
    <x v="0"/>
    <s v="bZ Compact SUV"/>
    <n v="2024"/>
    <x v="2"/>
    <n v="62799.62"/>
    <n v="80.2"/>
    <n v="271"/>
    <n v="143"/>
    <s v="SUV"/>
    <n v="4"/>
    <x v="2"/>
    <n v="8458"/>
    <n v="3.67"/>
    <n v="531159185.96000004"/>
  </r>
  <r>
    <x v="2"/>
    <s v="Cybertruck"/>
    <n v="2024"/>
    <x v="3"/>
    <n v="130803.06"/>
    <n v="83.1"/>
    <n v="289"/>
    <n v="150"/>
    <s v="Truck"/>
    <n v="4"/>
    <x v="1"/>
    <n v="105012"/>
    <n v="4.03"/>
    <n v="13735890936.719999"/>
  </r>
  <r>
    <x v="2"/>
    <s v="Model Y"/>
    <n v="2024"/>
    <x v="0"/>
    <n v="85409.4"/>
    <n v="94.6"/>
    <n v="338"/>
    <n v="167"/>
    <s v="Sedan"/>
    <n v="4"/>
    <x v="0"/>
    <n v="497556"/>
    <n v="4.0599999999999996"/>
    <n v="42495959426.399994"/>
  </r>
  <r>
    <x v="2"/>
    <s v="Model Y"/>
    <n v="2024"/>
    <x v="2"/>
    <n v="43315.76"/>
    <n v="61.7"/>
    <n v="224"/>
    <n v="136"/>
    <s v="Sedan"/>
    <n v="5"/>
    <x v="2"/>
    <n v="424937"/>
    <n v="3.73"/>
    <n v="18406469107.120003"/>
  </r>
  <r>
    <x v="2"/>
    <s v="Model X"/>
    <n v="2024"/>
    <x v="3"/>
    <n v="79315.78"/>
    <n v="60.6"/>
    <n v="195"/>
    <n v="164"/>
    <s v="Truck"/>
    <n v="5"/>
    <x v="0"/>
    <n v="122128"/>
    <n v="3.66"/>
    <n v="9686677579.8400002"/>
  </r>
  <r>
    <x v="4"/>
    <s v="e-tron"/>
    <n v="2024"/>
    <x v="0"/>
    <n v="130131.59"/>
    <n v="94"/>
    <n v="322"/>
    <n v="163"/>
    <s v="Sedan"/>
    <n v="4"/>
    <x v="1"/>
    <n v="36875"/>
    <n v="3.63"/>
    <n v="4798602381.25"/>
  </r>
  <r>
    <x v="12"/>
    <s v="Bolt EV"/>
    <n v="2024"/>
    <x v="0"/>
    <n v="56344.05"/>
    <n v="94.4"/>
    <n v="351"/>
    <n v="176"/>
    <s v="Coupe"/>
    <n v="5"/>
    <x v="2"/>
    <n v="12802"/>
    <n v="3.81"/>
    <n v="721316528.10000002"/>
  </r>
  <r>
    <x v="8"/>
    <s v="F-150 Lightning"/>
    <n v="2024"/>
    <x v="3"/>
    <n v="59797.58"/>
    <n v="46.4"/>
    <n v="171"/>
    <n v="154"/>
    <s v="Truck"/>
    <n v="4"/>
    <x v="2"/>
    <n v="57357"/>
    <n v="3.14"/>
    <n v="3429809796.0599999"/>
  </r>
  <r>
    <x v="8"/>
    <s v="E-Transit"/>
    <n v="2024"/>
    <x v="1"/>
    <n v="98104.320000000007"/>
    <n v="80.3"/>
    <n v="266"/>
    <n v="181"/>
    <s v="Van"/>
    <n v="4"/>
    <x v="0"/>
    <n v="47356"/>
    <n v="3.62"/>
    <n v="4645828177.9200001"/>
  </r>
  <r>
    <x v="7"/>
    <s v="ID.3"/>
    <n v="2024"/>
    <x v="2"/>
    <n v="32753.54"/>
    <n v="42.3"/>
    <n v="178"/>
    <n v="139"/>
    <s v="Truck"/>
    <n v="5"/>
    <x v="3"/>
    <n v="224478"/>
    <n v="3.16"/>
    <n v="7352449152.1199999"/>
  </r>
  <r>
    <x v="11"/>
    <s v="R1S"/>
    <n v="2024"/>
    <x v="0"/>
    <n v="99040.38"/>
    <n v="77.599999999999994"/>
    <n v="294"/>
    <n v="169"/>
    <s v="Coupe"/>
    <n v="5"/>
    <x v="0"/>
    <n v="10950"/>
    <n v="3.77"/>
    <n v="1084492161"/>
  </r>
  <r>
    <x v="4"/>
    <s v="e-tron"/>
    <n v="2024"/>
    <x v="0"/>
    <n v="92779.16"/>
    <n v="80"/>
    <n v="260"/>
    <n v="178"/>
    <s v="Hatchback"/>
    <n v="4"/>
    <x v="0"/>
    <n v="22988"/>
    <n v="3.55"/>
    <n v="2132807330.0800002"/>
  </r>
  <r>
    <x v="7"/>
    <s v="ID.4"/>
    <n v="2024"/>
    <x v="4"/>
    <n v="93014.64"/>
    <n v="70.2"/>
    <n v="255"/>
    <n v="169"/>
    <s v="Truck"/>
    <n v="5"/>
    <x v="0"/>
    <n v="264436"/>
    <n v="3.26"/>
    <n v="24596419343.040001"/>
  </r>
  <r>
    <x v="0"/>
    <s v="bZ Compact SUV"/>
    <n v="2024"/>
    <x v="3"/>
    <n v="62299.25"/>
    <n v="60.9"/>
    <n v="213"/>
    <n v="169"/>
    <s v="SUV"/>
    <n v="3"/>
    <x v="2"/>
    <n v="25820"/>
    <n v="3.36"/>
    <n v="1608566635"/>
  </r>
  <r>
    <x v="4"/>
    <s v="Q4 e-tron"/>
    <n v="2024"/>
    <x v="2"/>
    <n v="108294.87"/>
    <n v="84.2"/>
    <n v="297"/>
    <n v="142"/>
    <s v="Truck"/>
    <n v="5"/>
    <x v="1"/>
    <n v="75960"/>
    <n v="3.64"/>
    <n v="8226078325.1999998"/>
  </r>
  <r>
    <x v="12"/>
    <s v="Bolt EV"/>
    <n v="2024"/>
    <x v="3"/>
    <n v="40534.339999999997"/>
    <n v="52"/>
    <n v="170"/>
    <n v="148"/>
    <s v="Coupe"/>
    <n v="5"/>
    <x v="2"/>
    <n v="24616"/>
    <n v="3.08"/>
    <n v="997793313.43999994"/>
  </r>
  <r>
    <x v="2"/>
    <s v="Model Y"/>
    <n v="2024"/>
    <x v="4"/>
    <n v="47765.25"/>
    <n v="45.3"/>
    <n v="171"/>
    <n v="167"/>
    <s v="Sedan"/>
    <n v="5"/>
    <x v="2"/>
    <n v="423769"/>
    <n v="3.45"/>
    <n v="20241432227.25"/>
  </r>
  <r>
    <x v="8"/>
    <s v="Mustang Mach-E"/>
    <n v="2024"/>
    <x v="1"/>
    <n v="92734.95"/>
    <n v="71.599999999999994"/>
    <n v="257"/>
    <n v="183"/>
    <s v="Van"/>
    <n v="4"/>
    <x v="0"/>
    <n v="52532"/>
    <n v="3.34"/>
    <n v="4871552393.3999996"/>
  </r>
  <r>
    <x v="12"/>
    <s v="Bolt EUV"/>
    <n v="2024"/>
    <x v="3"/>
    <n v="53007.41"/>
    <n v="82.4"/>
    <n v="303"/>
    <n v="145"/>
    <s v="SUV"/>
    <n v="4"/>
    <x v="2"/>
    <n v="25295"/>
    <n v="3.72"/>
    <n v="1340822435.95"/>
  </r>
  <r>
    <x v="2"/>
    <s v="Model 3"/>
    <n v="2024"/>
    <x v="0"/>
    <n v="74766.45"/>
    <n v="76.5"/>
    <n v="284"/>
    <n v="169"/>
    <s v="Sedan"/>
    <n v="5"/>
    <x v="0"/>
    <n v="155185"/>
    <n v="4.1399999999999997"/>
    <n v="11602631543.25"/>
  </r>
  <r>
    <x v="0"/>
    <s v="bZ Compact SUV"/>
    <n v="2024"/>
    <x v="0"/>
    <n v="87515.62"/>
    <n v="75.8"/>
    <n v="273"/>
    <n v="170"/>
    <s v="SUV"/>
    <n v="4"/>
    <x v="0"/>
    <n v="24507"/>
    <n v="3.51"/>
    <n v="2144745299.3399999"/>
  </r>
  <r>
    <x v="7"/>
    <s v="ID.4"/>
    <n v="2024"/>
    <x v="4"/>
    <n v="114364.87"/>
    <n v="45.2"/>
    <n v="151"/>
    <n v="150"/>
    <s v="Hatchback"/>
    <n v="5"/>
    <x v="1"/>
    <n v="233971"/>
    <n v="3.16"/>
    <n v="26758062998.77"/>
  </r>
  <r>
    <x v="2"/>
    <s v="Model 3"/>
    <n v="2024"/>
    <x v="2"/>
    <n v="32105.759999999998"/>
    <n v="54.4"/>
    <n v="214"/>
    <n v="129"/>
    <s v="Coupe"/>
    <n v="4"/>
    <x v="3"/>
    <n v="245170"/>
    <n v="3.53"/>
    <n v="7871369179.1999998"/>
  </r>
  <r>
    <x v="0"/>
    <s v="bZ4X"/>
    <n v="2024"/>
    <x v="0"/>
    <n v="55686.21"/>
    <n v="91.7"/>
    <n v="324"/>
    <n v="179"/>
    <s v="Van"/>
    <n v="5"/>
    <x v="2"/>
    <n v="18558"/>
    <n v="3.6"/>
    <n v="1033424685.1799999"/>
  </r>
  <r>
    <x v="0"/>
    <s v="bZ4X"/>
    <n v="2024"/>
    <x v="2"/>
    <n v="36014.199999999997"/>
    <n v="52.5"/>
    <n v="186"/>
    <n v="177"/>
    <s v="Coupe"/>
    <n v="4"/>
    <x v="2"/>
    <n v="5267"/>
    <n v="3.41"/>
    <n v="189686791.39999998"/>
  </r>
  <r>
    <x v="1"/>
    <s v="Ronin"/>
    <n v="2024"/>
    <x v="2"/>
    <n v="65556.39"/>
    <n v="55.1"/>
    <n v="194"/>
    <n v="143"/>
    <s v="Van"/>
    <n v="5"/>
    <x v="0"/>
    <n v="2927"/>
    <n v="3.38"/>
    <n v="191883553.53"/>
  </r>
  <r>
    <x v="5"/>
    <s v="EV9"/>
    <n v="2024"/>
    <x v="3"/>
    <n v="70066.61"/>
    <n v="55.2"/>
    <n v="186"/>
    <n v="169"/>
    <s v="SUV"/>
    <n v="4"/>
    <x v="0"/>
    <n v="125092"/>
    <n v="3.1"/>
    <n v="8764772378.1200008"/>
  </r>
  <r>
    <x v="9"/>
    <s v="i7"/>
    <n v="2024"/>
    <x v="3"/>
    <n v="64827.83"/>
    <n v="42.9"/>
    <n v="150"/>
    <n v="176"/>
    <s v="SUV"/>
    <n v="4"/>
    <x v="2"/>
    <n v="69279"/>
    <n v="3.23"/>
    <n v="4491207234.5699997"/>
  </r>
  <r>
    <x v="0"/>
    <s v="bZ4X"/>
    <n v="2024"/>
    <x v="3"/>
    <n v="61582.84"/>
    <n v="62.3"/>
    <n v="215"/>
    <n v="130"/>
    <s v="Hatchback"/>
    <n v="5"/>
    <x v="2"/>
    <n v="26767"/>
    <n v="3.22"/>
    <n v="1648387878.28"/>
  </r>
  <r>
    <x v="6"/>
    <s v="Ioniq 6"/>
    <n v="2024"/>
    <x v="4"/>
    <n v="45546.32"/>
    <n v="45.1"/>
    <n v="160"/>
    <n v="171"/>
    <s v="Sedan"/>
    <n v="4"/>
    <x v="2"/>
    <n v="71807"/>
    <n v="3.28"/>
    <n v="3270544600.2399998"/>
  </r>
  <r>
    <x v="1"/>
    <s v="Ocean"/>
    <n v="2024"/>
    <x v="0"/>
    <n v="113331.61"/>
    <n v="84.6"/>
    <n v="274"/>
    <n v="170"/>
    <s v="Truck"/>
    <n v="5"/>
    <x v="1"/>
    <n v="17978"/>
    <n v="3.23"/>
    <n v="2037475684.5799999"/>
  </r>
  <r>
    <x v="15"/>
    <s v="Taycan"/>
    <n v="2024"/>
    <x v="0"/>
    <n v="111922.96"/>
    <n v="102.7"/>
    <n v="358"/>
    <n v="188"/>
    <s v="Hatchback"/>
    <n v="5"/>
    <x v="1"/>
    <n v="28429"/>
    <n v="3.99"/>
    <n v="3181857829.8400002"/>
  </r>
  <r>
    <x v="12"/>
    <s v="Silverado EV"/>
    <n v="2024"/>
    <x v="1"/>
    <n v="74262.98"/>
    <n v="80.7"/>
    <n v="285"/>
    <n v="197"/>
    <s v="Sedan"/>
    <n v="5"/>
    <x v="0"/>
    <n v="24171"/>
    <n v="3.38"/>
    <n v="1795010489.5799999"/>
  </r>
  <r>
    <x v="6"/>
    <s v="Ioniq 5"/>
    <n v="2024"/>
    <x v="0"/>
    <n v="41621.620000000003"/>
    <n v="97.9"/>
    <n v="365"/>
    <n v="162"/>
    <s v="Hatchback"/>
    <n v="5"/>
    <x v="2"/>
    <n v="70525"/>
    <n v="3.62"/>
    <n v="2935364750.5"/>
  </r>
  <r>
    <x v="13"/>
    <s v="EQS"/>
    <n v="2024"/>
    <x v="1"/>
    <n v="114049.24"/>
    <n v="103.4"/>
    <n v="368"/>
    <n v="187"/>
    <s v="Van"/>
    <n v="5"/>
    <x v="1"/>
    <n v="68987"/>
    <n v="3.92"/>
    <n v="7867914919.8800001"/>
  </r>
  <r>
    <x v="2"/>
    <s v="Model 3"/>
    <n v="2024"/>
    <x v="3"/>
    <n v="36657.019999999997"/>
    <n v="61.2"/>
    <n v="188"/>
    <n v="144"/>
    <s v="Coupe"/>
    <n v="5"/>
    <x v="2"/>
    <n v="208877"/>
    <n v="3.91"/>
    <n v="7656808366.539999"/>
  </r>
  <r>
    <x v="5"/>
    <s v="Niro EV"/>
    <n v="2024"/>
    <x v="1"/>
    <n v="51697.58"/>
    <n v="115.1"/>
    <n v="396"/>
    <n v="194"/>
    <s v="Truck"/>
    <n v="5"/>
    <x v="2"/>
    <n v="56242"/>
    <n v="3.84"/>
    <n v="2907575294.3600001"/>
  </r>
  <r>
    <x v="7"/>
    <s v="ID.4"/>
    <n v="2024"/>
    <x v="3"/>
    <n v="36019.25"/>
    <n v="63.3"/>
    <n v="224"/>
    <n v="140"/>
    <s v="Hatchback"/>
    <n v="4"/>
    <x v="2"/>
    <n v="209890"/>
    <n v="3.52"/>
    <n v="7560080382.5"/>
  </r>
  <r>
    <x v="1"/>
    <s v="Ocean"/>
    <n v="2024"/>
    <x v="4"/>
    <n v="121374.95"/>
    <n v="70.8"/>
    <n v="262"/>
    <n v="153"/>
    <s v="Van"/>
    <n v="3"/>
    <x v="1"/>
    <n v="26859"/>
    <n v="3.7"/>
    <n v="3260009782.0499997"/>
  </r>
  <r>
    <x v="3"/>
    <s v="Yuan Plus"/>
    <n v="2024"/>
    <x v="2"/>
    <n v="40390.03"/>
    <n v="62.1"/>
    <n v="232"/>
    <n v="138"/>
    <s v="Coupe"/>
    <n v="5"/>
    <x v="2"/>
    <n v="138054"/>
    <n v="3.39"/>
    <n v="5576005201.6199999"/>
  </r>
  <r>
    <x v="2"/>
    <s v="Cybertruck"/>
    <n v="2024"/>
    <x v="0"/>
    <n v="45682.18"/>
    <n v="109.7"/>
    <n v="377"/>
    <n v="165"/>
    <s v="Truck"/>
    <n v="4"/>
    <x v="2"/>
    <n v="170687"/>
    <n v="3.94"/>
    <n v="7797354257.6599998"/>
  </r>
  <r>
    <x v="16"/>
    <s v="SU7"/>
    <n v="2024"/>
    <x v="1"/>
    <n v="102584.09"/>
    <n v="74.5"/>
    <n v="250"/>
    <n v="195"/>
    <s v="Hatchback"/>
    <n v="5"/>
    <x v="1"/>
    <n v="19780"/>
    <n v="3.36"/>
    <n v="2029113300.2"/>
  </r>
  <r>
    <x v="5"/>
    <s v="Sportage EV"/>
    <n v="2024"/>
    <x v="0"/>
    <n v="99048.18"/>
    <n v="89"/>
    <n v="324"/>
    <n v="168"/>
    <s v="SUV"/>
    <n v="5"/>
    <x v="0"/>
    <n v="55742"/>
    <n v="3.56"/>
    <n v="5521143649.5599995"/>
  </r>
  <r>
    <x v="13"/>
    <s v="EQC"/>
    <n v="2024"/>
    <x v="1"/>
    <n v="167898.8"/>
    <n v="106"/>
    <n v="375"/>
    <n v="200"/>
    <s v="Coupe"/>
    <n v="4"/>
    <x v="1"/>
    <n v="20936"/>
    <n v="4.04"/>
    <n v="3515129276.7999997"/>
  </r>
  <r>
    <x v="5"/>
    <s v="EV6"/>
    <n v="2024"/>
    <x v="2"/>
    <n v="30277.360000000001"/>
    <n v="62.3"/>
    <n v="226"/>
    <n v="172"/>
    <s v="Van"/>
    <n v="5"/>
    <x v="3"/>
    <n v="130299"/>
    <n v="3.2"/>
    <n v="3945109730.6399999"/>
  </r>
  <r>
    <x v="3"/>
    <s v="Qin"/>
    <n v="2024"/>
    <x v="1"/>
    <n v="103480.37"/>
    <n v="104.9"/>
    <n v="347"/>
    <n v="200"/>
    <s v="SUV"/>
    <n v="4"/>
    <x v="1"/>
    <n v="211837"/>
    <n v="3.58"/>
    <n v="21920971139.689999"/>
  </r>
  <r>
    <x v="6"/>
    <s v="Ioniq 6"/>
    <n v="2024"/>
    <x v="0"/>
    <n v="84751.75"/>
    <n v="83.1"/>
    <n v="305"/>
    <n v="169"/>
    <s v="Van"/>
    <n v="5"/>
    <x v="0"/>
    <n v="53893"/>
    <n v="3.55"/>
    <n v="4567526062.75"/>
  </r>
  <r>
    <x v="7"/>
    <s v="ID.4"/>
    <n v="2024"/>
    <x v="3"/>
    <n v="78233.39"/>
    <n v="46.6"/>
    <n v="161"/>
    <n v="139"/>
    <s v="Coupe"/>
    <n v="4"/>
    <x v="0"/>
    <n v="259295"/>
    <n v="3.2"/>
    <n v="20285526860.049999"/>
  </r>
  <r>
    <x v="2"/>
    <s v="Model Y"/>
    <n v="2024"/>
    <x v="3"/>
    <n v="110000.94"/>
    <n v="53.4"/>
    <n v="163"/>
    <n v="172"/>
    <s v="Sedan"/>
    <n v="4"/>
    <x v="1"/>
    <n v="414109"/>
    <n v="3.55"/>
    <n v="45552379262.459999"/>
  </r>
  <r>
    <x v="7"/>
    <s v="ID.4"/>
    <n v="2024"/>
    <x v="0"/>
    <n v="67460.11"/>
    <n v="97.9"/>
    <n v="324"/>
    <n v="180"/>
    <s v="Truck"/>
    <n v="4"/>
    <x v="0"/>
    <n v="219503"/>
    <n v="3.66"/>
    <n v="14807696525.33"/>
  </r>
  <r>
    <x v="13"/>
    <s v="EQS"/>
    <n v="2024"/>
    <x v="1"/>
    <n v="175695.73"/>
    <n v="119.3"/>
    <n v="421"/>
    <n v="200"/>
    <s v="Truck"/>
    <n v="4"/>
    <x v="1"/>
    <n v="47072"/>
    <n v="4.1399999999999997"/>
    <n v="8270349402.5600004"/>
  </r>
  <r>
    <x v="2"/>
    <s v="Cybertruck"/>
    <n v="2024"/>
    <x v="1"/>
    <n v="68394.929999999993"/>
    <n v="94.8"/>
    <n v="315"/>
    <n v="179"/>
    <s v="Truck"/>
    <n v="5"/>
    <x v="0"/>
    <n v="230110"/>
    <n v="4"/>
    <n v="15738357342.299999"/>
  </r>
  <r>
    <x v="10"/>
    <s v="Polestar 3"/>
    <n v="2024"/>
    <x v="4"/>
    <n v="98223.61"/>
    <n v="58.4"/>
    <n v="219"/>
    <n v="147"/>
    <s v="Coupe"/>
    <n v="4"/>
    <x v="0"/>
    <n v="3904"/>
    <n v="3.65"/>
    <n v="383464973.44"/>
  </r>
  <r>
    <x v="6"/>
    <s v="Ioniq"/>
    <n v="2024"/>
    <x v="4"/>
    <n v="39646.49"/>
    <n v="41"/>
    <n v="150"/>
    <n v="174"/>
    <s v="Hatchback"/>
    <n v="5"/>
    <x v="2"/>
    <n v="129173"/>
    <n v="3"/>
    <n v="5121256052.7699995"/>
  </r>
  <r>
    <x v="2"/>
    <s v="Model 3"/>
    <n v="2024"/>
    <x v="4"/>
    <n v="164903.76"/>
    <n v="51.1"/>
    <n v="184"/>
    <n v="159"/>
    <s v="Coupe"/>
    <n v="3"/>
    <x v="1"/>
    <n v="238934"/>
    <n v="3.62"/>
    <n v="39401114991.840004"/>
  </r>
  <r>
    <x v="2"/>
    <s v="Model S"/>
    <n v="2024"/>
    <x v="3"/>
    <n v="132957.6"/>
    <n v="57.4"/>
    <n v="197"/>
    <n v="168"/>
    <s v="Sedan"/>
    <n v="5"/>
    <x v="1"/>
    <n v="220563"/>
    <n v="3.46"/>
    <n v="29325527128.800003"/>
  </r>
  <r>
    <x v="9"/>
    <s v="i7"/>
    <n v="2024"/>
    <x v="0"/>
    <n v="126323.43"/>
    <n v="92.6"/>
    <n v="337"/>
    <n v="190"/>
    <s v="Hatchback"/>
    <n v="5"/>
    <x v="1"/>
    <n v="51591"/>
    <n v="3.87"/>
    <n v="6517152077.1300001"/>
  </r>
  <r>
    <x v="3"/>
    <s v="Dolphin"/>
    <n v="2024"/>
    <x v="0"/>
    <n v="38014.51"/>
    <n v="86.6"/>
    <n v="325"/>
    <n v="169"/>
    <s v="SUV"/>
    <n v="5"/>
    <x v="2"/>
    <n v="241420"/>
    <n v="3.72"/>
    <n v="9177463004.2000008"/>
  </r>
  <r>
    <x v="8"/>
    <s v="Mustang Mach-E"/>
    <n v="2024"/>
    <x v="4"/>
    <n v="96727.35"/>
    <n v="71.400000000000006"/>
    <n v="233"/>
    <n v="140"/>
    <s v="Hatchback"/>
    <n v="3"/>
    <x v="0"/>
    <n v="75873"/>
    <n v="3.24"/>
    <n v="7338994226.5500002"/>
  </r>
  <r>
    <x v="9"/>
    <s v="i7"/>
    <n v="2024"/>
    <x v="2"/>
    <n v="84385.88"/>
    <n v="47.3"/>
    <n v="177"/>
    <n v="136"/>
    <s v="Sedan"/>
    <n v="5"/>
    <x v="0"/>
    <n v="74771"/>
    <n v="3.09"/>
    <n v="6309616633.4800005"/>
  </r>
  <r>
    <x v="3"/>
    <s v="Qin"/>
    <n v="2024"/>
    <x v="1"/>
    <n v="54577.89"/>
    <n v="119.6"/>
    <n v="427"/>
    <n v="190"/>
    <s v="Hatchback"/>
    <n v="5"/>
    <x v="2"/>
    <n v="139526"/>
    <n v="3.84"/>
    <n v="7615034680.1400003"/>
  </r>
  <r>
    <x v="6"/>
    <s v="Kona Electric"/>
    <n v="2024"/>
    <x v="0"/>
    <n v="90974.8"/>
    <n v="80.400000000000006"/>
    <n v="296"/>
    <n v="179"/>
    <s v="Van"/>
    <n v="4"/>
    <x v="0"/>
    <n v="59668"/>
    <n v="3.91"/>
    <n v="5428284366.4000006"/>
  </r>
  <r>
    <x v="6"/>
    <s v="i30"/>
    <n v="2024"/>
    <x v="4"/>
    <n v="40685.58"/>
    <n v="66.5"/>
    <n v="247"/>
    <n v="159"/>
    <s v="Hatchback"/>
    <n v="5"/>
    <x v="2"/>
    <n v="143645"/>
    <n v="3.36"/>
    <n v="5844280139.1000004"/>
  </r>
  <r>
    <x v="3"/>
    <s v="Yuan Plus"/>
    <n v="2024"/>
    <x v="2"/>
    <n v="73962.429999999993"/>
    <n v="41.7"/>
    <n v="163"/>
    <n v="163"/>
    <s v="Sedan"/>
    <n v="5"/>
    <x v="0"/>
    <n v="121424"/>
    <n v="3.25"/>
    <n v="8980814100.3199997"/>
  </r>
  <r>
    <x v="2"/>
    <s v="Model 3"/>
    <n v="2024"/>
    <x v="0"/>
    <n v="73678.259999999995"/>
    <n v="106.1"/>
    <n v="370"/>
    <n v="177"/>
    <s v="Coupe"/>
    <n v="5"/>
    <x v="0"/>
    <n v="201869"/>
    <n v="3.99"/>
    <n v="14873356667.939999"/>
  </r>
  <r>
    <x v="4"/>
    <s v="e-tron"/>
    <n v="2024"/>
    <x v="3"/>
    <n v="62074.39"/>
    <n v="65.3"/>
    <n v="236"/>
    <n v="160"/>
    <s v="SUV"/>
    <n v="5"/>
    <x v="2"/>
    <n v="41240"/>
    <n v="3.53"/>
    <n v="2559947843.5999999"/>
  </r>
  <r>
    <x v="5"/>
    <s v="EV6"/>
    <n v="2024"/>
    <x v="1"/>
    <n v="68316.17"/>
    <n v="76.400000000000006"/>
    <n v="262"/>
    <n v="189"/>
    <s v="Hatchback"/>
    <n v="4"/>
    <x v="0"/>
    <n v="86275"/>
    <n v="3.61"/>
    <n v="5893977566.75"/>
  </r>
  <r>
    <x v="6"/>
    <s v="Ioniq 6"/>
    <n v="2024"/>
    <x v="3"/>
    <n v="60164.53"/>
    <n v="53.1"/>
    <n v="185"/>
    <n v="146"/>
    <s v="SUV"/>
    <n v="5"/>
    <x v="2"/>
    <n v="85467"/>
    <n v="3.29"/>
    <n v="5142081885.5100002"/>
  </r>
  <r>
    <x v="6"/>
    <s v="i30"/>
    <n v="2024"/>
    <x v="2"/>
    <n v="35093.17"/>
    <n v="77.099999999999994"/>
    <n v="295"/>
    <n v="134"/>
    <s v="Van"/>
    <n v="4"/>
    <x v="2"/>
    <n v="117101"/>
    <n v="3.46"/>
    <n v="4109445300.1699996"/>
  </r>
  <r>
    <x v="2"/>
    <s v="Cybertruck"/>
    <n v="2024"/>
    <x v="1"/>
    <n v="188964.7"/>
    <n v="106.8"/>
    <n v="367"/>
    <n v="193"/>
    <s v="Truck"/>
    <n v="4"/>
    <x v="1"/>
    <n v="239165"/>
    <n v="4.2699999999999996"/>
    <n v="45193742475.5"/>
  </r>
  <r>
    <x v="5"/>
    <s v="Sportage EV"/>
    <n v="2024"/>
    <x v="3"/>
    <n v="56593.19"/>
    <n v="56.2"/>
    <n v="197"/>
    <n v="170"/>
    <s v="SUV"/>
    <n v="4"/>
    <x v="2"/>
    <n v="135755"/>
    <n v="3.26"/>
    <n v="7682808508.4500008"/>
  </r>
  <r>
    <x v="7"/>
    <s v="ID.3"/>
    <n v="2024"/>
    <x v="2"/>
    <n v="71569.98"/>
    <n v="57.7"/>
    <n v="186"/>
    <n v="158"/>
    <s v="SUV"/>
    <n v="5"/>
    <x v="0"/>
    <n v="287315"/>
    <n v="3.19"/>
    <n v="20563128803.699997"/>
  </r>
  <r>
    <x v="3"/>
    <s v="Seagull"/>
    <n v="2024"/>
    <x v="2"/>
    <n v="24520.21"/>
    <n v="71.2"/>
    <n v="253"/>
    <n v="159"/>
    <s v="Hatchback"/>
    <n v="5"/>
    <x v="3"/>
    <n v="191198"/>
    <n v="3.48"/>
    <n v="4688215111.5799999"/>
  </r>
  <r>
    <x v="6"/>
    <s v="Ioniq"/>
    <n v="2024"/>
    <x v="2"/>
    <n v="31858.49"/>
    <n v="76.599999999999994"/>
    <n v="274"/>
    <n v="171"/>
    <s v="Hatchback"/>
    <n v="3"/>
    <x v="3"/>
    <n v="89552"/>
    <n v="3.4"/>
    <n v="2852991496.48"/>
  </r>
  <r>
    <x v="13"/>
    <s v="EQG"/>
    <n v="2024"/>
    <x v="2"/>
    <n v="72880.75"/>
    <n v="63.7"/>
    <n v="235"/>
    <n v="133"/>
    <s v="Truck"/>
    <n v="4"/>
    <x v="0"/>
    <n v="46123"/>
    <n v="3.85"/>
    <n v="3361478832.25"/>
  </r>
  <r>
    <x v="8"/>
    <s v="E-Transit"/>
    <n v="2024"/>
    <x v="4"/>
    <n v="81884.759999999995"/>
    <n v="79.5"/>
    <n v="280"/>
    <n v="134"/>
    <s v="Hatchback"/>
    <n v="3"/>
    <x v="0"/>
    <n v="49332"/>
    <n v="3.58"/>
    <n v="4039538980.3199997"/>
  </r>
  <r>
    <x v="3"/>
    <s v="Dolphin"/>
    <n v="2024"/>
    <x v="2"/>
    <n v="27229.19"/>
    <n v="64.8"/>
    <n v="227"/>
    <n v="144"/>
    <s v="Hatchback"/>
    <n v="5"/>
    <x v="3"/>
    <n v="118103"/>
    <n v="3.49"/>
    <n v="3215849026.5699997"/>
  </r>
  <r>
    <x v="9"/>
    <s v="i4"/>
    <n v="2024"/>
    <x v="0"/>
    <n v="83737.7"/>
    <n v="90.9"/>
    <n v="331"/>
    <n v="166"/>
    <s v="Sedan"/>
    <n v="4"/>
    <x v="0"/>
    <n v="68789"/>
    <n v="3.44"/>
    <n v="5760232645.3000002"/>
  </r>
  <r>
    <x v="7"/>
    <s v="ID. Buzz"/>
    <n v="2024"/>
    <x v="2"/>
    <n v="65767.179999999993"/>
    <n v="48.6"/>
    <n v="159"/>
    <n v="137"/>
    <s v="Van"/>
    <n v="5"/>
    <x v="0"/>
    <n v="214102"/>
    <n v="3.4"/>
    <n v="14080884772.359999"/>
  </r>
  <r>
    <x v="6"/>
    <s v="Ioniq 5"/>
    <n v="2024"/>
    <x v="4"/>
    <n v="41142.11"/>
    <n v="53.2"/>
    <n v="176"/>
    <n v="160"/>
    <s v="Hatchback"/>
    <n v="4"/>
    <x v="2"/>
    <n v="133250"/>
    <n v="3.71"/>
    <n v="5482186157.5"/>
  </r>
  <r>
    <x v="3"/>
    <s v="Leaf 50X"/>
    <n v="2024"/>
    <x v="3"/>
    <n v="68838.03"/>
    <n v="48.9"/>
    <n v="180"/>
    <n v="147"/>
    <s v="Coupe"/>
    <n v="4"/>
    <x v="0"/>
    <n v="173863"/>
    <n v="3.01"/>
    <n v="11968386409.889999"/>
  </r>
  <r>
    <x v="2"/>
    <s v="Model 3"/>
    <n v="2024"/>
    <x v="0"/>
    <n v="54793.42"/>
    <n v="108.6"/>
    <n v="395"/>
    <n v="191"/>
    <s v="Hatchback"/>
    <n v="4"/>
    <x v="2"/>
    <n v="136524"/>
    <n v="4.42"/>
    <n v="7480616872.0799999"/>
  </r>
  <r>
    <x v="5"/>
    <s v="EV6"/>
    <n v="2024"/>
    <x v="3"/>
    <n v="70386.61"/>
    <n v="70.900000000000006"/>
    <n v="215"/>
    <n v="168"/>
    <s v="Sedan"/>
    <n v="4"/>
    <x v="0"/>
    <n v="72998"/>
    <n v="3.35"/>
    <n v="5138081756.7799997"/>
  </r>
  <r>
    <x v="7"/>
    <s v="ID.4"/>
    <n v="2024"/>
    <x v="1"/>
    <n v="78109.649999999994"/>
    <n v="110.5"/>
    <n v="383"/>
    <n v="200"/>
    <s v="Truck"/>
    <n v="5"/>
    <x v="0"/>
    <n v="260956"/>
    <n v="3.68"/>
    <n v="20383181825.399998"/>
  </r>
  <r>
    <x v="12"/>
    <s v="Bolt EV"/>
    <n v="2024"/>
    <x v="3"/>
    <n v="59253.96"/>
    <n v="56.6"/>
    <n v="223"/>
    <n v="160"/>
    <s v="Truck"/>
    <n v="5"/>
    <x v="2"/>
    <n v="22516"/>
    <n v="3.7"/>
    <n v="1334162163.3599999"/>
  </r>
  <r>
    <x v="12"/>
    <s v="Silverado EV"/>
    <n v="2024"/>
    <x v="1"/>
    <n v="71690.64"/>
    <n v="77.900000000000006"/>
    <n v="282"/>
    <n v="200"/>
    <s v="Sedan"/>
    <n v="4"/>
    <x v="0"/>
    <n v="26479"/>
    <n v="3.38"/>
    <n v="1898296456.5599999"/>
  </r>
  <r>
    <x v="13"/>
    <s v="GLE EV"/>
    <n v="2024"/>
    <x v="1"/>
    <n v="178911.77"/>
    <n v="79.7"/>
    <n v="265"/>
    <n v="187"/>
    <s v="Truck"/>
    <n v="4"/>
    <x v="1"/>
    <n v="68804"/>
    <n v="3.85"/>
    <n v="12309845423.08"/>
  </r>
  <r>
    <x v="2"/>
    <s v="Model X"/>
    <n v="2024"/>
    <x v="3"/>
    <n v="125065.93"/>
    <n v="50.7"/>
    <n v="159"/>
    <n v="172"/>
    <s v="Hatchback"/>
    <n v="4"/>
    <x v="1"/>
    <n v="243623"/>
    <n v="3.24"/>
    <n v="30468937064.389999"/>
  </r>
  <r>
    <x v="7"/>
    <s v="ID.3"/>
    <n v="2024"/>
    <x v="0"/>
    <n v="37557.870000000003"/>
    <n v="86.2"/>
    <n v="299"/>
    <n v="175"/>
    <s v="Coupe"/>
    <n v="5"/>
    <x v="2"/>
    <n v="247190"/>
    <n v="3.68"/>
    <n v="9283929885.3000011"/>
  </r>
  <r>
    <x v="8"/>
    <s v="E-Transit"/>
    <n v="2024"/>
    <x v="3"/>
    <n v="48328.54"/>
    <n v="81.900000000000006"/>
    <n v="268"/>
    <n v="132"/>
    <s v="SUV"/>
    <n v="4"/>
    <x v="2"/>
    <n v="34857"/>
    <n v="3.47"/>
    <n v="1684587918.78"/>
  </r>
  <r>
    <x v="3"/>
    <s v="Atto 3"/>
    <n v="2024"/>
    <x v="0"/>
    <n v="53347.12"/>
    <n v="78.900000000000006"/>
    <n v="277"/>
    <n v="182"/>
    <s v="Sedan"/>
    <n v="5"/>
    <x v="2"/>
    <n v="234710"/>
    <n v="3.53"/>
    <n v="12521102535.200001"/>
  </r>
  <r>
    <x v="9"/>
    <s v="i5"/>
    <n v="2024"/>
    <x v="2"/>
    <n v="85524.800000000003"/>
    <n v="65.2"/>
    <n v="228"/>
    <n v="154"/>
    <s v="SUV"/>
    <n v="5"/>
    <x v="0"/>
    <n v="61102"/>
    <n v="3.24"/>
    <n v="5225736329.6000004"/>
  </r>
  <r>
    <x v="3"/>
    <s v="Seagull"/>
    <n v="2024"/>
    <x v="2"/>
    <n v="18386.22"/>
    <n v="53.5"/>
    <n v="197"/>
    <n v="169"/>
    <s v="Hatchback"/>
    <n v="4"/>
    <x v="3"/>
    <n v="194535"/>
    <n v="3.33"/>
    <n v="3576763307.7000003"/>
  </r>
  <r>
    <x v="2"/>
    <s v="Cybertruck"/>
    <n v="2024"/>
    <x v="0"/>
    <n v="81331.259999999995"/>
    <n v="87"/>
    <n v="324"/>
    <n v="160"/>
    <s v="Truck"/>
    <n v="5"/>
    <x v="0"/>
    <n v="192430"/>
    <n v="3.74"/>
    <n v="15650574361.799999"/>
  </r>
  <r>
    <x v="12"/>
    <s v="Blazer EV"/>
    <n v="2024"/>
    <x v="4"/>
    <n v="70082.06"/>
    <n v="42.6"/>
    <n v="156"/>
    <n v="161"/>
    <s v="Hatchback"/>
    <n v="5"/>
    <x v="0"/>
    <n v="20253"/>
    <n v="3.14"/>
    <n v="1419371961.1800001"/>
  </r>
  <r>
    <x v="12"/>
    <s v="Silverado EV"/>
    <n v="2024"/>
    <x v="3"/>
    <n v="61767.69"/>
    <n v="48"/>
    <n v="161"/>
    <n v="155"/>
    <s v="SUV"/>
    <n v="4"/>
    <x v="2"/>
    <n v="27695"/>
    <n v="3.08"/>
    <n v="1710656174.55"/>
  </r>
  <r>
    <x v="2"/>
    <s v="Model 3"/>
    <n v="2024"/>
    <x v="4"/>
    <n v="173467.44"/>
    <n v="42.9"/>
    <n v="150"/>
    <n v="180"/>
    <s v="Hatchback"/>
    <n v="4"/>
    <x v="1"/>
    <n v="241741"/>
    <n v="3.75"/>
    <n v="41934192413.040001"/>
  </r>
  <r>
    <x v="4"/>
    <s v="Q6 e-tron"/>
    <n v="2024"/>
    <x v="4"/>
    <n v="105361.9"/>
    <n v="71.8"/>
    <n v="263"/>
    <n v="144"/>
    <s v="Coupe"/>
    <n v="5"/>
    <x v="1"/>
    <n v="22361"/>
    <n v="3.64"/>
    <n v="2355997445.9000001"/>
  </r>
  <r>
    <x v="5"/>
    <s v="EV9"/>
    <n v="2024"/>
    <x v="2"/>
    <n v="36206.519999999997"/>
    <n v="53.7"/>
    <n v="182"/>
    <n v="143"/>
    <s v="SUV"/>
    <n v="4"/>
    <x v="2"/>
    <n v="96649"/>
    <n v="3.22"/>
    <n v="3499323951.4799995"/>
  </r>
  <r>
    <x v="2"/>
    <s v="Model 3"/>
    <n v="2024"/>
    <x v="4"/>
    <n v="92300.78"/>
    <n v="48.8"/>
    <n v="173"/>
    <n v="146"/>
    <s v="Hatchback"/>
    <n v="5"/>
    <x v="0"/>
    <n v="249410"/>
    <n v="3.51"/>
    <n v="23020737539.799999"/>
  </r>
  <r>
    <x v="12"/>
    <s v="Silverado EV"/>
    <n v="2024"/>
    <x v="2"/>
    <n v="33469.379999999997"/>
    <n v="55.2"/>
    <n v="198"/>
    <n v="130"/>
    <s v="SUV"/>
    <n v="4"/>
    <x v="3"/>
    <n v="2373"/>
    <n v="3.27"/>
    <n v="79422838.739999995"/>
  </r>
  <r>
    <x v="5"/>
    <s v="Sportage EV"/>
    <n v="2024"/>
    <x v="4"/>
    <n v="72898.84"/>
    <n v="65.7"/>
    <n v="244"/>
    <n v="172"/>
    <s v="SUV"/>
    <n v="5"/>
    <x v="0"/>
    <n v="78422"/>
    <n v="3.48"/>
    <n v="5716872830.4799995"/>
  </r>
  <r>
    <x v="7"/>
    <s v="ID. Aero"/>
    <n v="2024"/>
    <x v="1"/>
    <n v="90339.09"/>
    <n v="78.099999999999994"/>
    <n v="263"/>
    <n v="181"/>
    <s v="SUV"/>
    <n v="4"/>
    <x v="0"/>
    <n v="202441"/>
    <n v="3.2"/>
    <n v="18288335718.689999"/>
  </r>
  <r>
    <x v="12"/>
    <s v="Bolt EUV"/>
    <n v="2024"/>
    <x v="3"/>
    <n v="57794.12"/>
    <n v="67.8"/>
    <n v="255"/>
    <n v="135"/>
    <s v="Truck"/>
    <n v="5"/>
    <x v="2"/>
    <n v="28957"/>
    <n v="3.15"/>
    <n v="1673544332.8400002"/>
  </r>
  <r>
    <x v="14"/>
    <s v="EL6"/>
    <n v="2024"/>
    <x v="0"/>
    <n v="99775.41"/>
    <n v="109.9"/>
    <n v="380"/>
    <n v="171"/>
    <s v="SUV"/>
    <n v="4"/>
    <x v="0"/>
    <n v="27479"/>
    <n v="3.57"/>
    <n v="2741728491.3899999"/>
  </r>
  <r>
    <x v="5"/>
    <s v="Niro EV"/>
    <n v="2024"/>
    <x v="1"/>
    <n v="81763.199999999997"/>
    <n v="89.6"/>
    <n v="319"/>
    <n v="188"/>
    <s v="Coupe"/>
    <n v="4"/>
    <x v="0"/>
    <n v="93663"/>
    <n v="3.44"/>
    <n v="7658186601.5999994"/>
  </r>
  <r>
    <x v="3"/>
    <s v="Max"/>
    <n v="2024"/>
    <x v="3"/>
    <n v="70846.850000000006"/>
    <n v="56.4"/>
    <n v="200"/>
    <n v="161"/>
    <s v="Van"/>
    <n v="4"/>
    <x v="0"/>
    <n v="234001"/>
    <n v="3.55"/>
    <n v="16578233746.850002"/>
  </r>
  <r>
    <x v="7"/>
    <s v="ID.3"/>
    <n v="2024"/>
    <x v="0"/>
    <n v="47038.76"/>
    <n v="86.5"/>
    <n v="330"/>
    <n v="194"/>
    <s v="Truck"/>
    <n v="5"/>
    <x v="2"/>
    <n v="270498"/>
    <n v="3.37"/>
    <n v="12723890502.480001"/>
  </r>
  <r>
    <x v="7"/>
    <s v="ID.4"/>
    <n v="2024"/>
    <x v="1"/>
    <n v="111511.26"/>
    <n v="74.099999999999994"/>
    <n v="241"/>
    <n v="189"/>
    <s v="Truck"/>
    <n v="5"/>
    <x v="1"/>
    <n v="230069"/>
    <n v="3.24"/>
    <n v="25655284076.939999"/>
  </r>
  <r>
    <x v="2"/>
    <s v="Model S"/>
    <n v="2024"/>
    <x v="1"/>
    <n v="77897.86"/>
    <n v="71.2"/>
    <n v="254"/>
    <n v="186"/>
    <s v="Sedan"/>
    <n v="4"/>
    <x v="0"/>
    <n v="153891"/>
    <n v="3.65"/>
    <n v="11987779573.26"/>
  </r>
  <r>
    <x v="16"/>
    <s v="SU7"/>
    <n v="2024"/>
    <x v="1"/>
    <n v="115672.77"/>
    <n v="85.2"/>
    <n v="304"/>
    <n v="194"/>
    <s v="SUV"/>
    <n v="3"/>
    <x v="1"/>
    <n v="8357"/>
    <n v="3.71"/>
    <n v="966677338.88999999"/>
  </r>
  <r>
    <x v="6"/>
    <s v="Kona Electric"/>
    <n v="2024"/>
    <x v="1"/>
    <n v="43667.25"/>
    <n v="83.3"/>
    <n v="299"/>
    <n v="198"/>
    <s v="Van"/>
    <n v="4"/>
    <x v="2"/>
    <n v="71109"/>
    <n v="3.49"/>
    <n v="3105134480.25"/>
  </r>
  <r>
    <x v="12"/>
    <s v="Blazer EV"/>
    <n v="2024"/>
    <x v="2"/>
    <n v="58716.57"/>
    <n v="83.6"/>
    <n v="313"/>
    <n v="153"/>
    <s v="Sedan"/>
    <n v="5"/>
    <x v="2"/>
    <n v="22110"/>
    <n v="3.62"/>
    <n v="1298223362.7"/>
  </r>
  <r>
    <x v="3"/>
    <s v="Qin"/>
    <n v="2024"/>
    <x v="2"/>
    <n v="17777.32"/>
    <n v="78"/>
    <n v="280"/>
    <n v="142"/>
    <s v="Hatchback"/>
    <n v="4"/>
    <x v="3"/>
    <n v="212740"/>
    <n v="3.54"/>
    <n v="3781947056.7999997"/>
  </r>
  <r>
    <x v="2"/>
    <s v="Model X"/>
    <n v="2024"/>
    <x v="1"/>
    <n v="90519.74"/>
    <n v="119.4"/>
    <n v="405"/>
    <n v="200"/>
    <s v="Coupe"/>
    <n v="4"/>
    <x v="0"/>
    <n v="189429"/>
    <n v="4.03"/>
    <n v="17147063828.460001"/>
  </r>
  <r>
    <x v="13"/>
    <s v="EQC"/>
    <n v="2024"/>
    <x v="1"/>
    <n v="87690.32"/>
    <n v="88.6"/>
    <n v="321"/>
    <n v="200"/>
    <s v="Hatchback"/>
    <n v="4"/>
    <x v="0"/>
    <n v="36911"/>
    <n v="3.99"/>
    <n v="3236737401.5200005"/>
  </r>
  <r>
    <x v="3"/>
    <s v="Dolphin"/>
    <n v="2024"/>
    <x v="1"/>
    <n v="108909.03"/>
    <n v="86"/>
    <n v="283"/>
    <n v="188"/>
    <s v="Truck"/>
    <n v="3"/>
    <x v="1"/>
    <n v="136507"/>
    <n v="3.47"/>
    <n v="14866844958.209999"/>
  </r>
  <r>
    <x v="2"/>
    <s v="Model S"/>
    <n v="2024"/>
    <x v="0"/>
    <n v="75201.320000000007"/>
    <n v="102.8"/>
    <n v="370"/>
    <n v="185"/>
    <s v="Truck"/>
    <n v="5"/>
    <x v="0"/>
    <n v="105880"/>
    <n v="4.1100000000000003"/>
    <n v="7962315761.6000004"/>
  </r>
  <r>
    <x v="8"/>
    <s v="F-150 Lightning"/>
    <n v="2024"/>
    <x v="3"/>
    <n v="60849.51"/>
    <n v="82.5"/>
    <n v="274"/>
    <n v="131"/>
    <s v="Truck"/>
    <n v="4"/>
    <x v="2"/>
    <n v="58206"/>
    <n v="3.54"/>
    <n v="3541806579.0599999"/>
  </r>
  <r>
    <x v="2"/>
    <s v="Cybertruck"/>
    <n v="2024"/>
    <x v="0"/>
    <n v="131729.26"/>
    <n v="84.6"/>
    <n v="307"/>
    <n v="187"/>
    <s v="Truck"/>
    <n v="4"/>
    <x v="1"/>
    <n v="162108"/>
    <n v="3.56"/>
    <n v="21354366880.080002"/>
  </r>
  <r>
    <x v="2"/>
    <s v="Model 3"/>
    <n v="2024"/>
    <x v="3"/>
    <n v="106609.89"/>
    <n v="75.599999999999994"/>
    <n v="299"/>
    <n v="151"/>
    <s v="Hatchback"/>
    <n v="5"/>
    <x v="1"/>
    <n v="103912"/>
    <n v="3.73"/>
    <n v="11078046889.68"/>
  </r>
  <r>
    <x v="12"/>
    <s v="Equinox EV"/>
    <n v="2024"/>
    <x v="0"/>
    <n v="55502.07"/>
    <n v="92.6"/>
    <n v="331"/>
    <n v="189"/>
    <s v="SUV"/>
    <n v="5"/>
    <x v="2"/>
    <n v="18580"/>
    <n v="3.71"/>
    <n v="1031228460.6"/>
  </r>
  <r>
    <x v="8"/>
    <s v="Mustang Mach-E"/>
    <n v="2024"/>
    <x v="4"/>
    <n v="62057.63"/>
    <n v="57.6"/>
    <n v="207"/>
    <n v="150"/>
    <s v="Van"/>
    <n v="4"/>
    <x v="2"/>
    <n v="65997"/>
    <n v="3.42"/>
    <n v="4095617407.1099997"/>
  </r>
  <r>
    <x v="3"/>
    <s v="Qin"/>
    <n v="2024"/>
    <x v="2"/>
    <n v="75732.88"/>
    <n v="69.3"/>
    <n v="249"/>
    <n v="161"/>
    <s v="Truck"/>
    <n v="5"/>
    <x v="0"/>
    <n v="228964"/>
    <n v="3.42"/>
    <n v="17340103136.32"/>
  </r>
  <r>
    <x v="7"/>
    <s v="ID. Buzz"/>
    <n v="2024"/>
    <x v="4"/>
    <n v="74047.12"/>
    <n v="72.599999999999994"/>
    <n v="248"/>
    <n v="154"/>
    <s v="Coupe"/>
    <n v="5"/>
    <x v="0"/>
    <n v="290963"/>
    <n v="3.67"/>
    <n v="21544972176.559998"/>
  </r>
  <r>
    <x v="3"/>
    <s v="Atto 3"/>
    <n v="2024"/>
    <x v="3"/>
    <n v="30843.09"/>
    <n v="49"/>
    <n v="171"/>
    <n v="151"/>
    <s v="Hatchback"/>
    <n v="4"/>
    <x v="3"/>
    <n v="206164"/>
    <n v="3"/>
    <n v="6358734806.7600002"/>
  </r>
  <r>
    <x v="7"/>
    <s v="ID. Buzz"/>
    <n v="2024"/>
    <x v="0"/>
    <n v="70634.98"/>
    <n v="89.6"/>
    <n v="312"/>
    <n v="173"/>
    <s v="Hatchback"/>
    <n v="4"/>
    <x v="0"/>
    <n v="289608"/>
    <n v="3.58"/>
    <n v="20456455287.84"/>
  </r>
  <r>
    <x v="0"/>
    <s v="bZ4X"/>
    <n v="2024"/>
    <x v="1"/>
    <n v="94209.78"/>
    <n v="108.8"/>
    <n v="381"/>
    <n v="200"/>
    <s v="Coupe"/>
    <n v="5"/>
    <x v="0"/>
    <n v="1723"/>
    <n v="3.95"/>
    <n v="162323450.94"/>
  </r>
  <r>
    <x v="4"/>
    <s v="e-tron GT"/>
    <n v="2024"/>
    <x v="2"/>
    <n v="106732.12"/>
    <n v="80"/>
    <n v="268"/>
    <n v="142"/>
    <s v="Truck"/>
    <n v="5"/>
    <x v="1"/>
    <n v="48443"/>
    <n v="3.48"/>
    <n v="5170424089.1599998"/>
  </r>
  <r>
    <x v="7"/>
    <s v="ID.3"/>
    <n v="2024"/>
    <x v="2"/>
    <n v="38794.79"/>
    <n v="77.8"/>
    <n v="290"/>
    <n v="150"/>
    <s v="Coupe"/>
    <n v="5"/>
    <x v="2"/>
    <n v="216258"/>
    <n v="3.83"/>
    <n v="8389683695.8200006"/>
  </r>
  <r>
    <x v="2"/>
    <s v="Model Y"/>
    <n v="2024"/>
    <x v="3"/>
    <n v="111996.5"/>
    <n v="50.5"/>
    <n v="190"/>
    <n v="165"/>
    <s v="Van"/>
    <n v="4"/>
    <x v="1"/>
    <n v="445661"/>
    <n v="3.56"/>
    <n v="49912472186.5"/>
  </r>
  <r>
    <x v="3"/>
    <s v="Qin"/>
    <n v="2024"/>
    <x v="3"/>
    <n v="46656.51"/>
    <n v="45.6"/>
    <n v="150"/>
    <n v="167"/>
    <s v="SUV"/>
    <n v="5"/>
    <x v="2"/>
    <n v="249607"/>
    <n v="3.33"/>
    <n v="11645791491.57"/>
  </r>
  <r>
    <x v="3"/>
    <s v="Atto 3"/>
    <n v="2024"/>
    <x v="2"/>
    <n v="50360.89"/>
    <n v="69.3"/>
    <n v="238"/>
    <n v="139"/>
    <s v="Sedan"/>
    <n v="5"/>
    <x v="2"/>
    <n v="209468"/>
    <n v="3.18"/>
    <n v="10548994906.52"/>
  </r>
  <r>
    <x v="2"/>
    <s v="Model 3"/>
    <n v="2024"/>
    <x v="4"/>
    <n v="152844.99"/>
    <n v="77.099999999999994"/>
    <n v="281"/>
    <n v="172"/>
    <s v="Truck"/>
    <n v="4"/>
    <x v="1"/>
    <n v="153103"/>
    <n v="4.05"/>
    <n v="23401026503.969997"/>
  </r>
  <r>
    <x v="5"/>
    <s v="Picanto EV"/>
    <n v="2024"/>
    <x v="0"/>
    <n v="57850.5"/>
    <n v="101.6"/>
    <n v="350"/>
    <n v="162"/>
    <s v="Coupe"/>
    <n v="5"/>
    <x v="2"/>
    <n v="125554"/>
    <n v="3.47"/>
    <n v="7263361677"/>
  </r>
  <r>
    <x v="3"/>
    <s v="Max"/>
    <n v="2024"/>
    <x v="2"/>
    <n v="70890.539999999994"/>
    <n v="64.5"/>
    <n v="242"/>
    <n v="138"/>
    <s v="Truck"/>
    <n v="5"/>
    <x v="0"/>
    <n v="119629"/>
    <n v="3.38"/>
    <n v="8480564409.6599989"/>
  </r>
  <r>
    <x v="5"/>
    <s v="Picanto EV"/>
    <n v="2024"/>
    <x v="1"/>
    <n v="105759.07"/>
    <n v="79.7"/>
    <n v="278"/>
    <n v="200"/>
    <s v="Hatchback"/>
    <n v="3"/>
    <x v="1"/>
    <n v="107830"/>
    <n v="3.56"/>
    <n v="11404000518.1"/>
  </r>
  <r>
    <x v="2"/>
    <s v="Cybertruck"/>
    <n v="2024"/>
    <x v="3"/>
    <n v="107897.62"/>
    <n v="47.5"/>
    <n v="178"/>
    <n v="160"/>
    <s v="Truck"/>
    <n v="5"/>
    <x v="1"/>
    <n v="188033"/>
    <n v="3.43"/>
    <n v="20288313181.459999"/>
  </r>
  <r>
    <x v="4"/>
    <s v="e-tron GT"/>
    <n v="2024"/>
    <x v="2"/>
    <n v="65798.710000000006"/>
    <n v="76.8"/>
    <n v="250"/>
    <n v="160"/>
    <s v="Truck"/>
    <n v="4"/>
    <x v="0"/>
    <n v="52856"/>
    <n v="3.77"/>
    <n v="3477856615.7600002"/>
  </r>
  <r>
    <x v="5"/>
    <s v="Picanto EV"/>
    <n v="2024"/>
    <x v="2"/>
    <n v="57643.94"/>
    <n v="54.7"/>
    <n v="170"/>
    <n v="150"/>
    <s v="Sedan"/>
    <n v="5"/>
    <x v="2"/>
    <n v="149672"/>
    <n v="3.38"/>
    <n v="8627683787.6800003"/>
  </r>
  <r>
    <x v="2"/>
    <s v="Cybertruck"/>
    <n v="2024"/>
    <x v="2"/>
    <n v="49296.66"/>
    <n v="41.7"/>
    <n v="153"/>
    <n v="134"/>
    <s v="Truck"/>
    <n v="5"/>
    <x v="2"/>
    <n v="241001"/>
    <n v="3.74"/>
    <n v="11880544356.660002"/>
  </r>
  <r>
    <x v="11"/>
    <s v="R1S"/>
    <n v="2024"/>
    <x v="1"/>
    <n v="118076.47"/>
    <n v="74"/>
    <n v="249"/>
    <n v="194"/>
    <s v="Hatchback"/>
    <n v="5"/>
    <x v="1"/>
    <n v="656"/>
    <n v="3.53"/>
    <n v="77458164.320000008"/>
  </r>
  <r>
    <x v="2"/>
    <s v="Model Y"/>
    <n v="2024"/>
    <x v="1"/>
    <n v="141348.91"/>
    <n v="115.7"/>
    <n v="409"/>
    <n v="200"/>
    <s v="Coupe"/>
    <n v="4"/>
    <x v="1"/>
    <n v="490678"/>
    <n v="4.51"/>
    <n v="69356800460.979996"/>
  </r>
  <r>
    <x v="7"/>
    <s v="ID. Aero"/>
    <n v="2024"/>
    <x v="2"/>
    <n v="29413.61"/>
    <n v="69.3"/>
    <n v="264"/>
    <n v="131"/>
    <s v="SUV"/>
    <n v="5"/>
    <x v="3"/>
    <n v="268683"/>
    <n v="3.64"/>
    <n v="7902936975.6300001"/>
  </r>
  <r>
    <x v="7"/>
    <s v="ID.5"/>
    <n v="2024"/>
    <x v="1"/>
    <n v="106703.67"/>
    <n v="90.5"/>
    <n v="330"/>
    <n v="192"/>
    <s v="Van"/>
    <n v="5"/>
    <x v="1"/>
    <n v="282713"/>
    <n v="3.53"/>
    <n v="30166514656.709999"/>
  </r>
  <r>
    <x v="3"/>
    <s v="Yuan Plus"/>
    <n v="2024"/>
    <x v="2"/>
    <n v="31743.27"/>
    <n v="82.5"/>
    <n v="285"/>
    <n v="166"/>
    <s v="SUV"/>
    <n v="4"/>
    <x v="3"/>
    <n v="226541"/>
    <n v="3.63"/>
    <n v="7191152129.0699997"/>
  </r>
  <r>
    <x v="3"/>
    <s v="Atto 3"/>
    <n v="2024"/>
    <x v="1"/>
    <n v="53801.14"/>
    <n v="101.6"/>
    <n v="365"/>
    <n v="200"/>
    <s v="Van"/>
    <n v="5"/>
    <x v="2"/>
    <n v="168996"/>
    <n v="3.7"/>
    <n v="9092177455.4400005"/>
  </r>
  <r>
    <x v="2"/>
    <s v="Model S"/>
    <n v="2024"/>
    <x v="3"/>
    <n v="122807.61"/>
    <n v="51"/>
    <n v="203"/>
    <n v="177"/>
    <s v="Van"/>
    <n v="4"/>
    <x v="1"/>
    <n v="162784"/>
    <n v="3.67"/>
    <n v="19991113986.240002"/>
  </r>
  <r>
    <x v="6"/>
    <s v="Kona Electric"/>
    <n v="2024"/>
    <x v="3"/>
    <n v="53616.49"/>
    <n v="57.8"/>
    <n v="161"/>
    <n v="147"/>
    <s v="Coupe"/>
    <n v="5"/>
    <x v="2"/>
    <n v="78661"/>
    <n v="3.39"/>
    <n v="4217526719.8899999"/>
  </r>
  <r>
    <x v="12"/>
    <s v="Bolt EV"/>
    <n v="2024"/>
    <x v="1"/>
    <n v="43772.41"/>
    <n v="113.5"/>
    <n v="369"/>
    <n v="192"/>
    <s v="SUV"/>
    <n v="4"/>
    <x v="2"/>
    <n v="13494"/>
    <n v="3.81"/>
    <n v="590664900.54000008"/>
  </r>
  <r>
    <x v="2"/>
    <s v="Model Y"/>
    <n v="2024"/>
    <x v="3"/>
    <n v="118291.58"/>
    <n v="82.5"/>
    <n v="290"/>
    <n v="157"/>
    <s v="Truck"/>
    <n v="5"/>
    <x v="1"/>
    <n v="419454"/>
    <n v="3.57"/>
    <n v="49617876397.32"/>
  </r>
  <r>
    <x v="13"/>
    <s v="EQC"/>
    <n v="2024"/>
    <x v="4"/>
    <n v="167460.91"/>
    <n v="69.900000000000006"/>
    <n v="243"/>
    <n v="175"/>
    <s v="Hatchback"/>
    <n v="4"/>
    <x v="1"/>
    <n v="50533"/>
    <n v="3.71"/>
    <n v="8462302165.0299997"/>
  </r>
  <r>
    <x v="9"/>
    <s v="i7"/>
    <n v="2024"/>
    <x v="2"/>
    <n v="58695"/>
    <n v="50"/>
    <n v="177"/>
    <n v="155"/>
    <s v="Coupe"/>
    <n v="4"/>
    <x v="2"/>
    <n v="59887"/>
    <n v="3.39"/>
    <n v="3515067465"/>
  </r>
  <r>
    <x v="13"/>
    <s v="EQS"/>
    <n v="2024"/>
    <x v="1"/>
    <n v="183949.91"/>
    <n v="87"/>
    <n v="328"/>
    <n v="200"/>
    <s v="Coupe"/>
    <n v="5"/>
    <x v="1"/>
    <n v="78765"/>
    <n v="4.0599999999999996"/>
    <n v="14488814661.15"/>
  </r>
  <r>
    <x v="6"/>
    <s v="Ioniq 5"/>
    <n v="2024"/>
    <x v="3"/>
    <n v="37623.67"/>
    <n v="63.5"/>
    <n v="214"/>
    <n v="165"/>
    <s v="Van"/>
    <n v="4"/>
    <x v="2"/>
    <n v="76324"/>
    <n v="3.31"/>
    <n v="2871588989.0799999"/>
  </r>
  <r>
    <x v="14"/>
    <s v="EL8"/>
    <n v="2024"/>
    <x v="4"/>
    <n v="68322.210000000006"/>
    <n v="64.5"/>
    <n v="203"/>
    <n v="143"/>
    <s v="Coupe"/>
    <n v="5"/>
    <x v="0"/>
    <n v="2458"/>
    <n v="3.46"/>
    <n v="167935992.18000001"/>
  </r>
  <r>
    <x v="2"/>
    <s v="Model Y"/>
    <n v="2024"/>
    <x v="4"/>
    <n v="91805.32"/>
    <n v="52.7"/>
    <n v="197"/>
    <n v="156"/>
    <s v="Hatchback"/>
    <n v="4"/>
    <x v="0"/>
    <n v="462587"/>
    <n v="3.48"/>
    <n v="42467947562.840004"/>
  </r>
  <r>
    <x v="12"/>
    <s v="Bolt EV"/>
    <n v="2024"/>
    <x v="2"/>
    <n v="34244.160000000003"/>
    <n v="59.5"/>
    <n v="214"/>
    <n v="163"/>
    <s v="SUV"/>
    <n v="5"/>
    <x v="3"/>
    <n v="29653"/>
    <n v="3.5"/>
    <n v="1015442076.4800001"/>
  </r>
  <r>
    <x v="5"/>
    <s v="EV9"/>
    <n v="2024"/>
    <x v="3"/>
    <n v="67166.429999999993"/>
    <n v="71.5"/>
    <n v="240"/>
    <n v="135"/>
    <s v="SUV"/>
    <n v="4"/>
    <x v="0"/>
    <n v="69022"/>
    <n v="3.56"/>
    <n v="4635961331.4599991"/>
  </r>
  <r>
    <x v="11"/>
    <s v="R1S"/>
    <n v="2024"/>
    <x v="2"/>
    <n v="73774.27"/>
    <n v="67.400000000000006"/>
    <n v="263"/>
    <n v="148"/>
    <s v="Truck"/>
    <n v="5"/>
    <x v="0"/>
    <n v="22100"/>
    <n v="3.49"/>
    <n v="1630411367"/>
  </r>
  <r>
    <x v="2"/>
    <s v="Model Y"/>
    <n v="2024"/>
    <x v="0"/>
    <n v="98420.53"/>
    <n v="75.3"/>
    <n v="267"/>
    <n v="165"/>
    <s v="Hatchback"/>
    <n v="5"/>
    <x v="0"/>
    <n v="459091"/>
    <n v="3.73"/>
    <n v="45183979538.229996"/>
  </r>
  <r>
    <x v="12"/>
    <s v="Silverado EV"/>
    <n v="2024"/>
    <x v="3"/>
    <n v="42545.39"/>
    <n v="40"/>
    <n v="150"/>
    <n v="171"/>
    <s v="Sedan"/>
    <n v="3"/>
    <x v="2"/>
    <n v="11545"/>
    <n v="3.42"/>
    <n v="491186527.55000001"/>
  </r>
  <r>
    <x v="11"/>
    <s v="R1S"/>
    <n v="2024"/>
    <x v="3"/>
    <n v="86119.94"/>
    <n v="52.4"/>
    <n v="172"/>
    <n v="170"/>
    <s v="Van"/>
    <n v="4"/>
    <x v="0"/>
    <n v="1755"/>
    <n v="3.19"/>
    <n v="151140494.70000002"/>
  </r>
  <r>
    <x v="1"/>
    <s v="Ronin"/>
    <n v="2024"/>
    <x v="1"/>
    <n v="77587.25"/>
    <n v="78.3"/>
    <n v="296"/>
    <n v="198"/>
    <s v="Sedan"/>
    <n v="4"/>
    <x v="0"/>
    <n v="24352"/>
    <n v="3.46"/>
    <n v="1889404712"/>
  </r>
  <r>
    <x v="2"/>
    <s v="Cybertruck"/>
    <n v="2024"/>
    <x v="4"/>
    <n v="49738.35"/>
    <n v="47"/>
    <n v="150"/>
    <n v="165"/>
    <s v="Truck"/>
    <n v="5"/>
    <x v="2"/>
    <n v="179970"/>
    <n v="3.63"/>
    <n v="8951410849.5"/>
  </r>
  <r>
    <x v="2"/>
    <s v="Model 3"/>
    <n v="2024"/>
    <x v="0"/>
    <n v="148635.93"/>
    <n v="103.2"/>
    <n v="360"/>
    <n v="165"/>
    <s v="Van"/>
    <n v="3"/>
    <x v="1"/>
    <n v="108335"/>
    <n v="3.96"/>
    <n v="16102473476.549999"/>
  </r>
  <r>
    <x v="3"/>
    <s v="Max"/>
    <n v="2024"/>
    <x v="4"/>
    <n v="113232.12"/>
    <n v="50"/>
    <n v="173"/>
    <n v="154"/>
    <s v="Coupe"/>
    <n v="4"/>
    <x v="1"/>
    <n v="184045"/>
    <n v="3.17"/>
    <n v="20839805525.399998"/>
  </r>
  <r>
    <x v="5"/>
    <s v="Niro EV"/>
    <n v="2024"/>
    <x v="0"/>
    <n v="40789.370000000003"/>
    <n v="85.6"/>
    <n v="279"/>
    <n v="165"/>
    <s v="Coupe"/>
    <n v="5"/>
    <x v="2"/>
    <n v="63756"/>
    <n v="3.57"/>
    <n v="2600567073.7200003"/>
  </r>
  <r>
    <x v="16"/>
    <s v="SU7"/>
    <n v="2024"/>
    <x v="0"/>
    <n v="95394.53"/>
    <n v="76.400000000000006"/>
    <n v="243"/>
    <n v="168"/>
    <s v="SUV"/>
    <n v="5"/>
    <x v="0"/>
    <n v="8671"/>
    <n v="3.55"/>
    <n v="827165969.63"/>
  </r>
  <r>
    <x v="3"/>
    <s v="Seagull"/>
    <n v="2024"/>
    <x v="2"/>
    <n v="16613.009999999998"/>
    <n v="55.9"/>
    <n v="237"/>
    <n v="169"/>
    <s v="Sedan"/>
    <n v="3"/>
    <x v="3"/>
    <n v="205452"/>
    <n v="3.37"/>
    <n v="3413176130.5199995"/>
  </r>
  <r>
    <x v="4"/>
    <s v="e-tron GT"/>
    <n v="2024"/>
    <x v="2"/>
    <n v="86243.23"/>
    <n v="60.4"/>
    <n v="208"/>
    <n v="169"/>
    <s v="Sedan"/>
    <n v="4"/>
    <x v="0"/>
    <n v="24433"/>
    <n v="3.51"/>
    <n v="2107180838.5899999"/>
  </r>
  <r>
    <x v="7"/>
    <s v="ID.4"/>
    <n v="2024"/>
    <x v="0"/>
    <n v="67671.59"/>
    <n v="106.9"/>
    <n v="369"/>
    <n v="166"/>
    <s v="SUV"/>
    <n v="4"/>
    <x v="0"/>
    <n v="268234"/>
    <n v="3.88"/>
    <n v="18151821272.059998"/>
  </r>
  <r>
    <x v="3"/>
    <s v="Atto 3"/>
    <n v="2024"/>
    <x v="0"/>
    <n v="71451.87"/>
    <n v="76.8"/>
    <n v="260"/>
    <n v="166"/>
    <s v="Van"/>
    <n v="5"/>
    <x v="0"/>
    <n v="111875"/>
    <n v="3.51"/>
    <n v="7993677956.249999"/>
  </r>
  <r>
    <x v="2"/>
    <s v="Model Y"/>
    <n v="2024"/>
    <x v="0"/>
    <n v="114549.61"/>
    <n v="101"/>
    <n v="338"/>
    <n v="178"/>
    <s v="Coupe"/>
    <n v="5"/>
    <x v="1"/>
    <n v="473485"/>
    <n v="4.07"/>
    <n v="54237522090.849998"/>
  </r>
  <r>
    <x v="15"/>
    <s v="Taycan"/>
    <n v="2024"/>
    <x v="4"/>
    <n v="143428.04999999999"/>
    <n v="66.099999999999994"/>
    <n v="213"/>
    <n v="148"/>
    <s v="Coupe"/>
    <n v="4"/>
    <x v="1"/>
    <n v="6555"/>
    <n v="3.83"/>
    <n v="940170867.74999988"/>
  </r>
  <r>
    <x v="0"/>
    <s v="bZ Compact SUV"/>
    <n v="2024"/>
    <x v="0"/>
    <n v="85221.63"/>
    <n v="86.5"/>
    <n v="314"/>
    <n v="181"/>
    <s v="SUV"/>
    <n v="4"/>
    <x v="0"/>
    <n v="12454"/>
    <n v="3.6"/>
    <n v="1061350180.0200001"/>
  </r>
  <r>
    <x v="2"/>
    <s v="Model X"/>
    <n v="2024"/>
    <x v="4"/>
    <n v="57311.05"/>
    <n v="46.2"/>
    <n v="178"/>
    <n v="148"/>
    <s v="Hatchback"/>
    <n v="5"/>
    <x v="2"/>
    <n v="103833"/>
    <n v="3.5"/>
    <n v="5950778254.6500006"/>
  </r>
  <r>
    <x v="9"/>
    <s v="i3"/>
    <n v="2024"/>
    <x v="4"/>
    <n v="79371.520000000004"/>
    <n v="75.599999999999994"/>
    <n v="287"/>
    <n v="165"/>
    <s v="Hatchback"/>
    <n v="5"/>
    <x v="0"/>
    <n v="73538"/>
    <n v="3.37"/>
    <n v="5836822837.7600002"/>
  </r>
  <r>
    <x v="5"/>
    <s v="Picanto EV"/>
    <n v="2024"/>
    <x v="1"/>
    <n v="42779.06"/>
    <n v="92.5"/>
    <n v="294"/>
    <n v="195"/>
    <s v="SUV"/>
    <n v="4"/>
    <x v="2"/>
    <n v="60355"/>
    <n v="3.59"/>
    <n v="2581930166.2999997"/>
  </r>
  <r>
    <x v="3"/>
    <s v="Atto 3"/>
    <n v="2024"/>
    <x v="4"/>
    <n v="65610.45"/>
    <n v="55.7"/>
    <n v="208"/>
    <n v="130"/>
    <s v="Sedan"/>
    <n v="4"/>
    <x v="0"/>
    <n v="108967"/>
    <n v="3.37"/>
    <n v="7149373905.1499996"/>
  </r>
  <r>
    <x v="2"/>
    <s v="Cybertruck"/>
    <n v="2024"/>
    <x v="0"/>
    <n v="71380.399999999994"/>
    <n v="86.4"/>
    <n v="314"/>
    <n v="179"/>
    <s v="Truck"/>
    <n v="5"/>
    <x v="0"/>
    <n v="213989"/>
    <n v="3.69"/>
    <n v="15274620415.599998"/>
  </r>
  <r>
    <x v="8"/>
    <s v="F-150 Lightning"/>
    <n v="2024"/>
    <x v="4"/>
    <n v="79235.67"/>
    <n v="56.8"/>
    <n v="213"/>
    <n v="142"/>
    <s v="Truck"/>
    <n v="4"/>
    <x v="0"/>
    <n v="59746"/>
    <n v="3.32"/>
    <n v="4734014339.8199997"/>
  </r>
  <r>
    <x v="3"/>
    <s v="Max"/>
    <n v="2024"/>
    <x v="4"/>
    <n v="88218.65"/>
    <n v="54.7"/>
    <n v="210"/>
    <n v="158"/>
    <s v="Coupe"/>
    <n v="4"/>
    <x v="0"/>
    <n v="227690"/>
    <n v="3.41"/>
    <n v="20086504418.5"/>
  </r>
  <r>
    <x v="4"/>
    <s v="e-tron GT"/>
    <n v="2024"/>
    <x v="1"/>
    <n v="121871.7"/>
    <n v="86.2"/>
    <n v="305"/>
    <n v="200"/>
    <s v="Van"/>
    <n v="5"/>
    <x v="1"/>
    <n v="31338"/>
    <n v="3.61"/>
    <n v="3819215334.5999999"/>
  </r>
  <r>
    <x v="5"/>
    <s v="Sportage EV"/>
    <n v="2024"/>
    <x v="3"/>
    <n v="31797.34"/>
    <n v="45.6"/>
    <n v="150"/>
    <n v="145"/>
    <s v="SUV"/>
    <n v="4"/>
    <x v="3"/>
    <n v="131619"/>
    <n v="3.27"/>
    <n v="4185134093.46"/>
  </r>
  <r>
    <x v="4"/>
    <s v="e-tron"/>
    <n v="2024"/>
    <x v="0"/>
    <n v="123736.19"/>
    <n v="81.7"/>
    <n v="310"/>
    <n v="174"/>
    <s v="Coupe"/>
    <n v="5"/>
    <x v="1"/>
    <n v="45413"/>
    <n v="3.78"/>
    <n v="5619231596.4700003"/>
  </r>
  <r>
    <x v="8"/>
    <s v="Explorer EV"/>
    <n v="2024"/>
    <x v="4"/>
    <n v="80541.59"/>
    <n v="73.3"/>
    <n v="280"/>
    <n v="141"/>
    <s v="Coupe"/>
    <n v="5"/>
    <x v="0"/>
    <n v="37698"/>
    <n v="3.44"/>
    <n v="3036256859.8199997"/>
  </r>
  <r>
    <x v="7"/>
    <s v="ID. Buzz"/>
    <n v="2024"/>
    <x v="3"/>
    <n v="46173.34"/>
    <n v="51.5"/>
    <n v="190"/>
    <n v="148"/>
    <s v="Sedan"/>
    <n v="5"/>
    <x v="2"/>
    <n v="274696"/>
    <n v="3.4"/>
    <n v="12683631804.639999"/>
  </r>
  <r>
    <x v="2"/>
    <s v="Model Y"/>
    <n v="2024"/>
    <x v="4"/>
    <n v="137035.03"/>
    <n v="58.5"/>
    <n v="224"/>
    <n v="151"/>
    <s v="Hatchback"/>
    <n v="4"/>
    <x v="1"/>
    <n v="429314"/>
    <n v="3.65"/>
    <n v="58831056869.419998"/>
  </r>
  <r>
    <x v="9"/>
    <s v="i4"/>
    <n v="2024"/>
    <x v="3"/>
    <n v="96459.23"/>
    <n v="81"/>
    <n v="288"/>
    <n v="121"/>
    <s v="Truck"/>
    <n v="4"/>
    <x v="0"/>
    <n v="64056"/>
    <n v="3.51"/>
    <n v="6178792436.8800001"/>
  </r>
  <r>
    <x v="6"/>
    <s v="Kona Electric"/>
    <n v="2024"/>
    <x v="4"/>
    <n v="97251.62"/>
    <n v="60.7"/>
    <n v="196"/>
    <n v="148"/>
    <s v="SUV"/>
    <n v="5"/>
    <x v="0"/>
    <n v="59030"/>
    <n v="3.11"/>
    <n v="5740763128.5999994"/>
  </r>
  <r>
    <x v="6"/>
    <s v="i30"/>
    <n v="2024"/>
    <x v="0"/>
    <n v="63320.42"/>
    <n v="102.7"/>
    <n v="353"/>
    <n v="160"/>
    <s v="Sedan"/>
    <n v="5"/>
    <x v="2"/>
    <n v="132537"/>
    <n v="3.75"/>
    <n v="8392298505.54"/>
  </r>
  <r>
    <x v="13"/>
    <s v="GLE EV"/>
    <n v="2024"/>
    <x v="2"/>
    <n v="62600.82"/>
    <n v="55.9"/>
    <n v="179"/>
    <n v="145"/>
    <s v="Van"/>
    <n v="3"/>
    <x v="2"/>
    <n v="69358"/>
    <n v="3.66"/>
    <n v="4341867673.5600004"/>
  </r>
  <r>
    <x v="2"/>
    <s v="Model S"/>
    <n v="2024"/>
    <x v="0"/>
    <n v="156702.49"/>
    <n v="102.8"/>
    <n v="353"/>
    <n v="157"/>
    <s v="Sedan"/>
    <n v="5"/>
    <x v="1"/>
    <n v="132013"/>
    <n v="3.89"/>
    <n v="20686765812.369999"/>
  </r>
  <r>
    <x v="2"/>
    <s v="Cybertruck"/>
    <n v="2024"/>
    <x v="3"/>
    <n v="101208.82"/>
    <n v="52.4"/>
    <n v="172"/>
    <n v="147"/>
    <s v="Truck"/>
    <n v="5"/>
    <x v="1"/>
    <n v="248389"/>
    <n v="3.58"/>
    <n v="25139157590.980003"/>
  </r>
  <r>
    <x v="3"/>
    <s v="Dolphin"/>
    <n v="2024"/>
    <x v="3"/>
    <n v="57387.97"/>
    <n v="47.9"/>
    <n v="180"/>
    <n v="164"/>
    <s v="Sedan"/>
    <n v="5"/>
    <x v="2"/>
    <n v="181198"/>
    <n v="3.34"/>
    <n v="10398585388.059999"/>
  </r>
  <r>
    <x v="5"/>
    <s v="EV6"/>
    <n v="2024"/>
    <x v="2"/>
    <n v="72870.48"/>
    <n v="81.7"/>
    <n v="288"/>
    <n v="174"/>
    <s v="Truck"/>
    <n v="5"/>
    <x v="0"/>
    <n v="68801"/>
    <n v="3.48"/>
    <n v="5013561894.4799995"/>
  </r>
  <r>
    <x v="12"/>
    <s v="Bolt EUV"/>
    <n v="2024"/>
    <x v="0"/>
    <n v="61730.85"/>
    <n v="78.599999999999994"/>
    <n v="279"/>
    <n v="183"/>
    <s v="Coupe"/>
    <n v="5"/>
    <x v="2"/>
    <n v="10777"/>
    <n v="3.75"/>
    <n v="665273370.44999993"/>
  </r>
  <r>
    <x v="2"/>
    <s v="Model 3"/>
    <n v="2024"/>
    <x v="2"/>
    <n v="88042.89"/>
    <n v="46.2"/>
    <n v="164"/>
    <n v="138"/>
    <s v="Sedan"/>
    <n v="3"/>
    <x v="0"/>
    <n v="108761"/>
    <n v="3.42"/>
    <n v="9575632759.289999"/>
  </r>
  <r>
    <x v="1"/>
    <s v="Ronin"/>
    <n v="2024"/>
    <x v="1"/>
    <n v="159067.16"/>
    <n v="109.7"/>
    <n v="402"/>
    <n v="178"/>
    <s v="Van"/>
    <n v="5"/>
    <x v="1"/>
    <n v="23252"/>
    <n v="3.93"/>
    <n v="3698629604.3200002"/>
  </r>
  <r>
    <x v="1"/>
    <s v="Ocean"/>
    <n v="2024"/>
    <x v="0"/>
    <n v="93018.72"/>
    <n v="83.7"/>
    <n v="313"/>
    <n v="182"/>
    <s v="Sedan"/>
    <n v="5"/>
    <x v="0"/>
    <n v="1655"/>
    <n v="3.46"/>
    <n v="153945981.59999999"/>
  </r>
  <r>
    <x v="7"/>
    <s v="ID.4"/>
    <n v="2024"/>
    <x v="4"/>
    <n v="112817.29"/>
    <n v="66.099999999999994"/>
    <n v="213"/>
    <n v="142"/>
    <s v="Sedan"/>
    <n v="5"/>
    <x v="1"/>
    <n v="244997"/>
    <n v="3.38"/>
    <n v="27639897598.129997"/>
  </r>
  <r>
    <x v="16"/>
    <s v="SU7"/>
    <n v="2024"/>
    <x v="2"/>
    <n v="67624.72"/>
    <n v="50.5"/>
    <n v="190"/>
    <n v="168"/>
    <s v="Truck"/>
    <n v="5"/>
    <x v="0"/>
    <n v="26829"/>
    <n v="3.48"/>
    <n v="1814303612.8800001"/>
  </r>
  <r>
    <x v="7"/>
    <s v="ID.4"/>
    <n v="2024"/>
    <x v="3"/>
    <n v="45198.239999999998"/>
    <n v="56.5"/>
    <n v="198"/>
    <n v="139"/>
    <s v="Truck"/>
    <n v="5"/>
    <x v="2"/>
    <n v="251931"/>
    <n v="3.32"/>
    <n v="11386837801.439999"/>
  </r>
  <r>
    <x v="12"/>
    <s v="Bolt EUV"/>
    <n v="2024"/>
    <x v="3"/>
    <n v="57065.27"/>
    <n v="44.6"/>
    <n v="150"/>
    <n v="167"/>
    <s v="SUV"/>
    <n v="5"/>
    <x v="2"/>
    <n v="24368"/>
    <n v="3.41"/>
    <n v="1390566499.3599999"/>
  </r>
  <r>
    <x v="2"/>
    <s v="Model 3"/>
    <n v="2024"/>
    <x v="1"/>
    <n v="171221.67"/>
    <n v="95.1"/>
    <n v="329"/>
    <n v="196"/>
    <s v="Van"/>
    <n v="5"/>
    <x v="1"/>
    <n v="247330"/>
    <n v="3.88"/>
    <n v="42348255641.100006"/>
  </r>
  <r>
    <x v="9"/>
    <s v="i5"/>
    <n v="2024"/>
    <x v="1"/>
    <n v="143876.35"/>
    <n v="81.7"/>
    <n v="261"/>
    <n v="197"/>
    <s v="Truck"/>
    <n v="3"/>
    <x v="1"/>
    <n v="37253"/>
    <n v="3.67"/>
    <n v="5359825666.5500002"/>
  </r>
  <r>
    <x v="9"/>
    <s v="iX"/>
    <n v="2024"/>
    <x v="2"/>
    <n v="62907.37"/>
    <n v="84"/>
    <n v="296"/>
    <n v="134"/>
    <s v="SUV"/>
    <n v="5"/>
    <x v="2"/>
    <n v="49240"/>
    <n v="3.56"/>
    <n v="3097558898.8000002"/>
  </r>
  <r>
    <x v="0"/>
    <s v="bZ Compact SUV"/>
    <n v="2024"/>
    <x v="3"/>
    <n v="53125"/>
    <n v="63.6"/>
    <n v="233"/>
    <n v="151"/>
    <s v="SUV"/>
    <n v="4"/>
    <x v="2"/>
    <n v="19789"/>
    <n v="3.34"/>
    <n v="1051290625"/>
  </r>
  <r>
    <x v="10"/>
    <s v="Polestar 3"/>
    <n v="2024"/>
    <x v="3"/>
    <n v="76930.78"/>
    <n v="77.7"/>
    <n v="257"/>
    <n v="159"/>
    <s v="Truck"/>
    <n v="4"/>
    <x v="0"/>
    <n v="17188"/>
    <n v="3.48"/>
    <n v="1322286246.6399999"/>
  </r>
  <r>
    <x v="7"/>
    <s v="ID. Aero"/>
    <n v="2024"/>
    <x v="1"/>
    <n v="115397.77"/>
    <n v="79.599999999999994"/>
    <n v="282"/>
    <n v="200"/>
    <s v="Sedan"/>
    <n v="4"/>
    <x v="1"/>
    <n v="296594"/>
    <n v="3.51"/>
    <n v="34226286195.380001"/>
  </r>
  <r>
    <x v="11"/>
    <s v="R2"/>
    <n v="2024"/>
    <x v="3"/>
    <n v="78385.679999999993"/>
    <n v="79.7"/>
    <n v="248"/>
    <n v="154"/>
    <s v="Hatchback"/>
    <n v="5"/>
    <x v="0"/>
    <n v="12601"/>
    <n v="3.59"/>
    <n v="987737953.67999995"/>
  </r>
  <r>
    <x v="8"/>
    <s v="E-Transit"/>
    <n v="2024"/>
    <x v="0"/>
    <n v="84501.24"/>
    <n v="98.1"/>
    <n v="342"/>
    <n v="179"/>
    <s v="Coupe"/>
    <n v="5"/>
    <x v="0"/>
    <n v="72596"/>
    <n v="3.61"/>
    <n v="6134452019.04"/>
  </r>
  <r>
    <x v="9"/>
    <s v="i3"/>
    <n v="2024"/>
    <x v="3"/>
    <n v="108424.86"/>
    <n v="43.9"/>
    <n v="164"/>
    <n v="143"/>
    <s v="SUV"/>
    <n v="5"/>
    <x v="1"/>
    <n v="72604"/>
    <n v="3.14"/>
    <n v="7872078535.4399996"/>
  </r>
  <r>
    <x v="7"/>
    <s v="ID.5"/>
    <n v="2024"/>
    <x v="4"/>
    <n v="43023.64"/>
    <n v="77.900000000000006"/>
    <n v="261"/>
    <n v="163"/>
    <s v="Truck"/>
    <n v="5"/>
    <x v="2"/>
    <n v="246474"/>
    <n v="3.55"/>
    <n v="10604208645.360001"/>
  </r>
  <r>
    <x v="2"/>
    <s v="Model X"/>
    <n v="2024"/>
    <x v="4"/>
    <n v="157561.98000000001"/>
    <n v="49.5"/>
    <n v="189"/>
    <n v="134"/>
    <s v="SUV"/>
    <n v="4"/>
    <x v="1"/>
    <n v="163095"/>
    <n v="3.57"/>
    <n v="25697571128.100002"/>
  </r>
  <r>
    <x v="6"/>
    <s v="Ioniq 5"/>
    <n v="2024"/>
    <x v="1"/>
    <n v="61789.95"/>
    <n v="103.8"/>
    <n v="357"/>
    <n v="194"/>
    <s v="Sedan"/>
    <n v="5"/>
    <x v="2"/>
    <n v="110783"/>
    <n v="3.54"/>
    <n v="6845276030.8499994"/>
  </r>
  <r>
    <x v="2"/>
    <s v="Model 3"/>
    <n v="2024"/>
    <x v="1"/>
    <n v="109834.54"/>
    <n v="79.900000000000006"/>
    <n v="262"/>
    <n v="195"/>
    <s v="Hatchback"/>
    <n v="3"/>
    <x v="1"/>
    <n v="219324"/>
    <n v="3.91"/>
    <n v="24089350650.959999"/>
  </r>
  <r>
    <x v="2"/>
    <s v="Model Y"/>
    <n v="2024"/>
    <x v="0"/>
    <n v="158710.22"/>
    <n v="93.6"/>
    <n v="300"/>
    <n v="182"/>
    <s v="Van"/>
    <n v="5"/>
    <x v="1"/>
    <n v="416641"/>
    <n v="3.68"/>
    <n v="66125184771.020004"/>
  </r>
  <r>
    <x v="6"/>
    <s v="Ioniq 6"/>
    <n v="2024"/>
    <x v="4"/>
    <n v="58686.32"/>
    <n v="81.599999999999994"/>
    <n v="285"/>
    <n v="161"/>
    <s v="Truck"/>
    <n v="5"/>
    <x v="2"/>
    <n v="66241"/>
    <n v="3.36"/>
    <n v="3887440523.1199999"/>
  </r>
  <r>
    <x v="5"/>
    <s v="EV9"/>
    <n v="2024"/>
    <x v="1"/>
    <n v="50056.29"/>
    <n v="111.5"/>
    <n v="391"/>
    <n v="195"/>
    <s v="SUV"/>
    <n v="3"/>
    <x v="2"/>
    <n v="140441"/>
    <n v="3.97"/>
    <n v="7029955423.8900003"/>
  </r>
  <r>
    <x v="12"/>
    <s v="Equinox EV"/>
    <n v="2024"/>
    <x v="0"/>
    <n v="58896.05"/>
    <n v="104.7"/>
    <n v="389"/>
    <n v="184"/>
    <s v="SUV"/>
    <n v="4"/>
    <x v="2"/>
    <n v="16859"/>
    <n v="3.94"/>
    <n v="992928506.95000005"/>
  </r>
  <r>
    <x v="13"/>
    <s v="EQG"/>
    <n v="2024"/>
    <x v="0"/>
    <n v="113572.04"/>
    <n v="85.7"/>
    <n v="286"/>
    <n v="177"/>
    <s v="Van"/>
    <n v="4"/>
    <x v="1"/>
    <n v="73690"/>
    <n v="3.79"/>
    <n v="8369123627.5999994"/>
  </r>
  <r>
    <x v="2"/>
    <s v="Model Y"/>
    <n v="2024"/>
    <x v="4"/>
    <n v="168092.71"/>
    <n v="81.2"/>
    <n v="269"/>
    <n v="124"/>
    <s v="Coupe"/>
    <n v="3"/>
    <x v="1"/>
    <n v="434155"/>
    <n v="3.8"/>
    <n v="72978290510.050003"/>
  </r>
  <r>
    <x v="2"/>
    <s v="Model Y"/>
    <n v="2024"/>
    <x v="4"/>
    <n v="166324.35999999999"/>
    <n v="61.4"/>
    <n v="212"/>
    <n v="136"/>
    <s v="Truck"/>
    <n v="5"/>
    <x v="1"/>
    <n v="466326"/>
    <n v="4.26"/>
    <n v="77561373501.360001"/>
  </r>
  <r>
    <x v="5"/>
    <s v="Picanto EV"/>
    <n v="2024"/>
    <x v="2"/>
    <n v="71842.960000000006"/>
    <n v="77"/>
    <n v="291"/>
    <n v="170"/>
    <s v="Van"/>
    <n v="4"/>
    <x v="0"/>
    <n v="123890"/>
    <n v="3.66"/>
    <n v="8900624314.4000015"/>
  </r>
  <r>
    <x v="9"/>
    <s v="i5"/>
    <n v="2024"/>
    <x v="0"/>
    <n v="117382.51"/>
    <n v="96.5"/>
    <n v="334"/>
    <n v="180"/>
    <s v="Coupe"/>
    <n v="4"/>
    <x v="1"/>
    <n v="33138"/>
    <n v="3.49"/>
    <n v="3889821616.3799996"/>
  </r>
  <r>
    <x v="8"/>
    <s v="Mustang Mach-E"/>
    <n v="2024"/>
    <x v="2"/>
    <n v="46219.97"/>
    <n v="70.900000000000006"/>
    <n v="239"/>
    <n v="123"/>
    <s v="Van"/>
    <n v="4"/>
    <x v="2"/>
    <n v="60684"/>
    <n v="3.43"/>
    <n v="2804812659.48"/>
  </r>
  <r>
    <x v="2"/>
    <s v="Model S"/>
    <n v="2024"/>
    <x v="2"/>
    <n v="29639.14"/>
    <n v="52.4"/>
    <n v="164"/>
    <n v="171"/>
    <s v="SUV"/>
    <n v="4"/>
    <x v="3"/>
    <n v="195341"/>
    <n v="3.41"/>
    <n v="5789739246.7399998"/>
  </r>
  <r>
    <x v="12"/>
    <s v="Bolt EV"/>
    <n v="2024"/>
    <x v="0"/>
    <n v="41353.279999999999"/>
    <n v="81.8"/>
    <n v="274"/>
    <n v="178"/>
    <s v="Truck"/>
    <n v="4"/>
    <x v="2"/>
    <n v="28209"/>
    <n v="3.6"/>
    <n v="1166534675.52"/>
  </r>
  <r>
    <x v="5"/>
    <s v="Niro EV"/>
    <n v="2024"/>
    <x v="3"/>
    <n v="42318.559999999998"/>
    <n v="40.5"/>
    <n v="150"/>
    <n v="164"/>
    <s v="Van"/>
    <n v="5"/>
    <x v="2"/>
    <n v="90341"/>
    <n v="3.35"/>
    <n v="3823101028.9599996"/>
  </r>
  <r>
    <x v="2"/>
    <s v="Model Y"/>
    <n v="2024"/>
    <x v="1"/>
    <n v="162214.07999999999"/>
    <n v="80.599999999999994"/>
    <n v="269"/>
    <n v="200"/>
    <s v="Hatchback"/>
    <n v="5"/>
    <x v="1"/>
    <n v="443580"/>
    <n v="3.84"/>
    <n v="71954921606.399994"/>
  </r>
  <r>
    <x v="7"/>
    <s v="ID. Buzz"/>
    <n v="2024"/>
    <x v="1"/>
    <n v="60928.37"/>
    <n v="119.9"/>
    <n v="406"/>
    <n v="200"/>
    <s v="Truck"/>
    <n v="5"/>
    <x v="2"/>
    <n v="257710"/>
    <n v="3.56"/>
    <n v="15701850232.700001"/>
  </r>
  <r>
    <x v="2"/>
    <s v="Model X"/>
    <n v="2024"/>
    <x v="2"/>
    <n v="99143.24"/>
    <n v="56.5"/>
    <n v="200"/>
    <n v="142"/>
    <s v="Coupe"/>
    <n v="3"/>
    <x v="0"/>
    <n v="177987"/>
    <n v="3.6"/>
    <n v="17646207857.880001"/>
  </r>
  <r>
    <x v="12"/>
    <s v="Bolt EUV"/>
    <n v="2024"/>
    <x v="0"/>
    <n v="54182.3"/>
    <n v="85.5"/>
    <n v="299"/>
    <n v="165"/>
    <s v="Truck"/>
    <n v="4"/>
    <x v="2"/>
    <n v="4380"/>
    <n v="3.46"/>
    <n v="237318474"/>
  </r>
  <r>
    <x v="19"/>
    <s v="Air"/>
    <n v="2024"/>
    <x v="4"/>
    <n v="269775.2"/>
    <n v="76.3"/>
    <n v="276"/>
    <n v="163"/>
    <s v="Hatchback"/>
    <n v="4"/>
    <x v="1"/>
    <n v="4056"/>
    <n v="3.28"/>
    <n v="1094208211.2"/>
  </r>
  <r>
    <x v="2"/>
    <s v="Model 3"/>
    <n v="2024"/>
    <x v="4"/>
    <n v="111275.22"/>
    <n v="82.9"/>
    <n v="291"/>
    <n v="171"/>
    <s v="SUV"/>
    <n v="5"/>
    <x v="1"/>
    <n v="172863"/>
    <n v="3.88"/>
    <n v="19235368354.860001"/>
  </r>
  <r>
    <x v="5"/>
    <s v="Picanto EV"/>
    <n v="2024"/>
    <x v="3"/>
    <n v="32564.1"/>
    <n v="46.2"/>
    <n v="180"/>
    <n v="156"/>
    <s v="Hatchback"/>
    <n v="4"/>
    <x v="3"/>
    <n v="123543"/>
    <n v="3.02"/>
    <n v="4023066606.2999997"/>
  </r>
  <r>
    <x v="4"/>
    <s v="Q6 e-tron"/>
    <n v="2024"/>
    <x v="2"/>
    <n v="51267.23"/>
    <n v="71.400000000000006"/>
    <n v="241"/>
    <n v="155"/>
    <s v="Sedan"/>
    <n v="4"/>
    <x v="2"/>
    <n v="64472"/>
    <n v="3.5"/>
    <n v="3305300852.5600004"/>
  </r>
  <r>
    <x v="3"/>
    <s v="Leaf 50X"/>
    <n v="2024"/>
    <x v="0"/>
    <n v="75118.039999999994"/>
    <n v="88.3"/>
    <n v="325"/>
    <n v="189"/>
    <s v="Sedan"/>
    <n v="4"/>
    <x v="0"/>
    <n v="220772"/>
    <n v="3.68"/>
    <n v="16583959926.879999"/>
  </r>
  <r>
    <x v="9"/>
    <s v="iX"/>
    <n v="2024"/>
    <x v="1"/>
    <n v="134617.67000000001"/>
    <n v="90.5"/>
    <n v="308"/>
    <n v="190"/>
    <s v="Coupe"/>
    <n v="5"/>
    <x v="1"/>
    <n v="68965"/>
    <n v="3.76"/>
    <n v="9283907611.5500011"/>
  </r>
  <r>
    <x v="12"/>
    <s v="Bolt EV"/>
    <n v="2024"/>
    <x v="0"/>
    <n v="55216.4"/>
    <n v="81.900000000000006"/>
    <n v="299"/>
    <n v="153"/>
    <s v="Coupe"/>
    <n v="5"/>
    <x v="2"/>
    <n v="805"/>
    <n v="3.76"/>
    <n v="44449202"/>
  </r>
  <r>
    <x v="4"/>
    <s v="e-tron"/>
    <n v="2024"/>
    <x v="3"/>
    <n v="111572.71"/>
    <n v="71.599999999999994"/>
    <n v="265"/>
    <n v="144"/>
    <s v="Hatchback"/>
    <n v="5"/>
    <x v="1"/>
    <n v="58813"/>
    <n v="3.28"/>
    <n v="6561925793.2300005"/>
  </r>
  <r>
    <x v="2"/>
    <s v="Model X"/>
    <n v="2024"/>
    <x v="1"/>
    <n v="79743.44"/>
    <n v="90.1"/>
    <n v="322"/>
    <n v="182"/>
    <s v="SUV"/>
    <n v="5"/>
    <x v="0"/>
    <n v="136484"/>
    <n v="3.83"/>
    <n v="10883703664.960001"/>
  </r>
  <r>
    <x v="7"/>
    <s v="ID. Aero"/>
    <n v="2024"/>
    <x v="2"/>
    <n v="52450.92"/>
    <n v="70.3"/>
    <n v="257"/>
    <n v="135"/>
    <s v="SUV"/>
    <n v="5"/>
    <x v="2"/>
    <n v="231690"/>
    <n v="3.59"/>
    <n v="12152353654.799999"/>
  </r>
  <r>
    <x v="6"/>
    <s v="i30"/>
    <n v="2024"/>
    <x v="2"/>
    <n v="53836.77"/>
    <n v="69.5"/>
    <n v="265"/>
    <n v="135"/>
    <s v="Sedan"/>
    <n v="5"/>
    <x v="2"/>
    <n v="55119"/>
    <n v="3.5"/>
    <n v="2967428925.6299996"/>
  </r>
  <r>
    <x v="5"/>
    <s v="Picanto EV"/>
    <n v="2024"/>
    <x v="2"/>
    <n v="34300.06"/>
    <n v="68.3"/>
    <n v="242"/>
    <n v="165"/>
    <s v="Van"/>
    <n v="4"/>
    <x v="3"/>
    <n v="143619"/>
    <n v="3.26"/>
    <n v="4926140317.1399994"/>
  </r>
  <r>
    <x v="2"/>
    <s v="Model 3"/>
    <n v="2024"/>
    <x v="1"/>
    <n v="99778.09"/>
    <n v="102.4"/>
    <n v="352"/>
    <n v="200"/>
    <s v="Truck"/>
    <n v="4"/>
    <x v="0"/>
    <n v="186712"/>
    <n v="4.18"/>
    <n v="18629766740.079998"/>
  </r>
  <r>
    <x v="2"/>
    <s v="Cybertruck"/>
    <n v="2024"/>
    <x v="1"/>
    <n v="106068.73"/>
    <n v="114.9"/>
    <n v="357"/>
    <n v="200"/>
    <s v="Truck"/>
    <n v="3"/>
    <x v="1"/>
    <n v="156874"/>
    <n v="4.08"/>
    <n v="16639425950.019999"/>
  </r>
  <r>
    <x v="3"/>
    <s v="Atto 3"/>
    <n v="2024"/>
    <x v="0"/>
    <n v="41904.83"/>
    <n v="88.3"/>
    <n v="325"/>
    <n v="168"/>
    <s v="Truck"/>
    <n v="3"/>
    <x v="2"/>
    <n v="239018"/>
    <n v="3.7"/>
    <n v="10016008656.940001"/>
  </r>
  <r>
    <x v="7"/>
    <s v="ID. Aero"/>
    <n v="2024"/>
    <x v="4"/>
    <n v="40586.730000000003"/>
    <n v="45"/>
    <n v="173"/>
    <n v="159"/>
    <s v="Coupe"/>
    <n v="4"/>
    <x v="2"/>
    <n v="268842"/>
    <n v="3.31"/>
    <n v="10911417666.660002"/>
  </r>
  <r>
    <x v="8"/>
    <s v="Explorer EV"/>
    <n v="2024"/>
    <x v="2"/>
    <n v="54161.53"/>
    <n v="80.099999999999994"/>
    <n v="289"/>
    <n v="137"/>
    <s v="Hatchback"/>
    <n v="4"/>
    <x v="2"/>
    <n v="26655"/>
    <n v="3.51"/>
    <n v="1443675582.1499999"/>
  </r>
  <r>
    <x v="7"/>
    <s v="ID. Aero"/>
    <n v="2024"/>
    <x v="1"/>
    <n v="92355.03"/>
    <n v="70.8"/>
    <n v="243"/>
    <n v="193"/>
    <s v="Truck"/>
    <n v="4"/>
    <x v="0"/>
    <n v="216375"/>
    <n v="3.43"/>
    <n v="19983319616.25"/>
  </r>
  <r>
    <x v="6"/>
    <s v="Ioniq 6"/>
    <n v="2024"/>
    <x v="1"/>
    <n v="97949.17"/>
    <n v="88.6"/>
    <n v="324"/>
    <n v="200"/>
    <s v="Hatchback"/>
    <n v="5"/>
    <x v="0"/>
    <n v="105426"/>
    <n v="3.83"/>
    <n v="10326389196.42"/>
  </r>
  <r>
    <x v="2"/>
    <s v="Cybertruck"/>
    <n v="2024"/>
    <x v="4"/>
    <n v="112719.54"/>
    <n v="67.5"/>
    <n v="240"/>
    <n v="170"/>
    <s v="Truck"/>
    <n v="5"/>
    <x v="1"/>
    <n v="138409"/>
    <n v="3.94"/>
    <n v="15601398811.859999"/>
  </r>
  <r>
    <x v="2"/>
    <s v="Cybertruck"/>
    <n v="2024"/>
    <x v="2"/>
    <n v="112537.97"/>
    <n v="73.400000000000006"/>
    <n v="256"/>
    <n v="125"/>
    <s v="Truck"/>
    <n v="4"/>
    <x v="1"/>
    <n v="200169"/>
    <n v="3.59"/>
    <n v="22526612916.93"/>
  </r>
  <r>
    <x v="0"/>
    <s v="bZ4X"/>
    <n v="2024"/>
    <x v="3"/>
    <n v="65164.24"/>
    <n v="66"/>
    <n v="218"/>
    <n v="152"/>
    <s v="SUV"/>
    <n v="5"/>
    <x v="0"/>
    <n v="21633"/>
    <n v="3.39"/>
    <n v="1409698003.9199998"/>
  </r>
  <r>
    <x v="9"/>
    <s v="i4"/>
    <n v="2024"/>
    <x v="2"/>
    <n v="47596.94"/>
    <n v="81.099999999999994"/>
    <n v="287"/>
    <n v="135"/>
    <s v="Sedan"/>
    <n v="5"/>
    <x v="2"/>
    <n v="22877"/>
    <n v="3.56"/>
    <n v="1088875196.3800001"/>
  </r>
  <r>
    <x v="2"/>
    <s v="Model Y"/>
    <n v="2024"/>
    <x v="0"/>
    <n v="50416.800000000003"/>
    <n v="92.4"/>
    <n v="336"/>
    <n v="170"/>
    <s v="Sedan"/>
    <n v="4"/>
    <x v="2"/>
    <n v="444988"/>
    <n v="3.8"/>
    <n v="22434870998.400002"/>
  </r>
  <r>
    <x v="12"/>
    <s v="Bolt EUV"/>
    <n v="2024"/>
    <x v="1"/>
    <n v="98117.57"/>
    <n v="90.3"/>
    <n v="335"/>
    <n v="195"/>
    <s v="Sedan"/>
    <n v="5"/>
    <x v="0"/>
    <n v="23127"/>
    <n v="3.63"/>
    <n v="2269165041.3900003"/>
  </r>
  <r>
    <x v="9"/>
    <s v="i5"/>
    <n v="2024"/>
    <x v="3"/>
    <n v="91502.74"/>
    <n v="75.2"/>
    <n v="250"/>
    <n v="161"/>
    <s v="Coupe"/>
    <n v="5"/>
    <x v="0"/>
    <n v="64217"/>
    <n v="3.55"/>
    <n v="5876031454.5799999"/>
  </r>
  <r>
    <x v="5"/>
    <s v="Picanto EV"/>
    <n v="2024"/>
    <x v="4"/>
    <n v="91917.06"/>
    <n v="68.900000000000006"/>
    <n v="237"/>
    <n v="166"/>
    <s v="Van"/>
    <n v="4"/>
    <x v="0"/>
    <n v="124978"/>
    <n v="3.57"/>
    <n v="11487610324.68"/>
  </r>
  <r>
    <x v="9"/>
    <s v="i5"/>
    <n v="2024"/>
    <x v="1"/>
    <n v="131247.26"/>
    <n v="113.3"/>
    <n v="405"/>
    <n v="200"/>
    <s v="Truck"/>
    <n v="4"/>
    <x v="1"/>
    <n v="65041"/>
    <n v="3.91"/>
    <n v="8536453037.6600008"/>
  </r>
  <r>
    <x v="2"/>
    <s v="Model X"/>
    <n v="2024"/>
    <x v="4"/>
    <n v="46217.919999999998"/>
    <n v="55.9"/>
    <n v="205"/>
    <n v="151"/>
    <s v="Truck"/>
    <n v="4"/>
    <x v="2"/>
    <n v="108494"/>
    <n v="3.65"/>
    <n v="5014367012.4799995"/>
  </r>
  <r>
    <x v="13"/>
    <s v="EQE"/>
    <n v="2024"/>
    <x v="4"/>
    <n v="146623.72"/>
    <n v="69.099999999999994"/>
    <n v="262"/>
    <n v="176"/>
    <s v="Coupe"/>
    <n v="4"/>
    <x v="1"/>
    <n v="43244"/>
    <n v="3.61"/>
    <n v="6340596147.6800003"/>
  </r>
  <r>
    <x v="5"/>
    <s v="Picanto EV"/>
    <n v="2024"/>
    <x v="2"/>
    <n v="26810.33"/>
    <n v="75.599999999999994"/>
    <n v="247"/>
    <n v="166"/>
    <s v="SUV"/>
    <n v="5"/>
    <x v="3"/>
    <n v="138862"/>
    <n v="3.48"/>
    <n v="3722936044.46"/>
  </r>
  <r>
    <x v="12"/>
    <s v="Blazer EV"/>
    <n v="2024"/>
    <x v="4"/>
    <n v="45723.03"/>
    <n v="55"/>
    <n v="207"/>
    <n v="148"/>
    <s v="SUV"/>
    <n v="5"/>
    <x v="2"/>
    <n v="19610"/>
    <n v="3.43"/>
    <n v="896628618.29999995"/>
  </r>
  <r>
    <x v="8"/>
    <s v="F-150 Lightning"/>
    <n v="2024"/>
    <x v="3"/>
    <n v="38587"/>
    <n v="78"/>
    <n v="278"/>
    <n v="145"/>
    <s v="Truck"/>
    <n v="5"/>
    <x v="2"/>
    <n v="66132"/>
    <n v="3.55"/>
    <n v="2551835484"/>
  </r>
  <r>
    <x v="8"/>
    <s v="Explorer EV"/>
    <n v="2024"/>
    <x v="1"/>
    <n v="61417.24"/>
    <n v="107.1"/>
    <n v="370"/>
    <n v="189"/>
    <s v="Coupe"/>
    <n v="5"/>
    <x v="2"/>
    <n v="29374"/>
    <n v="3.68"/>
    <n v="1804070007.76"/>
  </r>
  <r>
    <x v="7"/>
    <s v="ID.4"/>
    <n v="2024"/>
    <x v="1"/>
    <n v="80127.240000000005"/>
    <n v="106.2"/>
    <n v="352"/>
    <n v="193"/>
    <s v="SUV"/>
    <n v="5"/>
    <x v="0"/>
    <n v="267416"/>
    <n v="3.45"/>
    <n v="21427306011.84"/>
  </r>
  <r>
    <x v="12"/>
    <s v="Bolt EV"/>
    <n v="2024"/>
    <x v="1"/>
    <n v="54375.97"/>
    <n v="88.9"/>
    <n v="299"/>
    <n v="200"/>
    <s v="Sedan"/>
    <n v="5"/>
    <x v="2"/>
    <n v="24792"/>
    <n v="3.55"/>
    <n v="1348089048.24"/>
  </r>
  <r>
    <x v="3"/>
    <s v="Seagull"/>
    <n v="2024"/>
    <x v="0"/>
    <n v="51370.62"/>
    <n v="105.7"/>
    <n v="403"/>
    <n v="177"/>
    <s v="Coupe"/>
    <n v="5"/>
    <x v="2"/>
    <n v="177642"/>
    <n v="3.76"/>
    <n v="9125579678.0400009"/>
  </r>
  <r>
    <x v="9"/>
    <s v="iX"/>
    <n v="2024"/>
    <x v="0"/>
    <n v="73854.83"/>
    <n v="96.9"/>
    <n v="322"/>
    <n v="181"/>
    <s v="Hatchback"/>
    <n v="5"/>
    <x v="0"/>
    <n v="33084"/>
    <n v="3.64"/>
    <n v="2443413195.7200003"/>
  </r>
  <r>
    <x v="6"/>
    <s v="Kona Electric"/>
    <n v="2024"/>
    <x v="1"/>
    <n v="50241.81"/>
    <n v="101.5"/>
    <n v="340"/>
    <n v="193"/>
    <s v="SUV"/>
    <n v="5"/>
    <x v="2"/>
    <n v="106270"/>
    <n v="3.67"/>
    <n v="5339197148.6999998"/>
  </r>
  <r>
    <x v="6"/>
    <s v="Ioniq 6"/>
    <n v="2024"/>
    <x v="1"/>
    <n v="106647.79"/>
    <n v="98.5"/>
    <n v="363"/>
    <n v="200"/>
    <s v="Coupe"/>
    <n v="5"/>
    <x v="1"/>
    <n v="149654"/>
    <n v="3.94"/>
    <n v="15960268364.66"/>
  </r>
  <r>
    <x v="7"/>
    <s v="ID.4"/>
    <n v="2024"/>
    <x v="0"/>
    <n v="69709.16"/>
    <n v="99.7"/>
    <n v="349"/>
    <n v="184"/>
    <s v="Truck"/>
    <n v="5"/>
    <x v="0"/>
    <n v="273314"/>
    <n v="3.79"/>
    <n v="19052489356.240002"/>
  </r>
  <r>
    <x v="11"/>
    <s v="R2"/>
    <n v="2024"/>
    <x v="0"/>
    <n v="96777.2"/>
    <n v="98.9"/>
    <n v="341"/>
    <n v="179"/>
    <s v="Hatchback"/>
    <n v="5"/>
    <x v="0"/>
    <n v="20918"/>
    <n v="3.83"/>
    <n v="2024385469.5999999"/>
  </r>
  <r>
    <x v="2"/>
    <s v="Model 3"/>
    <n v="2024"/>
    <x v="1"/>
    <n v="142117.21"/>
    <n v="102.9"/>
    <n v="353"/>
    <n v="184"/>
    <s v="SUV"/>
    <n v="5"/>
    <x v="1"/>
    <n v="232616"/>
    <n v="3.85"/>
    <n v="33058736921.359997"/>
  </r>
  <r>
    <x v="14"/>
    <s v="EL8"/>
    <n v="2024"/>
    <x v="0"/>
    <n v="119324.89"/>
    <n v="90.9"/>
    <n v="308"/>
    <n v="168"/>
    <s v="Truck"/>
    <n v="5"/>
    <x v="1"/>
    <n v="11219"/>
    <n v="3.72"/>
    <n v="1338705940.9100001"/>
  </r>
  <r>
    <x v="3"/>
    <s v="Leaf 50X"/>
    <n v="2024"/>
    <x v="2"/>
    <n v="45940.66"/>
    <n v="72.5"/>
    <n v="255"/>
    <n v="176"/>
    <s v="Truck"/>
    <n v="5"/>
    <x v="2"/>
    <n v="114800"/>
    <n v="3.48"/>
    <n v="5273987768"/>
  </r>
  <r>
    <x v="2"/>
    <s v="Model S"/>
    <n v="2024"/>
    <x v="1"/>
    <n v="62920.59"/>
    <n v="91"/>
    <n v="352"/>
    <n v="184"/>
    <s v="Van"/>
    <n v="4"/>
    <x v="2"/>
    <n v="248485"/>
    <n v="4.42"/>
    <n v="15634822806.15"/>
  </r>
  <r>
    <x v="4"/>
    <s v="Q4 e-tron"/>
    <n v="2024"/>
    <x v="4"/>
    <n v="130055.6"/>
    <n v="60.1"/>
    <n v="232"/>
    <n v="169"/>
    <s v="Sedan"/>
    <n v="4"/>
    <x v="1"/>
    <n v="44054"/>
    <n v="3.23"/>
    <n v="5729469402.4000006"/>
  </r>
  <r>
    <x v="4"/>
    <s v="Q6 e-tron"/>
    <n v="2024"/>
    <x v="3"/>
    <n v="55700.85"/>
    <n v="69.099999999999994"/>
    <n v="229"/>
    <n v="173"/>
    <s v="SUV"/>
    <n v="4"/>
    <x v="2"/>
    <n v="52734"/>
    <n v="3.21"/>
    <n v="2937328623.9000001"/>
  </r>
  <r>
    <x v="3"/>
    <s v="Dolphin"/>
    <n v="2024"/>
    <x v="0"/>
    <n v="75079.649999999994"/>
    <n v="88.3"/>
    <n v="299"/>
    <n v="157"/>
    <s v="Sedan"/>
    <n v="3"/>
    <x v="0"/>
    <n v="149633"/>
    <n v="3.65"/>
    <n v="11234393268.449999"/>
  </r>
  <r>
    <x v="13"/>
    <s v="EQS"/>
    <n v="2024"/>
    <x v="2"/>
    <n v="126359.58"/>
    <n v="40.6"/>
    <n v="150"/>
    <n v="135"/>
    <s v="Coupe"/>
    <n v="5"/>
    <x v="1"/>
    <n v="31657"/>
    <n v="3.57"/>
    <n v="4000165224.0599999"/>
  </r>
  <r>
    <x v="9"/>
    <s v="i4"/>
    <n v="2024"/>
    <x v="1"/>
    <n v="82827.92"/>
    <n v="98.2"/>
    <n v="348"/>
    <n v="195"/>
    <s v="Hatchback"/>
    <n v="4"/>
    <x v="0"/>
    <n v="59167"/>
    <n v="3.9"/>
    <n v="4900679542.6400003"/>
  </r>
  <r>
    <x v="7"/>
    <s v="ID.3"/>
    <n v="2024"/>
    <x v="3"/>
    <n v="38832.160000000003"/>
    <n v="66.3"/>
    <n v="221"/>
    <n v="145"/>
    <s v="SUV"/>
    <n v="5"/>
    <x v="2"/>
    <n v="256517"/>
    <n v="3.43"/>
    <n v="9961109186.7200012"/>
  </r>
  <r>
    <x v="2"/>
    <s v="Cybertruck"/>
    <n v="2024"/>
    <x v="3"/>
    <n v="125176.94"/>
    <n v="68.400000000000006"/>
    <n v="258"/>
    <n v="154"/>
    <s v="Truck"/>
    <n v="5"/>
    <x v="1"/>
    <n v="162760"/>
    <n v="3.82"/>
    <n v="20373798754.400002"/>
  </r>
  <r>
    <x v="12"/>
    <s v="Blazer EV"/>
    <n v="2024"/>
    <x v="0"/>
    <n v="46760.47"/>
    <n v="102.4"/>
    <n v="343"/>
    <n v="195"/>
    <s v="Coupe"/>
    <n v="4"/>
    <x v="2"/>
    <n v="22048"/>
    <n v="3.73"/>
    <n v="1030974842.5600001"/>
  </r>
  <r>
    <x v="13"/>
    <s v="GLE EV"/>
    <n v="2024"/>
    <x v="4"/>
    <n v="134953.72"/>
    <n v="64.8"/>
    <n v="248"/>
    <n v="167"/>
    <s v="Van"/>
    <n v="5"/>
    <x v="1"/>
    <n v="76804"/>
    <n v="3.93"/>
    <n v="10364985510.879999"/>
  </r>
  <r>
    <x v="5"/>
    <s v="Niro EV"/>
    <n v="2024"/>
    <x v="0"/>
    <n v="56059.51"/>
    <n v="98"/>
    <n v="327"/>
    <n v="163"/>
    <s v="Coupe"/>
    <n v="5"/>
    <x v="2"/>
    <n v="117679"/>
    <n v="3.63"/>
    <n v="6597027077.29"/>
  </r>
  <r>
    <x v="6"/>
    <s v="Ioniq 5"/>
    <n v="2024"/>
    <x v="3"/>
    <n v="60016.36"/>
    <n v="71"/>
    <n v="273"/>
    <n v="164"/>
    <s v="Coupe"/>
    <n v="5"/>
    <x v="2"/>
    <n v="80671"/>
    <n v="3.31"/>
    <n v="4841579777.5600004"/>
  </r>
  <r>
    <x v="15"/>
    <s v="Macan Electric"/>
    <n v="2024"/>
    <x v="4"/>
    <n v="184202.43"/>
    <n v="79.3"/>
    <n v="290"/>
    <n v="154"/>
    <s v="Coupe"/>
    <n v="5"/>
    <x v="1"/>
    <n v="14726"/>
    <n v="3.66"/>
    <n v="2712564984.1799998"/>
  </r>
  <r>
    <x v="7"/>
    <s v="ID.5"/>
    <n v="2024"/>
    <x v="0"/>
    <n v="52456.57"/>
    <n v="106.8"/>
    <n v="377"/>
    <n v="177"/>
    <s v="SUV"/>
    <n v="4"/>
    <x v="2"/>
    <n v="214608"/>
    <n v="3.82"/>
    <n v="11257599574.559999"/>
  </r>
  <r>
    <x v="5"/>
    <s v="Niro EV"/>
    <n v="2024"/>
    <x v="0"/>
    <n v="82833.740000000005"/>
    <n v="107.6"/>
    <n v="375"/>
    <n v="173"/>
    <s v="Truck"/>
    <n v="4"/>
    <x v="0"/>
    <n v="98307"/>
    <n v="3.67"/>
    <n v="8143136478.1800003"/>
  </r>
  <r>
    <x v="3"/>
    <s v="Dolphin"/>
    <n v="2024"/>
    <x v="4"/>
    <n v="104505.82"/>
    <n v="41.7"/>
    <n v="159"/>
    <n v="153"/>
    <s v="Hatchback"/>
    <n v="5"/>
    <x v="1"/>
    <n v="111020"/>
    <n v="3.1"/>
    <n v="11602236136.400002"/>
  </r>
  <r>
    <x v="3"/>
    <s v="Dolphin"/>
    <n v="2024"/>
    <x v="0"/>
    <n v="51538.03"/>
    <n v="99.3"/>
    <n v="365"/>
    <n v="175"/>
    <s v="SUV"/>
    <n v="5"/>
    <x v="2"/>
    <n v="188274"/>
    <n v="3.73"/>
    <n v="9703271060.2199993"/>
  </r>
  <r>
    <x v="3"/>
    <s v="Atto 3"/>
    <n v="2024"/>
    <x v="2"/>
    <n v="19083.54"/>
    <n v="44.4"/>
    <n v="151"/>
    <n v="141"/>
    <s v="Truck"/>
    <n v="4"/>
    <x v="3"/>
    <n v="216310"/>
    <n v="3.28"/>
    <n v="4127960537.4000001"/>
  </r>
  <r>
    <x v="2"/>
    <s v="Model Y"/>
    <n v="2024"/>
    <x v="1"/>
    <n v="37255.18"/>
    <n v="113.7"/>
    <n v="383"/>
    <n v="200"/>
    <s v="SUV"/>
    <n v="5"/>
    <x v="2"/>
    <n v="451073"/>
    <n v="4.2300000000000004"/>
    <n v="16804805808.139999"/>
  </r>
  <r>
    <x v="3"/>
    <s v="Seagull"/>
    <n v="2024"/>
    <x v="4"/>
    <n v="51226.67"/>
    <n v="79.599999999999994"/>
    <n v="271"/>
    <n v="167"/>
    <s v="Sedan"/>
    <n v="5"/>
    <x v="2"/>
    <n v="143773"/>
    <n v="3.5"/>
    <n v="7365012025.9099998"/>
  </r>
  <r>
    <x v="9"/>
    <s v="i5"/>
    <n v="2024"/>
    <x v="3"/>
    <n v="70389.460000000006"/>
    <n v="59.8"/>
    <n v="217"/>
    <n v="142"/>
    <s v="Coupe"/>
    <n v="5"/>
    <x v="0"/>
    <n v="76685"/>
    <n v="3.38"/>
    <n v="5397815740.1000004"/>
  </r>
  <r>
    <x v="5"/>
    <s v="EV6"/>
    <n v="2024"/>
    <x v="3"/>
    <n v="31230.720000000001"/>
    <n v="71.7"/>
    <n v="250"/>
    <n v="164"/>
    <s v="Sedan"/>
    <n v="5"/>
    <x v="3"/>
    <n v="74025"/>
    <n v="3.37"/>
    <n v="2311854048"/>
  </r>
  <r>
    <x v="2"/>
    <s v="Cybertruck"/>
    <n v="2024"/>
    <x v="4"/>
    <n v="148667.6"/>
    <n v="71.3"/>
    <n v="250"/>
    <n v="135"/>
    <s v="Truck"/>
    <n v="5"/>
    <x v="1"/>
    <n v="117109"/>
    <n v="3.79"/>
    <n v="17410313968.400002"/>
  </r>
  <r>
    <x v="8"/>
    <s v="Mustang Mach-E"/>
    <n v="2024"/>
    <x v="2"/>
    <n v="38196.949999999997"/>
    <n v="78.2"/>
    <n v="261"/>
    <n v="160"/>
    <s v="Hatchback"/>
    <n v="5"/>
    <x v="2"/>
    <n v="25281"/>
    <n v="3.55"/>
    <n v="965657092.94999993"/>
  </r>
  <r>
    <x v="3"/>
    <s v="Leaf 50X"/>
    <n v="2024"/>
    <x v="0"/>
    <n v="77872.95"/>
    <n v="95.8"/>
    <n v="343"/>
    <n v="164"/>
    <s v="SUV"/>
    <n v="4"/>
    <x v="0"/>
    <n v="152424"/>
    <n v="3.65"/>
    <n v="11869706530.799999"/>
  </r>
  <r>
    <x v="13"/>
    <s v="EQS"/>
    <n v="2024"/>
    <x v="4"/>
    <n v="200859.77"/>
    <n v="65.8"/>
    <n v="222"/>
    <n v="178"/>
    <s v="Hatchback"/>
    <n v="5"/>
    <x v="1"/>
    <n v="50870"/>
    <n v="3.8"/>
    <n v="10217736499.9"/>
  </r>
  <r>
    <x v="13"/>
    <s v="EQS"/>
    <n v="2024"/>
    <x v="2"/>
    <n v="111876"/>
    <n v="48.8"/>
    <n v="150"/>
    <n v="153"/>
    <s v="Sedan"/>
    <n v="4"/>
    <x v="1"/>
    <n v="36359"/>
    <n v="3.55"/>
    <n v="4067699484"/>
  </r>
  <r>
    <x v="8"/>
    <s v="F-150 Lightning"/>
    <n v="2024"/>
    <x v="1"/>
    <n v="106766.97"/>
    <n v="109.9"/>
    <n v="376"/>
    <n v="200"/>
    <s v="Truck"/>
    <n v="4"/>
    <x v="1"/>
    <n v="44309"/>
    <n v="3.77"/>
    <n v="4730737673.7300005"/>
  </r>
  <r>
    <x v="2"/>
    <s v="Model X"/>
    <n v="2024"/>
    <x v="2"/>
    <n v="78351.88"/>
    <n v="83.5"/>
    <n v="303"/>
    <n v="152"/>
    <s v="Truck"/>
    <n v="5"/>
    <x v="0"/>
    <n v="135414"/>
    <n v="3.99"/>
    <n v="10609941478.32"/>
  </r>
  <r>
    <x v="7"/>
    <s v="ID.4"/>
    <n v="2024"/>
    <x v="3"/>
    <n v="45113.98"/>
    <n v="80.8"/>
    <n v="294"/>
    <n v="140"/>
    <s v="Sedan"/>
    <n v="4"/>
    <x v="2"/>
    <n v="248569"/>
    <n v="3.75"/>
    <n v="11213936894.620001"/>
  </r>
  <r>
    <x v="2"/>
    <s v="Model Y"/>
    <n v="2024"/>
    <x v="2"/>
    <n v="117810.94"/>
    <n v="78.099999999999994"/>
    <n v="253"/>
    <n v="162"/>
    <s v="Coupe"/>
    <n v="4"/>
    <x v="1"/>
    <n v="402141"/>
    <n v="4.01"/>
    <n v="47376609222.540001"/>
  </r>
  <r>
    <x v="7"/>
    <s v="ID.4"/>
    <n v="2024"/>
    <x v="0"/>
    <n v="69646.080000000002"/>
    <n v="82.9"/>
    <n v="303"/>
    <n v="175"/>
    <s v="Coupe"/>
    <n v="4"/>
    <x v="0"/>
    <n v="292447"/>
    <n v="3.87"/>
    <n v="20367787157.760002"/>
  </r>
  <r>
    <x v="6"/>
    <s v="Ioniq"/>
    <n v="2024"/>
    <x v="1"/>
    <n v="44796.76"/>
    <n v="104.6"/>
    <n v="359"/>
    <n v="200"/>
    <s v="Sedan"/>
    <n v="5"/>
    <x v="2"/>
    <n v="113793"/>
    <n v="4.03"/>
    <n v="5097557710.6800003"/>
  </r>
  <r>
    <x v="17"/>
    <s v="XC90 Recharge"/>
    <n v="2024"/>
    <x v="3"/>
    <n v="75390.600000000006"/>
    <n v="43.1"/>
    <n v="156"/>
    <n v="135"/>
    <s v="Van"/>
    <n v="5"/>
    <x v="0"/>
    <n v="16760"/>
    <n v="3.31"/>
    <n v="1263546456"/>
  </r>
  <r>
    <x v="13"/>
    <s v="EQG"/>
    <n v="2024"/>
    <x v="0"/>
    <n v="95795.03"/>
    <n v="93.8"/>
    <n v="354"/>
    <n v="177"/>
    <s v="Truck"/>
    <n v="3"/>
    <x v="0"/>
    <n v="37523"/>
    <n v="4.16"/>
    <n v="3594516910.6900001"/>
  </r>
  <r>
    <x v="3"/>
    <s v="Yuan Plus"/>
    <n v="2024"/>
    <x v="0"/>
    <n v="65610.36"/>
    <n v="86.2"/>
    <n v="270"/>
    <n v="176"/>
    <s v="Hatchback"/>
    <n v="5"/>
    <x v="0"/>
    <n v="239905"/>
    <n v="3.59"/>
    <n v="15740253415.799999"/>
  </r>
  <r>
    <x v="11"/>
    <s v="R1S"/>
    <n v="2024"/>
    <x v="3"/>
    <n v="85223.91"/>
    <n v="55.2"/>
    <n v="206"/>
    <n v="146"/>
    <s v="Coupe"/>
    <n v="5"/>
    <x v="0"/>
    <n v="18207"/>
    <n v="3.15"/>
    <n v="1551671729.3700001"/>
  </r>
  <r>
    <x v="8"/>
    <s v="Explorer EV"/>
    <n v="2024"/>
    <x v="0"/>
    <n v="93391.97"/>
    <n v="96.9"/>
    <n v="328"/>
    <n v="188"/>
    <s v="Van"/>
    <n v="4"/>
    <x v="0"/>
    <n v="53055"/>
    <n v="3.46"/>
    <n v="4954910968.3500004"/>
  </r>
  <r>
    <x v="4"/>
    <s v="Q6 e-tron"/>
    <n v="2024"/>
    <x v="2"/>
    <n v="68629.02"/>
    <n v="66.7"/>
    <n v="254"/>
    <n v="173"/>
    <s v="Sedan"/>
    <n v="5"/>
    <x v="0"/>
    <n v="32172"/>
    <n v="3.58"/>
    <n v="2207932831.4400001"/>
  </r>
  <r>
    <x v="8"/>
    <s v="E-Transit"/>
    <n v="2024"/>
    <x v="1"/>
    <n v="115288.59"/>
    <n v="81.599999999999994"/>
    <n v="287"/>
    <n v="191"/>
    <s v="Hatchback"/>
    <n v="5"/>
    <x v="1"/>
    <n v="28651"/>
    <n v="3.57"/>
    <n v="3303133392.0899997"/>
  </r>
  <r>
    <x v="3"/>
    <s v="Yuan Plus"/>
    <n v="2024"/>
    <x v="3"/>
    <n v="42922.38"/>
    <n v="65.7"/>
    <n v="235"/>
    <n v="155"/>
    <s v="Van"/>
    <n v="5"/>
    <x v="2"/>
    <n v="109861"/>
    <n v="3.54"/>
    <n v="4715495589.1799994"/>
  </r>
  <r>
    <x v="19"/>
    <s v="Air"/>
    <n v="2024"/>
    <x v="1"/>
    <n v="156097.01999999999"/>
    <n v="97.8"/>
    <n v="351"/>
    <n v="196"/>
    <s v="SUV"/>
    <n v="4"/>
    <x v="1"/>
    <n v="13230"/>
    <n v="3.53"/>
    <n v="2065163574.5999999"/>
  </r>
  <r>
    <x v="9"/>
    <s v="i3"/>
    <n v="2024"/>
    <x v="1"/>
    <n v="130176.15"/>
    <n v="89.9"/>
    <n v="326"/>
    <n v="200"/>
    <s v="Van"/>
    <n v="4"/>
    <x v="1"/>
    <n v="59392"/>
    <n v="3.8"/>
    <n v="7731421900.7999992"/>
  </r>
  <r>
    <x v="6"/>
    <s v="Ioniq 6"/>
    <n v="2024"/>
    <x v="1"/>
    <n v="77513.919999999998"/>
    <n v="107.4"/>
    <n v="368"/>
    <n v="187"/>
    <s v="Hatchback"/>
    <n v="4"/>
    <x v="0"/>
    <n v="71992"/>
    <n v="4.07"/>
    <n v="5580382128.6400003"/>
  </r>
  <r>
    <x v="2"/>
    <s v="Cybertruck"/>
    <n v="2024"/>
    <x v="4"/>
    <n v="110128.5"/>
    <n v="50.3"/>
    <n v="163"/>
    <n v="163"/>
    <s v="Truck"/>
    <n v="5"/>
    <x v="1"/>
    <n v="212436"/>
    <n v="3.54"/>
    <n v="23395258026"/>
  </r>
  <r>
    <x v="2"/>
    <s v="Model X"/>
    <n v="2024"/>
    <x v="4"/>
    <n v="80831.47"/>
    <n v="71.2"/>
    <n v="278"/>
    <n v="169"/>
    <s v="Hatchback"/>
    <n v="4"/>
    <x v="0"/>
    <n v="202000"/>
    <n v="3.76"/>
    <n v="16327956940"/>
  </r>
  <r>
    <x v="1"/>
    <s v="Ronin"/>
    <n v="2024"/>
    <x v="2"/>
    <n v="85586.47"/>
    <n v="57.3"/>
    <n v="200"/>
    <n v="160"/>
    <s v="SUV"/>
    <n v="4"/>
    <x v="0"/>
    <n v="25585"/>
    <n v="3.16"/>
    <n v="2189729834.9499998"/>
  </r>
  <r>
    <x v="7"/>
    <s v="ID.3"/>
    <n v="2024"/>
    <x v="1"/>
    <n v="53590.91"/>
    <n v="74.7"/>
    <n v="258"/>
    <n v="200"/>
    <s v="Coupe"/>
    <n v="3"/>
    <x v="2"/>
    <n v="209815"/>
    <n v="3.08"/>
    <n v="11244176781.650002"/>
  </r>
  <r>
    <x v="6"/>
    <s v="i30"/>
    <n v="2024"/>
    <x v="3"/>
    <n v="31256.77"/>
    <n v="68.099999999999994"/>
    <n v="218"/>
    <n v="136"/>
    <s v="Truck"/>
    <n v="4"/>
    <x v="3"/>
    <n v="83425"/>
    <n v="3.35"/>
    <n v="2607596037.25"/>
  </r>
  <r>
    <x v="3"/>
    <s v="Leaf 50X"/>
    <n v="2024"/>
    <x v="1"/>
    <n v="56202.17"/>
    <n v="81.3"/>
    <n v="298"/>
    <n v="188"/>
    <s v="Coupe"/>
    <n v="5"/>
    <x v="2"/>
    <n v="225829"/>
    <n v="3.87"/>
    <n v="12692079848.93"/>
  </r>
  <r>
    <x v="8"/>
    <s v="F-150 Lightning"/>
    <n v="2024"/>
    <x v="1"/>
    <n v="113010.15"/>
    <n v="74.7"/>
    <n v="251"/>
    <n v="189"/>
    <s v="Truck"/>
    <n v="5"/>
    <x v="1"/>
    <n v="26657"/>
    <n v="3.63"/>
    <n v="3012511568.5499997"/>
  </r>
  <r>
    <x v="16"/>
    <s v="SU7"/>
    <n v="2024"/>
    <x v="4"/>
    <n v="89310.64"/>
    <n v="64.2"/>
    <n v="208"/>
    <n v="173"/>
    <s v="SUV"/>
    <n v="4"/>
    <x v="0"/>
    <n v="29176"/>
    <n v="3.31"/>
    <n v="2605727232.6399999"/>
  </r>
  <r>
    <x v="8"/>
    <s v="Mustang Mach-E"/>
    <n v="2024"/>
    <x v="3"/>
    <n v="67107.539999999994"/>
    <n v="81.2"/>
    <n v="286"/>
    <n v="137"/>
    <s v="Hatchback"/>
    <n v="5"/>
    <x v="0"/>
    <n v="58727"/>
    <n v="3.6"/>
    <n v="3941024501.5799994"/>
  </r>
  <r>
    <x v="5"/>
    <s v="Niro EV"/>
    <n v="2024"/>
    <x v="2"/>
    <n v="56356.86"/>
    <n v="45"/>
    <n v="154"/>
    <n v="163"/>
    <s v="Hatchback"/>
    <n v="5"/>
    <x v="2"/>
    <n v="107160"/>
    <n v="3.3"/>
    <n v="6039201117.6000004"/>
  </r>
  <r>
    <x v="3"/>
    <s v="Leaf 50X"/>
    <n v="2024"/>
    <x v="3"/>
    <n v="21286.38"/>
    <n v="69.599999999999994"/>
    <n v="233"/>
    <n v="168"/>
    <s v="Sedan"/>
    <n v="5"/>
    <x v="3"/>
    <n v="116507"/>
    <n v="3.18"/>
    <n v="2480012274.6600003"/>
  </r>
  <r>
    <x v="6"/>
    <s v="Ioniq"/>
    <n v="2024"/>
    <x v="1"/>
    <n v="103986.41"/>
    <n v="110.9"/>
    <n v="397"/>
    <n v="185"/>
    <s v="Sedan"/>
    <n v="5"/>
    <x v="1"/>
    <n v="106892"/>
    <n v="4.01"/>
    <n v="11115315337.720001"/>
  </r>
  <r>
    <x v="7"/>
    <s v="ID.5"/>
    <n v="2024"/>
    <x v="1"/>
    <n v="68348.69"/>
    <n v="94"/>
    <n v="323"/>
    <n v="200"/>
    <s v="Hatchback"/>
    <n v="4"/>
    <x v="0"/>
    <n v="238867"/>
    <n v="3.7"/>
    <n v="16326246534.230001"/>
  </r>
  <r>
    <x v="7"/>
    <s v="ID.4"/>
    <n v="2024"/>
    <x v="3"/>
    <n v="79224.44"/>
    <n v="48.4"/>
    <n v="164"/>
    <n v="136"/>
    <s v="SUV"/>
    <n v="5"/>
    <x v="0"/>
    <n v="219453"/>
    <n v="3.46"/>
    <n v="17386041031.32"/>
  </r>
  <r>
    <x v="12"/>
    <s v="Blazer EV"/>
    <n v="2024"/>
    <x v="0"/>
    <n v="85774.399999999994"/>
    <n v="106"/>
    <n v="388"/>
    <n v="181"/>
    <s v="Van"/>
    <n v="4"/>
    <x v="0"/>
    <n v="22091"/>
    <n v="3.72"/>
    <n v="1894842270.3999999"/>
  </r>
  <r>
    <x v="3"/>
    <s v="Atto 3"/>
    <n v="2024"/>
    <x v="3"/>
    <n v="21707.919999999998"/>
    <n v="56.8"/>
    <n v="176"/>
    <n v="135"/>
    <s v="Hatchback"/>
    <n v="4"/>
    <x v="3"/>
    <n v="240735"/>
    <n v="3.31"/>
    <n v="5225856121.1999998"/>
  </r>
  <r>
    <x v="12"/>
    <s v="Bolt EV"/>
    <n v="2024"/>
    <x v="4"/>
    <n v="52232.74"/>
    <n v="42"/>
    <n v="150"/>
    <n v="171"/>
    <s v="Van"/>
    <n v="4"/>
    <x v="2"/>
    <n v="17461"/>
    <n v="3.32"/>
    <n v="912035873.13999999"/>
  </r>
  <r>
    <x v="7"/>
    <s v="ID. Aero"/>
    <n v="2024"/>
    <x v="3"/>
    <n v="64646.52"/>
    <n v="70.7"/>
    <n v="219"/>
    <n v="140"/>
    <s v="Hatchback"/>
    <n v="4"/>
    <x v="2"/>
    <n v="229331"/>
    <n v="3.6"/>
    <n v="14825451078.119999"/>
  </r>
  <r>
    <x v="8"/>
    <s v="E-Transit"/>
    <n v="2024"/>
    <x v="1"/>
    <n v="99172.17"/>
    <n v="96.1"/>
    <n v="340"/>
    <n v="200"/>
    <s v="SUV"/>
    <n v="5"/>
    <x v="0"/>
    <n v="55818"/>
    <n v="3.69"/>
    <n v="5535592185.0599995"/>
  </r>
  <r>
    <x v="9"/>
    <s v="i5"/>
    <n v="2024"/>
    <x v="4"/>
    <n v="92379.17"/>
    <n v="50.8"/>
    <n v="150"/>
    <n v="136"/>
    <s v="Truck"/>
    <n v="5"/>
    <x v="0"/>
    <n v="64158"/>
    <n v="3.31"/>
    <n v="5926862788.8599997"/>
  </r>
  <r>
    <x v="9"/>
    <s v="i5"/>
    <n v="2024"/>
    <x v="3"/>
    <n v="78676.53"/>
    <n v="80.3"/>
    <n v="292"/>
    <n v="155"/>
    <s v="Hatchback"/>
    <n v="5"/>
    <x v="0"/>
    <n v="28903"/>
    <n v="3.53"/>
    <n v="2273987746.5900002"/>
  </r>
  <r>
    <x v="6"/>
    <s v="Ioniq 6"/>
    <n v="2024"/>
    <x v="1"/>
    <n v="44088.19"/>
    <n v="81.5"/>
    <n v="270"/>
    <n v="188"/>
    <s v="Hatchback"/>
    <n v="3"/>
    <x v="2"/>
    <n v="119102"/>
    <n v="3.6"/>
    <n v="5250991605.3800001"/>
  </r>
  <r>
    <x v="6"/>
    <s v="Ioniq 6"/>
    <n v="2024"/>
    <x v="3"/>
    <n v="63404.54"/>
    <n v="72.2"/>
    <n v="253"/>
    <n v="168"/>
    <s v="Sedan"/>
    <n v="5"/>
    <x v="2"/>
    <n v="79234"/>
    <n v="3.49"/>
    <n v="5023795322.3599997"/>
  </r>
  <r>
    <x v="2"/>
    <s v="Model S"/>
    <n v="2024"/>
    <x v="0"/>
    <n v="91117.32"/>
    <n v="101"/>
    <n v="364"/>
    <n v="172"/>
    <s v="Hatchback"/>
    <n v="4"/>
    <x v="0"/>
    <n v="174122"/>
    <n v="4"/>
    <n v="15865529993.040001"/>
  </r>
  <r>
    <x v="12"/>
    <s v="Bolt EUV"/>
    <n v="2024"/>
    <x v="4"/>
    <n v="75461.19"/>
    <n v="77.900000000000006"/>
    <n v="275"/>
    <n v="168"/>
    <s v="SUV"/>
    <n v="4"/>
    <x v="0"/>
    <n v="10961"/>
    <n v="3.51"/>
    <n v="827130103.59000003"/>
  </r>
  <r>
    <x v="0"/>
    <s v="bZ4X"/>
    <n v="2024"/>
    <x v="2"/>
    <n v="60316.9"/>
    <n v="48"/>
    <n v="165"/>
    <n v="138"/>
    <s v="Coupe"/>
    <n v="4"/>
    <x v="2"/>
    <n v="23683"/>
    <n v="3.15"/>
    <n v="1428485142.7"/>
  </r>
  <r>
    <x v="12"/>
    <s v="Bolt EV"/>
    <n v="2024"/>
    <x v="3"/>
    <n v="46964.58"/>
    <n v="62.4"/>
    <n v="204"/>
    <n v="140"/>
    <s v="Sedan"/>
    <n v="5"/>
    <x v="2"/>
    <n v="15168"/>
    <n v="3.46"/>
    <n v="712358749.44000006"/>
  </r>
  <r>
    <x v="3"/>
    <s v="Dolphin"/>
    <n v="2024"/>
    <x v="3"/>
    <n v="51238.400000000001"/>
    <n v="51.6"/>
    <n v="185"/>
    <n v="153"/>
    <s v="Hatchback"/>
    <n v="5"/>
    <x v="2"/>
    <n v="242985"/>
    <n v="3.46"/>
    <n v="12450162624"/>
  </r>
  <r>
    <x v="2"/>
    <s v="Cybertruck"/>
    <n v="2024"/>
    <x v="3"/>
    <n v="43048"/>
    <n v="78.2"/>
    <n v="305"/>
    <n v="167"/>
    <s v="Truck"/>
    <n v="5"/>
    <x v="2"/>
    <n v="249983"/>
    <n v="3.24"/>
    <n v="10761268184"/>
  </r>
  <r>
    <x v="9"/>
    <s v="i4"/>
    <n v="2024"/>
    <x v="0"/>
    <n v="69815.81"/>
    <n v="81.099999999999994"/>
    <n v="291"/>
    <n v="172"/>
    <s v="SUV"/>
    <n v="4"/>
    <x v="0"/>
    <n v="42961"/>
    <n v="3.63"/>
    <n v="2999357013.4099998"/>
  </r>
  <r>
    <x v="9"/>
    <s v="i5"/>
    <n v="2024"/>
    <x v="2"/>
    <n v="73900.67"/>
    <n v="72.400000000000006"/>
    <n v="258"/>
    <n v="134"/>
    <s v="Coupe"/>
    <n v="5"/>
    <x v="0"/>
    <n v="78616"/>
    <n v="3.2"/>
    <n v="5809775072.7200003"/>
  </r>
  <r>
    <x v="8"/>
    <s v="F-150 Lightning"/>
    <n v="2024"/>
    <x v="2"/>
    <n v="33054.57"/>
    <n v="55.6"/>
    <n v="203"/>
    <n v="145"/>
    <s v="Truck"/>
    <n v="5"/>
    <x v="3"/>
    <n v="77480"/>
    <n v="3.1"/>
    <n v="2561068083.5999999"/>
  </r>
  <r>
    <x v="3"/>
    <s v="Dolphin"/>
    <n v="2024"/>
    <x v="0"/>
    <n v="38277.53"/>
    <n v="87.8"/>
    <n v="282"/>
    <n v="181"/>
    <s v="Coupe"/>
    <n v="5"/>
    <x v="2"/>
    <n v="237305"/>
    <n v="3.52"/>
    <n v="9083449256.6499996"/>
  </r>
  <r>
    <x v="9"/>
    <s v="i3"/>
    <n v="2024"/>
    <x v="1"/>
    <n v="73301.490000000005"/>
    <n v="109.7"/>
    <n v="367"/>
    <n v="200"/>
    <s v="Coupe"/>
    <n v="5"/>
    <x v="0"/>
    <n v="50214"/>
    <n v="3.67"/>
    <n v="3680761018.8600001"/>
  </r>
  <r>
    <x v="3"/>
    <s v="Dolphin"/>
    <n v="2024"/>
    <x v="4"/>
    <n v="100526.02"/>
    <n v="84.9"/>
    <n v="300"/>
    <n v="147"/>
    <s v="Hatchback"/>
    <n v="4"/>
    <x v="1"/>
    <n v="178707"/>
    <n v="3.53"/>
    <n v="17964703456.139999"/>
  </r>
  <r>
    <x v="3"/>
    <s v="Leaf 50X"/>
    <n v="2024"/>
    <x v="0"/>
    <n v="42041.16"/>
    <n v="108.4"/>
    <n v="373"/>
    <n v="176"/>
    <s v="Truck"/>
    <n v="3"/>
    <x v="2"/>
    <n v="120124"/>
    <n v="3.79"/>
    <n v="5050152303.8400002"/>
  </r>
  <r>
    <x v="8"/>
    <s v="E-Transit"/>
    <n v="2024"/>
    <x v="4"/>
    <n v="97929.01"/>
    <n v="50.3"/>
    <n v="198"/>
    <n v="139"/>
    <s v="SUV"/>
    <n v="5"/>
    <x v="0"/>
    <n v="20102"/>
    <n v="3.3"/>
    <n v="1968568959.02"/>
  </r>
  <r>
    <x v="11"/>
    <s v="R3"/>
    <n v="2024"/>
    <x v="1"/>
    <n v="105996.52"/>
    <n v="77.2"/>
    <n v="274"/>
    <n v="196"/>
    <s v="Hatchback"/>
    <n v="5"/>
    <x v="1"/>
    <n v="1509"/>
    <n v="3.58"/>
    <n v="159948748.68000001"/>
  </r>
  <r>
    <x v="2"/>
    <s v="Model S"/>
    <n v="2024"/>
    <x v="1"/>
    <n v="64261.34"/>
    <n v="116.7"/>
    <n v="433"/>
    <n v="200"/>
    <s v="Hatchback"/>
    <n v="3"/>
    <x v="2"/>
    <n v="145470"/>
    <n v="4.0999999999999996"/>
    <n v="9348097129.7999992"/>
  </r>
  <r>
    <x v="10"/>
    <s v="Polestar 3"/>
    <n v="2024"/>
    <x v="3"/>
    <n v="116528.23"/>
    <n v="75.599999999999994"/>
    <n v="282"/>
    <n v="144"/>
    <s v="Truck"/>
    <n v="4"/>
    <x v="1"/>
    <n v="14704"/>
    <n v="3.58"/>
    <n v="1713431093.9199998"/>
  </r>
  <r>
    <x v="14"/>
    <s v="EL6"/>
    <n v="2024"/>
    <x v="1"/>
    <n v="144156.68"/>
    <n v="92.7"/>
    <n v="331"/>
    <n v="200"/>
    <s v="Hatchback"/>
    <n v="5"/>
    <x v="1"/>
    <n v="28598"/>
    <n v="3.78"/>
    <n v="4122592734.6399999"/>
  </r>
  <r>
    <x v="2"/>
    <s v="Model X"/>
    <n v="2024"/>
    <x v="2"/>
    <n v="97305.17"/>
    <n v="40.9"/>
    <n v="150"/>
    <n v="158"/>
    <s v="Van"/>
    <n v="3"/>
    <x v="0"/>
    <n v="135420"/>
    <n v="3.42"/>
    <n v="13177066121.4"/>
  </r>
  <r>
    <x v="2"/>
    <s v="Model Y"/>
    <n v="2024"/>
    <x v="4"/>
    <n v="142240.31"/>
    <n v="46.3"/>
    <n v="166"/>
    <n v="152"/>
    <s v="Truck"/>
    <n v="5"/>
    <x v="1"/>
    <n v="461025"/>
    <n v="3.45"/>
    <n v="65576338917.75"/>
  </r>
  <r>
    <x v="8"/>
    <s v="F-150 Lightning"/>
    <n v="2024"/>
    <x v="0"/>
    <n v="88743.58"/>
    <n v="80.099999999999994"/>
    <n v="265"/>
    <n v="187"/>
    <s v="Truck"/>
    <n v="5"/>
    <x v="0"/>
    <n v="63330"/>
    <n v="3.64"/>
    <n v="5620130921.4000006"/>
  </r>
  <r>
    <x v="12"/>
    <s v="Blazer EV"/>
    <n v="2024"/>
    <x v="1"/>
    <n v="41328.5"/>
    <n v="93.2"/>
    <n v="342"/>
    <n v="186"/>
    <s v="Hatchback"/>
    <n v="5"/>
    <x v="2"/>
    <n v="18258"/>
    <n v="3.87"/>
    <n v="754575753"/>
  </r>
  <r>
    <x v="6"/>
    <s v="Kona Electric"/>
    <n v="2024"/>
    <x v="4"/>
    <n v="69523.19"/>
    <n v="77.900000000000006"/>
    <n v="274"/>
    <n v="145"/>
    <s v="Hatchback"/>
    <n v="4"/>
    <x v="0"/>
    <n v="133082"/>
    <n v="3.52"/>
    <n v="9252285171.5799999"/>
  </r>
  <r>
    <x v="3"/>
    <s v="Atto 3"/>
    <n v="2024"/>
    <x v="0"/>
    <n v="25253.73"/>
    <n v="99.1"/>
    <n v="355"/>
    <n v="167"/>
    <s v="Van"/>
    <n v="4"/>
    <x v="3"/>
    <n v="158999"/>
    <n v="3.61"/>
    <n v="4015317816.27"/>
  </r>
  <r>
    <x v="4"/>
    <s v="Q4 e-tron"/>
    <n v="2024"/>
    <x v="2"/>
    <n v="103666.6"/>
    <n v="66.400000000000006"/>
    <n v="243"/>
    <n v="141"/>
    <s v="Truck"/>
    <n v="4"/>
    <x v="1"/>
    <n v="59232"/>
    <n v="3.4"/>
    <n v="6140380051.2000008"/>
  </r>
  <r>
    <x v="9"/>
    <s v="i4"/>
    <n v="2024"/>
    <x v="3"/>
    <n v="86675.29"/>
    <n v="62.4"/>
    <n v="204"/>
    <n v="172"/>
    <s v="Truck"/>
    <n v="4"/>
    <x v="0"/>
    <n v="72572"/>
    <n v="3.35"/>
    <n v="6290199145.8799992"/>
  </r>
  <r>
    <x v="2"/>
    <s v="Model 3"/>
    <n v="2024"/>
    <x v="1"/>
    <n v="92846.92"/>
    <n v="75.3"/>
    <n v="265"/>
    <n v="180"/>
    <s v="Sedan"/>
    <n v="3"/>
    <x v="0"/>
    <n v="187727"/>
    <n v="3.9"/>
    <n v="17429873750.84"/>
  </r>
  <r>
    <x v="12"/>
    <s v="Equinox EV"/>
    <n v="2024"/>
    <x v="2"/>
    <n v="32869.42"/>
    <n v="73.8"/>
    <n v="276"/>
    <n v="157"/>
    <s v="SUV"/>
    <n v="3"/>
    <x v="3"/>
    <n v="10258"/>
    <n v="3.6"/>
    <n v="337174510.35999995"/>
  </r>
  <r>
    <x v="8"/>
    <s v="Explorer EV"/>
    <n v="2024"/>
    <x v="4"/>
    <n v="86809.78"/>
    <n v="64"/>
    <n v="201"/>
    <n v="126"/>
    <s v="Truck"/>
    <n v="4"/>
    <x v="0"/>
    <n v="40976"/>
    <n v="3"/>
    <n v="3557117545.2799997"/>
  </r>
  <r>
    <x v="5"/>
    <s v="EV9"/>
    <n v="2024"/>
    <x v="1"/>
    <n v="107669.85"/>
    <n v="101.4"/>
    <n v="345"/>
    <n v="200"/>
    <s v="SUV"/>
    <n v="5"/>
    <x v="1"/>
    <n v="128063"/>
    <n v="4.17"/>
    <n v="13788524000.550001"/>
  </r>
  <r>
    <x v="12"/>
    <s v="Bolt EV"/>
    <n v="2024"/>
    <x v="3"/>
    <n v="37659.35"/>
    <n v="52.6"/>
    <n v="166"/>
    <n v="154"/>
    <s v="Sedan"/>
    <n v="5"/>
    <x v="2"/>
    <n v="14766"/>
    <n v="3.22"/>
    <n v="556077962.10000002"/>
  </r>
  <r>
    <x v="7"/>
    <s v="ID.3"/>
    <n v="2024"/>
    <x v="0"/>
    <n v="62606.34"/>
    <n v="101.2"/>
    <n v="370"/>
    <n v="186"/>
    <s v="Coupe"/>
    <n v="4"/>
    <x v="2"/>
    <n v="233529"/>
    <n v="3.84"/>
    <n v="14620395973.859999"/>
  </r>
  <r>
    <x v="12"/>
    <s v="Silverado EV"/>
    <n v="2024"/>
    <x v="4"/>
    <n v="80871.59"/>
    <n v="62.6"/>
    <n v="196"/>
    <n v="170"/>
    <s v="Hatchback"/>
    <n v="3"/>
    <x v="0"/>
    <n v="24840"/>
    <n v="3.52"/>
    <n v="2008850295.5999999"/>
  </r>
  <r>
    <x v="5"/>
    <s v="EV9"/>
    <n v="2024"/>
    <x v="4"/>
    <n v="73063.27"/>
    <n v="55.1"/>
    <n v="176"/>
    <n v="137"/>
    <s v="SUV"/>
    <n v="5"/>
    <x v="0"/>
    <n v="143775"/>
    <n v="3.53"/>
    <n v="10504671644.25"/>
  </r>
  <r>
    <x v="9"/>
    <s v="i3"/>
    <n v="2024"/>
    <x v="1"/>
    <n v="123235.74"/>
    <n v="117.3"/>
    <n v="428"/>
    <n v="186"/>
    <s v="Truck"/>
    <n v="5"/>
    <x v="1"/>
    <n v="49531"/>
    <n v="3.97"/>
    <n v="6103989437.9400005"/>
  </r>
  <r>
    <x v="2"/>
    <s v="Cybertruck"/>
    <n v="2024"/>
    <x v="4"/>
    <n v="117988.5"/>
    <n v="65.2"/>
    <n v="250"/>
    <n v="160"/>
    <s v="Truck"/>
    <n v="4"/>
    <x v="1"/>
    <n v="117423"/>
    <n v="3.81"/>
    <n v="13854563635.5"/>
  </r>
  <r>
    <x v="5"/>
    <s v="Niro EV"/>
    <n v="2024"/>
    <x v="3"/>
    <n v="39013.49"/>
    <n v="67.3"/>
    <n v="235"/>
    <n v="171"/>
    <s v="Van"/>
    <n v="4"/>
    <x v="2"/>
    <n v="124150"/>
    <n v="3.57"/>
    <n v="4843524783.5"/>
  </r>
  <r>
    <x v="5"/>
    <s v="Picanto EV"/>
    <n v="2024"/>
    <x v="0"/>
    <n v="50328.06"/>
    <n v="106.7"/>
    <n v="389"/>
    <n v="165"/>
    <s v="Hatchback"/>
    <n v="4"/>
    <x v="2"/>
    <n v="79174"/>
    <n v="3.94"/>
    <n v="3984673822.4399996"/>
  </r>
  <r>
    <x v="2"/>
    <s v="Model X"/>
    <n v="2024"/>
    <x v="1"/>
    <n v="138879.13"/>
    <n v="102.3"/>
    <n v="358"/>
    <n v="197"/>
    <s v="Sedan"/>
    <n v="4"/>
    <x v="1"/>
    <n v="187901"/>
    <n v="4.2300000000000004"/>
    <n v="26095527406.130001"/>
  </r>
  <r>
    <x v="8"/>
    <s v="E-Transit"/>
    <n v="2024"/>
    <x v="3"/>
    <n v="81564.12"/>
    <n v="82.3"/>
    <n v="294"/>
    <n v="151"/>
    <s v="Van"/>
    <n v="5"/>
    <x v="0"/>
    <n v="70445"/>
    <n v="3.48"/>
    <n v="5745784433.3999996"/>
  </r>
  <r>
    <x v="3"/>
    <s v="Seagull"/>
    <n v="2024"/>
    <x v="3"/>
    <n v="53792.67"/>
    <n v="73.2"/>
    <n v="287"/>
    <n v="136"/>
    <s v="SUV"/>
    <n v="4"/>
    <x v="2"/>
    <n v="246202"/>
    <n v="3.6"/>
    <n v="13243862939.34"/>
  </r>
  <r>
    <x v="3"/>
    <s v="Seagull"/>
    <n v="2024"/>
    <x v="3"/>
    <n v="83643.929999999993"/>
    <n v="76.5"/>
    <n v="285"/>
    <n v="154"/>
    <s v="Van"/>
    <n v="5"/>
    <x v="0"/>
    <n v="218991"/>
    <n v="3.84"/>
    <n v="18317267874.629997"/>
  </r>
  <r>
    <x v="9"/>
    <s v="i3"/>
    <n v="2024"/>
    <x v="4"/>
    <n v="104797.89"/>
    <n v="46.5"/>
    <n v="162"/>
    <n v="160"/>
    <s v="Hatchback"/>
    <n v="5"/>
    <x v="1"/>
    <n v="26942"/>
    <n v="3.17"/>
    <n v="2823464752.3800001"/>
  </r>
  <r>
    <x v="13"/>
    <s v="EQC"/>
    <n v="2024"/>
    <x v="3"/>
    <n v="113687.69"/>
    <n v="81.5"/>
    <n v="274"/>
    <n v="128"/>
    <s v="Van"/>
    <n v="4"/>
    <x v="1"/>
    <n v="59376"/>
    <n v="3.82"/>
    <n v="6750320281.4400005"/>
  </r>
  <r>
    <x v="7"/>
    <s v="ID.4"/>
    <n v="2024"/>
    <x v="1"/>
    <n v="61036.31"/>
    <n v="77.7"/>
    <n v="243"/>
    <n v="193"/>
    <s v="Coupe"/>
    <n v="4"/>
    <x v="2"/>
    <n v="274419"/>
    <n v="3.18"/>
    <n v="16749523153.889999"/>
  </r>
  <r>
    <x v="3"/>
    <s v="Max"/>
    <n v="2024"/>
    <x v="4"/>
    <n v="105441.86"/>
    <n v="57.2"/>
    <n v="209"/>
    <n v="152"/>
    <s v="Truck"/>
    <n v="5"/>
    <x v="1"/>
    <n v="226549"/>
    <n v="3.32"/>
    <n v="23887747941.139999"/>
  </r>
  <r>
    <x v="2"/>
    <s v="Model 3"/>
    <n v="2024"/>
    <x v="4"/>
    <n v="128470.34"/>
    <n v="75.7"/>
    <n v="268"/>
    <n v="140"/>
    <s v="Truck"/>
    <n v="3"/>
    <x v="1"/>
    <n v="244654"/>
    <n v="3.62"/>
    <n v="31430782562.360001"/>
  </r>
  <r>
    <x v="14"/>
    <s v="ET6"/>
    <n v="2024"/>
    <x v="3"/>
    <n v="78059.06"/>
    <n v="66.599999999999994"/>
    <n v="252"/>
    <n v="157"/>
    <s v="SUV"/>
    <n v="5"/>
    <x v="0"/>
    <n v="24158"/>
    <n v="3.33"/>
    <n v="1885750771.48"/>
  </r>
  <r>
    <x v="7"/>
    <s v="ID.3"/>
    <n v="2024"/>
    <x v="4"/>
    <n v="49550.91"/>
    <n v="41.8"/>
    <n v="150"/>
    <n v="153"/>
    <s v="Coupe"/>
    <n v="3"/>
    <x v="2"/>
    <n v="222078"/>
    <n v="3.54"/>
    <n v="11004166990.980001"/>
  </r>
  <r>
    <x v="12"/>
    <s v="Equinox EV"/>
    <n v="2024"/>
    <x v="3"/>
    <n v="34301.370000000003"/>
    <n v="70"/>
    <n v="218"/>
    <n v="163"/>
    <s v="SUV"/>
    <n v="4"/>
    <x v="3"/>
    <n v="738"/>
    <n v="3.6"/>
    <n v="25314411.060000002"/>
  </r>
  <r>
    <x v="0"/>
    <s v="bZ4X"/>
    <n v="2024"/>
    <x v="1"/>
    <n v="66816.55"/>
    <n v="110.6"/>
    <n v="367"/>
    <n v="181"/>
    <s v="Hatchback"/>
    <n v="4"/>
    <x v="0"/>
    <n v="11062"/>
    <n v="3.79"/>
    <n v="739124676.10000002"/>
  </r>
  <r>
    <x v="13"/>
    <s v="EQS"/>
    <n v="2025"/>
    <x v="1"/>
    <n v="131074.23000000001"/>
    <n v="82.7"/>
    <n v="292"/>
    <n v="200"/>
    <s v="SUV"/>
    <n v="4"/>
    <x v="1"/>
    <n v="48277"/>
    <n v="4.1100000000000003"/>
    <n v="6327870601.71"/>
  </r>
  <r>
    <x v="12"/>
    <s v="Blazer EV"/>
    <n v="2025"/>
    <x v="2"/>
    <n v="56944.53"/>
    <n v="69.900000000000006"/>
    <n v="251"/>
    <n v="149"/>
    <s v="Van"/>
    <n v="5"/>
    <x v="2"/>
    <n v="8761"/>
    <n v="3.46"/>
    <n v="498891027.32999998"/>
  </r>
  <r>
    <x v="1"/>
    <s v="Ronin"/>
    <n v="2025"/>
    <x v="3"/>
    <n v="88914.19"/>
    <n v="66.7"/>
    <n v="232"/>
    <n v="173"/>
    <s v="Truck"/>
    <n v="3"/>
    <x v="0"/>
    <n v="2408"/>
    <n v="3.67"/>
    <n v="214105369.52000001"/>
  </r>
  <r>
    <x v="13"/>
    <s v="EQG"/>
    <n v="2025"/>
    <x v="1"/>
    <n v="210811.92"/>
    <n v="93.2"/>
    <n v="320"/>
    <n v="200"/>
    <s v="Hatchback"/>
    <n v="5"/>
    <x v="1"/>
    <n v="56039"/>
    <n v="3.59"/>
    <n v="11813689184.880001"/>
  </r>
  <r>
    <x v="5"/>
    <s v="Picanto EV"/>
    <n v="2025"/>
    <x v="4"/>
    <n v="106848.2"/>
    <n v="54.1"/>
    <n v="193"/>
    <n v="135"/>
    <s v="Coupe"/>
    <n v="4"/>
    <x v="1"/>
    <n v="85618"/>
    <n v="3.33"/>
    <n v="9148129187.6000004"/>
  </r>
  <r>
    <x v="8"/>
    <s v="Mustang Mach-E"/>
    <n v="2025"/>
    <x v="1"/>
    <n v="96527.54"/>
    <n v="75.2"/>
    <n v="286"/>
    <n v="188"/>
    <s v="Coupe"/>
    <n v="3"/>
    <x v="0"/>
    <n v="67670"/>
    <n v="3.6"/>
    <n v="6532018631.7999992"/>
  </r>
  <r>
    <x v="6"/>
    <s v="Ioniq 6"/>
    <n v="2025"/>
    <x v="1"/>
    <n v="86045.75"/>
    <n v="96.3"/>
    <n v="314"/>
    <n v="200"/>
    <s v="Hatchback"/>
    <n v="5"/>
    <x v="0"/>
    <n v="124864"/>
    <n v="3.57"/>
    <n v="10744016528"/>
  </r>
  <r>
    <x v="2"/>
    <s v="Model Y"/>
    <n v="2025"/>
    <x v="1"/>
    <n v="135780.6"/>
    <n v="105.2"/>
    <n v="383"/>
    <n v="196"/>
    <s v="Truck"/>
    <n v="5"/>
    <x v="1"/>
    <n v="411097"/>
    <n v="4.12"/>
    <n v="55818997318.200005"/>
  </r>
  <r>
    <x v="2"/>
    <s v="Model X"/>
    <n v="2025"/>
    <x v="2"/>
    <n v="110771.86"/>
    <n v="52.9"/>
    <n v="177"/>
    <n v="151"/>
    <s v="SUV"/>
    <n v="4"/>
    <x v="1"/>
    <n v="179640"/>
    <n v="3.42"/>
    <n v="19899056930.400002"/>
  </r>
  <r>
    <x v="8"/>
    <s v="E-Transit"/>
    <n v="2025"/>
    <x v="1"/>
    <n v="69597.509999999995"/>
    <n v="106.2"/>
    <n v="361"/>
    <n v="192"/>
    <s v="Sedan"/>
    <n v="5"/>
    <x v="0"/>
    <n v="24574"/>
    <n v="3.79"/>
    <n v="1710289210.7399998"/>
  </r>
  <r>
    <x v="3"/>
    <s v="Leaf 50X"/>
    <n v="2025"/>
    <x v="3"/>
    <n v="31434.26"/>
    <n v="60.6"/>
    <n v="229"/>
    <n v="136"/>
    <s v="Hatchback"/>
    <n v="4"/>
    <x v="3"/>
    <n v="242953"/>
    <n v="3.29"/>
    <n v="7637047769.7799997"/>
  </r>
  <r>
    <x v="9"/>
    <s v="i7"/>
    <n v="2025"/>
    <x v="1"/>
    <n v="156773.89000000001"/>
    <n v="81.400000000000006"/>
    <n v="266"/>
    <n v="190"/>
    <s v="Truck"/>
    <n v="5"/>
    <x v="1"/>
    <n v="58126"/>
    <n v="3.6"/>
    <n v="9112639130.1400013"/>
  </r>
  <r>
    <x v="6"/>
    <s v="Ioniq 6"/>
    <n v="2025"/>
    <x v="3"/>
    <n v="69769.460000000006"/>
    <n v="63.2"/>
    <n v="212"/>
    <n v="133"/>
    <s v="Hatchback"/>
    <n v="4"/>
    <x v="0"/>
    <n v="50147"/>
    <n v="3.21"/>
    <n v="3498729110.6200004"/>
  </r>
  <r>
    <x v="4"/>
    <s v="e-tron GT"/>
    <n v="2025"/>
    <x v="3"/>
    <n v="53762.11"/>
    <n v="52.1"/>
    <n v="156"/>
    <n v="154"/>
    <s v="Coupe"/>
    <n v="4"/>
    <x v="2"/>
    <n v="69650"/>
    <n v="3.68"/>
    <n v="3744530961.5"/>
  </r>
  <r>
    <x v="3"/>
    <s v="Atto 3"/>
    <n v="2025"/>
    <x v="2"/>
    <n v="26682.38"/>
    <n v="53.9"/>
    <n v="199"/>
    <n v="137"/>
    <s v="Truck"/>
    <n v="4"/>
    <x v="3"/>
    <n v="158602"/>
    <n v="3.26"/>
    <n v="4231878832.7600002"/>
  </r>
  <r>
    <x v="6"/>
    <s v="Ioniq"/>
    <n v="2025"/>
    <x v="2"/>
    <n v="45100.09"/>
    <n v="79.5"/>
    <n v="257"/>
    <n v="174"/>
    <s v="Hatchback"/>
    <n v="4"/>
    <x v="2"/>
    <n v="128526"/>
    <n v="3.61"/>
    <n v="5796534167.3399992"/>
  </r>
  <r>
    <x v="14"/>
    <s v="ET6"/>
    <n v="2025"/>
    <x v="1"/>
    <n v="60624.73"/>
    <n v="82.4"/>
    <n v="278"/>
    <n v="200"/>
    <s v="SUV"/>
    <n v="4"/>
    <x v="2"/>
    <n v="8857"/>
    <n v="3.49"/>
    <n v="536953233.61000001"/>
  </r>
  <r>
    <x v="4"/>
    <s v="e-tron GT"/>
    <n v="2025"/>
    <x v="2"/>
    <n v="63332.23"/>
    <n v="84.4"/>
    <n v="310"/>
    <n v="162"/>
    <s v="Coupe"/>
    <n v="5"/>
    <x v="2"/>
    <n v="62327"/>
    <n v="3.85"/>
    <n v="3947307899.21"/>
  </r>
  <r>
    <x v="2"/>
    <s v="Model X"/>
    <n v="2025"/>
    <x v="2"/>
    <n v="73015.63"/>
    <n v="82.4"/>
    <n v="304"/>
    <n v="156"/>
    <s v="Truck"/>
    <n v="5"/>
    <x v="0"/>
    <n v="173406"/>
    <n v="3.75"/>
    <n v="12661348335.780001"/>
  </r>
  <r>
    <x v="2"/>
    <s v="Cybertruck"/>
    <n v="2025"/>
    <x v="1"/>
    <n v="117415.98"/>
    <n v="78.099999999999994"/>
    <n v="263"/>
    <n v="200"/>
    <s v="Truck"/>
    <n v="5"/>
    <x v="1"/>
    <n v="183531"/>
    <n v="3.7"/>
    <n v="21549472225.380001"/>
  </r>
  <r>
    <x v="2"/>
    <s v="Model 3"/>
    <n v="2025"/>
    <x v="3"/>
    <n v="71316.86"/>
    <n v="73.900000000000006"/>
    <n v="249"/>
    <n v="144"/>
    <s v="SUV"/>
    <n v="5"/>
    <x v="0"/>
    <n v="242716"/>
    <n v="3.7"/>
    <n v="17309742991.759998"/>
  </r>
  <r>
    <x v="3"/>
    <s v="Leaf 50X"/>
    <n v="2025"/>
    <x v="2"/>
    <n v="59005.52"/>
    <n v="58.4"/>
    <n v="200"/>
    <n v="137"/>
    <s v="Van"/>
    <n v="5"/>
    <x v="2"/>
    <n v="127516"/>
    <n v="3.31"/>
    <n v="7524147888.3199997"/>
  </r>
  <r>
    <x v="13"/>
    <s v="EQC"/>
    <n v="2025"/>
    <x v="1"/>
    <n v="188302.14"/>
    <n v="78.5"/>
    <n v="277"/>
    <n v="185"/>
    <s v="Coupe"/>
    <n v="4"/>
    <x v="1"/>
    <n v="43172"/>
    <n v="4"/>
    <n v="8129379988.0800009"/>
  </r>
  <r>
    <x v="2"/>
    <s v="Model Y"/>
    <n v="2025"/>
    <x v="1"/>
    <n v="43196.41"/>
    <n v="111.9"/>
    <n v="408"/>
    <n v="197"/>
    <s v="Truck"/>
    <n v="5"/>
    <x v="2"/>
    <n v="437912"/>
    <n v="4.03"/>
    <n v="18916226295.920002"/>
  </r>
  <r>
    <x v="8"/>
    <s v="E-Transit"/>
    <n v="2025"/>
    <x v="4"/>
    <n v="45539.59"/>
    <n v="55.1"/>
    <n v="198"/>
    <n v="173"/>
    <s v="Hatchback"/>
    <n v="5"/>
    <x v="2"/>
    <n v="26865"/>
    <n v="3"/>
    <n v="1223421085.3499999"/>
  </r>
  <r>
    <x v="12"/>
    <s v="Bolt EUV"/>
    <n v="2025"/>
    <x v="1"/>
    <n v="102049.38"/>
    <n v="116.6"/>
    <n v="395"/>
    <n v="192"/>
    <s v="Van"/>
    <n v="4"/>
    <x v="1"/>
    <n v="7957"/>
    <n v="4.16"/>
    <n v="812006916.66000009"/>
  </r>
  <r>
    <x v="7"/>
    <s v="ID.3"/>
    <n v="2025"/>
    <x v="2"/>
    <n v="38889.440000000002"/>
    <n v="65"/>
    <n v="231"/>
    <n v="160"/>
    <s v="Sedan"/>
    <n v="5"/>
    <x v="2"/>
    <n v="293320"/>
    <n v="3.41"/>
    <n v="11407050540.800001"/>
  </r>
  <r>
    <x v="2"/>
    <s v="Model 3"/>
    <n v="2025"/>
    <x v="1"/>
    <n v="169366.43"/>
    <n v="117.4"/>
    <n v="416"/>
    <n v="200"/>
    <s v="SUV"/>
    <n v="5"/>
    <x v="1"/>
    <n v="248754"/>
    <n v="4.09"/>
    <n v="42130576928.220001"/>
  </r>
  <r>
    <x v="6"/>
    <s v="Ioniq 5"/>
    <n v="2025"/>
    <x v="1"/>
    <n v="57904.84"/>
    <n v="80.5"/>
    <n v="286"/>
    <n v="200"/>
    <s v="Sedan"/>
    <n v="4"/>
    <x v="2"/>
    <n v="68118"/>
    <n v="3.73"/>
    <n v="3944361891.1199999"/>
  </r>
  <r>
    <x v="6"/>
    <s v="Ioniq 6"/>
    <n v="2025"/>
    <x v="1"/>
    <n v="45837.99"/>
    <n v="84.4"/>
    <n v="306"/>
    <n v="192"/>
    <s v="Sedan"/>
    <n v="5"/>
    <x v="2"/>
    <n v="96533"/>
    <n v="3.3"/>
    <n v="4424878688.6700001"/>
  </r>
  <r>
    <x v="4"/>
    <s v="e-tron"/>
    <n v="2025"/>
    <x v="4"/>
    <n v="80343.06"/>
    <n v="66.3"/>
    <n v="231"/>
    <n v="161"/>
    <s v="Van"/>
    <n v="5"/>
    <x v="0"/>
    <n v="43236"/>
    <n v="3.38"/>
    <n v="3473712542.1599998"/>
  </r>
  <r>
    <x v="3"/>
    <s v="Leaf 50X"/>
    <n v="2025"/>
    <x v="2"/>
    <n v="75747.87"/>
    <n v="69.2"/>
    <n v="279"/>
    <n v="154"/>
    <s v="Sedan"/>
    <n v="3"/>
    <x v="0"/>
    <n v="114789"/>
    <n v="3.65"/>
    <n v="8695022249.4300003"/>
  </r>
  <r>
    <x v="3"/>
    <s v="Qin"/>
    <n v="2025"/>
    <x v="0"/>
    <n v="61700.639999999999"/>
    <n v="101.3"/>
    <n v="351"/>
    <n v="175"/>
    <s v="SUV"/>
    <n v="5"/>
    <x v="2"/>
    <n v="190763"/>
    <n v="4"/>
    <n v="11770199188.32"/>
  </r>
  <r>
    <x v="2"/>
    <s v="Model 3"/>
    <n v="2025"/>
    <x v="4"/>
    <n v="152706.13"/>
    <n v="77.099999999999994"/>
    <n v="260"/>
    <n v="155"/>
    <s v="SUV"/>
    <n v="4"/>
    <x v="1"/>
    <n v="172494"/>
    <n v="3.77"/>
    <n v="26340891188.220001"/>
  </r>
  <r>
    <x v="8"/>
    <s v="F-150 Lightning"/>
    <n v="2025"/>
    <x v="2"/>
    <n v="57536.04"/>
    <n v="73.3"/>
    <n v="254"/>
    <n v="139"/>
    <s v="Truck"/>
    <n v="4"/>
    <x v="2"/>
    <n v="44164"/>
    <n v="3.54"/>
    <n v="2541021670.5599999"/>
  </r>
  <r>
    <x v="9"/>
    <s v="i3"/>
    <n v="2025"/>
    <x v="1"/>
    <n v="162822.68"/>
    <n v="70.599999999999994"/>
    <n v="255"/>
    <n v="200"/>
    <s v="Truck"/>
    <n v="5"/>
    <x v="1"/>
    <n v="48304"/>
    <n v="3.22"/>
    <n v="7864986734.7199993"/>
  </r>
  <r>
    <x v="4"/>
    <s v="e-tron"/>
    <n v="2025"/>
    <x v="3"/>
    <n v="72972.25"/>
    <n v="58"/>
    <n v="223"/>
    <n v="139"/>
    <s v="SUV"/>
    <n v="5"/>
    <x v="0"/>
    <n v="23427"/>
    <n v="3.35"/>
    <n v="1709520900.75"/>
  </r>
  <r>
    <x v="6"/>
    <s v="i30"/>
    <n v="2025"/>
    <x v="1"/>
    <n v="97964.98"/>
    <n v="106.9"/>
    <n v="392"/>
    <n v="192"/>
    <s v="Truck"/>
    <n v="4"/>
    <x v="0"/>
    <n v="98285"/>
    <n v="3.82"/>
    <n v="9628488059.2999992"/>
  </r>
  <r>
    <x v="7"/>
    <s v="ID. Buzz"/>
    <n v="2025"/>
    <x v="3"/>
    <n v="60229.21"/>
    <n v="40.6"/>
    <n v="150"/>
    <n v="145"/>
    <s v="SUV"/>
    <n v="5"/>
    <x v="2"/>
    <n v="215577"/>
    <n v="3.2"/>
    <n v="12984032404.17"/>
  </r>
  <r>
    <x v="3"/>
    <s v="Leaf 50X"/>
    <n v="2025"/>
    <x v="4"/>
    <n v="41881.699999999997"/>
    <n v="82.8"/>
    <n v="280"/>
    <n v="138"/>
    <s v="SUV"/>
    <n v="4"/>
    <x v="2"/>
    <n v="128802"/>
    <n v="3.46"/>
    <n v="5394446723.3999996"/>
  </r>
  <r>
    <x v="3"/>
    <s v="Atto 3"/>
    <n v="2025"/>
    <x v="0"/>
    <n v="90653.56"/>
    <n v="81.3"/>
    <n v="304"/>
    <n v="164"/>
    <s v="Van"/>
    <n v="5"/>
    <x v="0"/>
    <n v="227338"/>
    <n v="3.64"/>
    <n v="20608999023.279999"/>
  </r>
  <r>
    <x v="3"/>
    <s v="Dolphin"/>
    <n v="2025"/>
    <x v="0"/>
    <n v="27390.16"/>
    <n v="86"/>
    <n v="278"/>
    <n v="187"/>
    <s v="Coupe"/>
    <n v="4"/>
    <x v="3"/>
    <n v="146828"/>
    <n v="3.67"/>
    <n v="4021642412.48"/>
  </r>
  <r>
    <x v="6"/>
    <s v="Ioniq 5"/>
    <n v="2025"/>
    <x v="0"/>
    <n v="94028.85"/>
    <n v="102.7"/>
    <n v="334"/>
    <n v="194"/>
    <s v="SUV"/>
    <n v="4"/>
    <x v="0"/>
    <n v="71912"/>
    <n v="3.59"/>
    <n v="6761802661.2000008"/>
  </r>
  <r>
    <x v="12"/>
    <s v="Bolt EV"/>
    <n v="2025"/>
    <x v="4"/>
    <n v="59620.99"/>
    <n v="44.8"/>
    <n v="150"/>
    <n v="142"/>
    <s v="Coupe"/>
    <n v="5"/>
    <x v="2"/>
    <n v="21979"/>
    <n v="3.27"/>
    <n v="1310409739.21"/>
  </r>
  <r>
    <x v="7"/>
    <s v="ID. Buzz"/>
    <n v="2025"/>
    <x v="1"/>
    <n v="78713.929999999993"/>
    <n v="85.5"/>
    <n v="300"/>
    <n v="200"/>
    <s v="Truck"/>
    <n v="4"/>
    <x v="0"/>
    <n v="216549"/>
    <n v="3.66"/>
    <n v="17045422827.569998"/>
  </r>
  <r>
    <x v="0"/>
    <s v="bZ4X"/>
    <n v="2025"/>
    <x v="1"/>
    <n v="62345.64"/>
    <n v="105.4"/>
    <n v="377"/>
    <n v="200"/>
    <s v="Truck"/>
    <n v="5"/>
    <x v="2"/>
    <n v="15819"/>
    <n v="4.18"/>
    <n v="986245679.15999997"/>
  </r>
  <r>
    <x v="6"/>
    <s v="Kona Electric"/>
    <n v="2025"/>
    <x v="0"/>
    <n v="40497.64"/>
    <n v="109"/>
    <n v="417"/>
    <n v="177"/>
    <s v="SUV"/>
    <n v="3"/>
    <x v="2"/>
    <n v="61921"/>
    <n v="3.92"/>
    <n v="2507654366.4400001"/>
  </r>
  <r>
    <x v="2"/>
    <s v="Model S"/>
    <n v="2025"/>
    <x v="3"/>
    <n v="67489.81"/>
    <n v="67.099999999999994"/>
    <n v="239"/>
    <n v="146"/>
    <s v="Coupe"/>
    <n v="4"/>
    <x v="0"/>
    <n v="226745"/>
    <n v="3.61"/>
    <n v="15302976968.449999"/>
  </r>
  <r>
    <x v="5"/>
    <s v="Sportage EV"/>
    <n v="2025"/>
    <x v="1"/>
    <n v="99993.15"/>
    <n v="93.7"/>
    <n v="336"/>
    <n v="196"/>
    <s v="SUV"/>
    <n v="4"/>
    <x v="0"/>
    <n v="52100"/>
    <n v="3.59"/>
    <n v="5209643115"/>
  </r>
  <r>
    <x v="6"/>
    <s v="i30"/>
    <n v="2025"/>
    <x v="2"/>
    <n v="51159.74"/>
    <n v="75.599999999999994"/>
    <n v="278"/>
    <n v="153"/>
    <s v="Van"/>
    <n v="5"/>
    <x v="2"/>
    <n v="89226"/>
    <n v="3.67"/>
    <n v="4564778961.2399998"/>
  </r>
  <r>
    <x v="12"/>
    <s v="Blazer EV"/>
    <n v="2025"/>
    <x v="3"/>
    <n v="46970.49"/>
    <n v="53.9"/>
    <n v="191"/>
    <n v="174"/>
    <s v="SUV"/>
    <n v="4"/>
    <x v="2"/>
    <n v="6914"/>
    <n v="3.21"/>
    <n v="324753967.86000001"/>
  </r>
  <r>
    <x v="7"/>
    <s v="ID. Buzz"/>
    <n v="2025"/>
    <x v="0"/>
    <n v="93619.57"/>
    <n v="83.5"/>
    <n v="289"/>
    <n v="172"/>
    <s v="Sedan"/>
    <n v="5"/>
    <x v="0"/>
    <n v="222583"/>
    <n v="3.38"/>
    <n v="20838124749.310001"/>
  </r>
  <r>
    <x v="9"/>
    <s v="iX"/>
    <n v="2025"/>
    <x v="0"/>
    <n v="124852.49"/>
    <n v="85.3"/>
    <n v="324"/>
    <n v="158"/>
    <s v="Sedan"/>
    <n v="3"/>
    <x v="1"/>
    <n v="51096"/>
    <n v="3.39"/>
    <n v="6379462829.04"/>
  </r>
  <r>
    <x v="9"/>
    <s v="i5"/>
    <n v="2025"/>
    <x v="3"/>
    <n v="97046.62"/>
    <n v="60"/>
    <n v="209"/>
    <n v="131"/>
    <s v="Hatchback"/>
    <n v="5"/>
    <x v="0"/>
    <n v="66065"/>
    <n v="3.41"/>
    <n v="6411384950.2999992"/>
  </r>
  <r>
    <x v="6"/>
    <s v="Kona Electric"/>
    <n v="2025"/>
    <x v="0"/>
    <n v="43168.2"/>
    <n v="97.5"/>
    <n v="334"/>
    <n v="179"/>
    <s v="Van"/>
    <n v="4"/>
    <x v="2"/>
    <n v="84174"/>
    <n v="3.27"/>
    <n v="3633640066.7999997"/>
  </r>
  <r>
    <x v="7"/>
    <s v="ID.4"/>
    <n v="2025"/>
    <x v="4"/>
    <n v="67323.210000000006"/>
    <n v="57.6"/>
    <n v="187"/>
    <n v="172"/>
    <s v="Van"/>
    <n v="5"/>
    <x v="0"/>
    <n v="295974"/>
    <n v="3.47"/>
    <n v="19925919756.540001"/>
  </r>
  <r>
    <x v="14"/>
    <s v="ET6"/>
    <n v="2025"/>
    <x v="0"/>
    <n v="108463.22"/>
    <n v="80"/>
    <n v="263"/>
    <n v="200"/>
    <s v="SUV"/>
    <n v="3"/>
    <x v="1"/>
    <n v="18130"/>
    <n v="3.2"/>
    <n v="1966438178.5999999"/>
  </r>
  <r>
    <x v="2"/>
    <s v="Model X"/>
    <n v="2025"/>
    <x v="2"/>
    <n v="71274.600000000006"/>
    <n v="49.2"/>
    <n v="150"/>
    <n v="160"/>
    <s v="Van"/>
    <n v="5"/>
    <x v="0"/>
    <n v="132658"/>
    <n v="3.6"/>
    <n v="9455145886.8000011"/>
  </r>
  <r>
    <x v="2"/>
    <s v="Model 3"/>
    <n v="2025"/>
    <x v="3"/>
    <n v="132101.43"/>
    <n v="47.9"/>
    <n v="150"/>
    <n v="144"/>
    <s v="SUV"/>
    <n v="5"/>
    <x v="1"/>
    <n v="220080"/>
    <n v="3.43"/>
    <n v="29072882714.399998"/>
  </r>
  <r>
    <x v="9"/>
    <s v="i5"/>
    <n v="2025"/>
    <x v="4"/>
    <n v="71335.77"/>
    <n v="45.4"/>
    <n v="168"/>
    <n v="143"/>
    <s v="Hatchback"/>
    <n v="4"/>
    <x v="0"/>
    <n v="26069"/>
    <n v="3.19"/>
    <n v="1859652188.1300001"/>
  </r>
  <r>
    <x v="3"/>
    <s v="Dolphin"/>
    <n v="2025"/>
    <x v="2"/>
    <n v="62107.839999999997"/>
    <n v="82.5"/>
    <n v="291"/>
    <n v="142"/>
    <s v="Truck"/>
    <n v="4"/>
    <x v="2"/>
    <n v="129397"/>
    <n v="3.55"/>
    <n v="8036568172.4799995"/>
  </r>
  <r>
    <x v="4"/>
    <s v="e-tron GT"/>
    <n v="2025"/>
    <x v="0"/>
    <n v="70111.179999999993"/>
    <n v="75.599999999999994"/>
    <n v="262"/>
    <n v="166"/>
    <s v="Coupe"/>
    <n v="3"/>
    <x v="0"/>
    <n v="79614"/>
    <n v="3.53"/>
    <n v="5581831484.5199995"/>
  </r>
  <r>
    <x v="4"/>
    <s v="Q6 e-tron"/>
    <n v="2025"/>
    <x v="4"/>
    <n v="138510.75"/>
    <n v="62.7"/>
    <n v="204"/>
    <n v="133"/>
    <s v="Coupe"/>
    <n v="4"/>
    <x v="1"/>
    <n v="58972"/>
    <n v="3.24"/>
    <n v="8168255949"/>
  </r>
  <r>
    <x v="4"/>
    <s v="e-tron GT"/>
    <n v="2025"/>
    <x v="2"/>
    <n v="104530.78"/>
    <n v="61.3"/>
    <n v="194"/>
    <n v="135"/>
    <s v="SUV"/>
    <n v="5"/>
    <x v="1"/>
    <n v="52472"/>
    <n v="3.51"/>
    <n v="5484939088.1599998"/>
  </r>
  <r>
    <x v="4"/>
    <s v="Q6 e-tron"/>
    <n v="2025"/>
    <x v="0"/>
    <n v="97248.51"/>
    <n v="90.6"/>
    <n v="304"/>
    <n v="168"/>
    <s v="Van"/>
    <n v="5"/>
    <x v="0"/>
    <n v="46587"/>
    <n v="3.19"/>
    <n v="4530516335.3699999"/>
  </r>
  <r>
    <x v="9"/>
    <s v="iX"/>
    <n v="2025"/>
    <x v="3"/>
    <n v="55554.9"/>
    <n v="41.7"/>
    <n v="151"/>
    <n v="173"/>
    <s v="Van"/>
    <n v="5"/>
    <x v="2"/>
    <n v="69514"/>
    <n v="3.1"/>
    <n v="3861843318.5999999"/>
  </r>
  <r>
    <x v="2"/>
    <s v="Model Y"/>
    <n v="2025"/>
    <x v="2"/>
    <n v="42292.45"/>
    <n v="67.3"/>
    <n v="240"/>
    <n v="159"/>
    <s v="Truck"/>
    <n v="4"/>
    <x v="2"/>
    <n v="472726"/>
    <n v="3.66"/>
    <n v="19992740718.699997"/>
  </r>
  <r>
    <x v="5"/>
    <s v="EV9"/>
    <n v="2025"/>
    <x v="3"/>
    <n v="77483.58"/>
    <n v="46.2"/>
    <n v="176"/>
    <n v="133"/>
    <s v="SUV"/>
    <n v="3"/>
    <x v="0"/>
    <n v="116585"/>
    <n v="3.02"/>
    <n v="9033423174.3000011"/>
  </r>
  <r>
    <x v="2"/>
    <s v="Model X"/>
    <n v="2025"/>
    <x v="4"/>
    <n v="112066.22"/>
    <n v="43.2"/>
    <n v="167"/>
    <n v="134"/>
    <s v="Van"/>
    <n v="4"/>
    <x v="1"/>
    <n v="245565"/>
    <n v="3.75"/>
    <n v="27519541314.299999"/>
  </r>
  <r>
    <x v="3"/>
    <s v="Seagull"/>
    <n v="2025"/>
    <x v="2"/>
    <n v="67469.58"/>
    <n v="57.5"/>
    <n v="191"/>
    <n v="138"/>
    <s v="Hatchback"/>
    <n v="4"/>
    <x v="0"/>
    <n v="179136"/>
    <n v="3.46"/>
    <n v="12086230682.880001"/>
  </r>
  <r>
    <x v="3"/>
    <s v="Seagull"/>
    <n v="2025"/>
    <x v="0"/>
    <n v="48990.53"/>
    <n v="99.3"/>
    <n v="357"/>
    <n v="156"/>
    <s v="SUV"/>
    <n v="4"/>
    <x v="2"/>
    <n v="211809"/>
    <n v="3.67"/>
    <n v="10376635168.77"/>
  </r>
  <r>
    <x v="13"/>
    <s v="GLE EV"/>
    <n v="2025"/>
    <x v="0"/>
    <n v="122338.76"/>
    <n v="85.1"/>
    <n v="270"/>
    <n v="193"/>
    <s v="Hatchback"/>
    <n v="3"/>
    <x v="1"/>
    <n v="52641"/>
    <n v="4.0599999999999996"/>
    <n v="6440034665.1599998"/>
  </r>
  <r>
    <x v="3"/>
    <s v="Seagull"/>
    <n v="2025"/>
    <x v="0"/>
    <n v="24414.35"/>
    <n v="86.4"/>
    <n v="281"/>
    <n v="175"/>
    <s v="Sedan"/>
    <n v="5"/>
    <x v="3"/>
    <n v="228388"/>
    <n v="3.55"/>
    <n v="5575944567.7999992"/>
  </r>
  <r>
    <x v="7"/>
    <s v="ID. Buzz"/>
    <n v="2025"/>
    <x v="0"/>
    <n v="52579.97"/>
    <n v="94.8"/>
    <n v="325"/>
    <n v="171"/>
    <s v="Hatchback"/>
    <n v="3"/>
    <x v="2"/>
    <n v="238272"/>
    <n v="3.57"/>
    <n v="12528334611.84"/>
  </r>
  <r>
    <x v="4"/>
    <s v="Q4 e-tron"/>
    <n v="2025"/>
    <x v="2"/>
    <n v="81941.39"/>
    <n v="40.200000000000003"/>
    <n v="150"/>
    <n v="166"/>
    <s v="Coupe"/>
    <n v="5"/>
    <x v="0"/>
    <n v="77358"/>
    <n v="3"/>
    <n v="6338822047.6199999"/>
  </r>
  <r>
    <x v="8"/>
    <s v="Mustang Mach-E"/>
    <n v="2025"/>
    <x v="3"/>
    <n v="56042.09"/>
    <n v="79.5"/>
    <n v="293"/>
    <n v="157"/>
    <s v="SUV"/>
    <n v="3"/>
    <x v="2"/>
    <n v="69874"/>
    <n v="3.35"/>
    <n v="3915884996.6599998"/>
  </r>
  <r>
    <x v="6"/>
    <s v="Ioniq 5"/>
    <n v="2025"/>
    <x v="2"/>
    <n v="61128.92"/>
    <n v="46.1"/>
    <n v="180"/>
    <n v="153"/>
    <s v="Van"/>
    <n v="5"/>
    <x v="2"/>
    <n v="110095"/>
    <n v="3.32"/>
    <n v="6729988447.3999996"/>
  </r>
  <r>
    <x v="12"/>
    <s v="Equinox EV"/>
    <n v="2025"/>
    <x v="3"/>
    <n v="32070.17"/>
    <n v="44.1"/>
    <n v="158"/>
    <n v="161"/>
    <s v="SUV"/>
    <n v="4"/>
    <x v="3"/>
    <n v="1331"/>
    <n v="3.29"/>
    <n v="42685396.269999996"/>
  </r>
  <r>
    <x v="9"/>
    <s v="i5"/>
    <n v="2025"/>
    <x v="1"/>
    <n v="132666.57999999999"/>
    <n v="82"/>
    <n v="299"/>
    <n v="194"/>
    <s v="Van"/>
    <n v="5"/>
    <x v="1"/>
    <n v="71584"/>
    <n v="3.74"/>
    <n v="9496804462.7199993"/>
  </r>
  <r>
    <x v="3"/>
    <s v="Yuan Plus"/>
    <n v="2025"/>
    <x v="0"/>
    <n v="48600.01"/>
    <n v="81.400000000000006"/>
    <n v="288"/>
    <n v="167"/>
    <s v="Sedan"/>
    <n v="4"/>
    <x v="2"/>
    <n v="222634"/>
    <n v="3.67"/>
    <n v="10820014626.34"/>
  </r>
  <r>
    <x v="2"/>
    <s v="Cybertruck"/>
    <n v="2025"/>
    <x v="1"/>
    <n v="116077.71"/>
    <n v="118.6"/>
    <n v="428"/>
    <n v="189"/>
    <s v="Truck"/>
    <n v="5"/>
    <x v="1"/>
    <n v="150657"/>
    <n v="4.24"/>
    <n v="17487919555.470001"/>
  </r>
  <r>
    <x v="5"/>
    <s v="EV9"/>
    <n v="2025"/>
    <x v="0"/>
    <n v="56772.77"/>
    <n v="100.2"/>
    <n v="356"/>
    <n v="167"/>
    <s v="SUV"/>
    <n v="4"/>
    <x v="2"/>
    <n v="99235"/>
    <n v="3.69"/>
    <n v="5633845830.9499998"/>
  </r>
  <r>
    <x v="14"/>
    <s v="EL8"/>
    <n v="2025"/>
    <x v="4"/>
    <n v="87478.76"/>
    <n v="48.6"/>
    <n v="172"/>
    <n v="164"/>
    <s v="SUV"/>
    <n v="4"/>
    <x v="0"/>
    <n v="16505"/>
    <n v="3.43"/>
    <n v="1443836933.8"/>
  </r>
  <r>
    <x v="12"/>
    <s v="Bolt EUV"/>
    <n v="2025"/>
    <x v="0"/>
    <n v="68470.14"/>
    <n v="87.2"/>
    <n v="293"/>
    <n v="157"/>
    <s v="Van"/>
    <n v="4"/>
    <x v="0"/>
    <n v="14899"/>
    <n v="3.33"/>
    <n v="1020136615.86"/>
  </r>
  <r>
    <x v="5"/>
    <s v="EV9"/>
    <n v="2025"/>
    <x v="4"/>
    <n v="89987.27"/>
    <n v="70.400000000000006"/>
    <n v="245"/>
    <n v="174"/>
    <s v="SUV"/>
    <n v="4"/>
    <x v="0"/>
    <n v="123485"/>
    <n v="3.47"/>
    <n v="11112078035.950001"/>
  </r>
  <r>
    <x v="17"/>
    <s v="XC90 Recharge"/>
    <n v="2025"/>
    <x v="1"/>
    <n v="106316.66"/>
    <n v="104.3"/>
    <n v="367"/>
    <n v="193"/>
    <s v="Van"/>
    <n v="5"/>
    <x v="1"/>
    <n v="8684"/>
    <n v="3.86"/>
    <n v="923253875.44000006"/>
  </r>
  <r>
    <x v="2"/>
    <s v="Model Y"/>
    <n v="2025"/>
    <x v="4"/>
    <n v="83799.48"/>
    <n v="74.599999999999994"/>
    <n v="276"/>
    <n v="153"/>
    <s v="Truck"/>
    <n v="5"/>
    <x v="0"/>
    <n v="427228"/>
    <n v="4.1500000000000004"/>
    <n v="35801484241.439995"/>
  </r>
  <r>
    <x v="12"/>
    <s v="Equinox EV"/>
    <n v="2025"/>
    <x v="1"/>
    <n v="101369.89"/>
    <n v="89.3"/>
    <n v="325"/>
    <n v="195"/>
    <s v="SUV"/>
    <n v="3"/>
    <x v="1"/>
    <n v="27681"/>
    <n v="3.35"/>
    <n v="2806019925.0900002"/>
  </r>
  <r>
    <x v="12"/>
    <s v="Blazer EV"/>
    <n v="2025"/>
    <x v="2"/>
    <n v="61000.06"/>
    <n v="63.4"/>
    <n v="250"/>
    <n v="151"/>
    <s v="Truck"/>
    <n v="4"/>
    <x v="2"/>
    <n v="3536"/>
    <n v="3.69"/>
    <n v="215696212.16"/>
  </r>
  <r>
    <x v="12"/>
    <s v="Silverado EV"/>
    <n v="2025"/>
    <x v="4"/>
    <n v="56307.41"/>
    <n v="55"/>
    <n v="193"/>
    <n v="155"/>
    <s v="Sedan"/>
    <n v="4"/>
    <x v="2"/>
    <n v="25746"/>
    <n v="3.34"/>
    <n v="1449690577.8600001"/>
  </r>
  <r>
    <x v="8"/>
    <s v="Explorer EV"/>
    <n v="2025"/>
    <x v="0"/>
    <n v="92751.53"/>
    <n v="76.2"/>
    <n v="247"/>
    <n v="178"/>
    <s v="Truck"/>
    <n v="4"/>
    <x v="0"/>
    <n v="70352"/>
    <n v="3.3"/>
    <n v="6525255638.5599995"/>
  </r>
  <r>
    <x v="6"/>
    <s v="Ioniq 6"/>
    <n v="2025"/>
    <x v="0"/>
    <n v="37714.46"/>
    <n v="105.8"/>
    <n v="359"/>
    <n v="170"/>
    <s v="Truck"/>
    <n v="4"/>
    <x v="2"/>
    <n v="77052"/>
    <n v="3.86"/>
    <n v="2905974571.9200001"/>
  </r>
  <r>
    <x v="9"/>
    <s v="i7"/>
    <n v="2025"/>
    <x v="4"/>
    <n v="150512.16"/>
    <n v="44.6"/>
    <n v="150"/>
    <n v="170"/>
    <s v="Hatchback"/>
    <n v="4"/>
    <x v="1"/>
    <n v="47379"/>
    <n v="3.31"/>
    <n v="7131115628.6400003"/>
  </r>
  <r>
    <x v="8"/>
    <s v="F-150 Lightning"/>
    <n v="2025"/>
    <x v="0"/>
    <n v="66474.899999999994"/>
    <n v="78.5"/>
    <n v="273"/>
    <n v="168"/>
    <s v="Truck"/>
    <n v="4"/>
    <x v="0"/>
    <n v="43803"/>
    <n v="3.47"/>
    <n v="2911800044.6999998"/>
  </r>
  <r>
    <x v="3"/>
    <s v="Dolphin"/>
    <n v="2025"/>
    <x v="2"/>
    <n v="42876.18"/>
    <n v="78.3"/>
    <n v="263"/>
    <n v="161"/>
    <s v="SUV"/>
    <n v="5"/>
    <x v="2"/>
    <n v="158327"/>
    <n v="3.29"/>
    <n v="6788456950.8599997"/>
  </r>
  <r>
    <x v="5"/>
    <s v="EV6"/>
    <n v="2025"/>
    <x v="1"/>
    <n v="117331.76"/>
    <n v="116.3"/>
    <n v="411"/>
    <n v="200"/>
    <s v="Coupe"/>
    <n v="4"/>
    <x v="1"/>
    <n v="108933"/>
    <n v="3.59"/>
    <n v="12781300612.08"/>
  </r>
  <r>
    <x v="5"/>
    <s v="EV6"/>
    <n v="2025"/>
    <x v="2"/>
    <n v="74609.83"/>
    <n v="44.7"/>
    <n v="153"/>
    <n v="165"/>
    <s v="Truck"/>
    <n v="5"/>
    <x v="0"/>
    <n v="84247"/>
    <n v="3.42"/>
    <n v="6285654348.0100002"/>
  </r>
  <r>
    <x v="2"/>
    <s v="Cybertruck"/>
    <n v="2025"/>
    <x v="2"/>
    <n v="87113.04"/>
    <n v="47.4"/>
    <n v="150"/>
    <n v="176"/>
    <s v="Truck"/>
    <n v="4"/>
    <x v="0"/>
    <n v="217680"/>
    <n v="3.55"/>
    <n v="18962766547.199997"/>
  </r>
  <r>
    <x v="2"/>
    <s v="Cybertruck"/>
    <n v="2025"/>
    <x v="1"/>
    <n v="166572.78"/>
    <n v="117.8"/>
    <n v="398"/>
    <n v="200"/>
    <s v="Truck"/>
    <n v="5"/>
    <x v="1"/>
    <n v="229037"/>
    <n v="4.3499999999999996"/>
    <n v="38151329812.860001"/>
  </r>
  <r>
    <x v="8"/>
    <s v="E-Transit"/>
    <n v="2025"/>
    <x v="3"/>
    <n v="49970.16"/>
    <n v="77.5"/>
    <n v="267"/>
    <n v="181"/>
    <s v="Truck"/>
    <n v="4"/>
    <x v="2"/>
    <n v="35218"/>
    <n v="3.57"/>
    <n v="1759849094.8800001"/>
  </r>
  <r>
    <x v="9"/>
    <s v="i4"/>
    <n v="2025"/>
    <x v="2"/>
    <n v="85729.44"/>
    <n v="59.9"/>
    <n v="191"/>
    <n v="168"/>
    <s v="Truck"/>
    <n v="5"/>
    <x v="0"/>
    <n v="29338"/>
    <n v="3.48"/>
    <n v="2515130310.7200003"/>
  </r>
  <r>
    <x v="12"/>
    <s v="Blazer EV"/>
    <n v="2025"/>
    <x v="4"/>
    <n v="80896.009999999995"/>
    <n v="64.400000000000006"/>
    <n v="194"/>
    <n v="148"/>
    <s v="Hatchback"/>
    <n v="4"/>
    <x v="0"/>
    <n v="11404"/>
    <n v="3.35"/>
    <n v="922538098.03999996"/>
  </r>
  <r>
    <x v="7"/>
    <s v="ID. Buzz"/>
    <n v="2025"/>
    <x v="0"/>
    <n v="66045.149999999994"/>
    <n v="82.5"/>
    <n v="269"/>
    <n v="163"/>
    <s v="Hatchback"/>
    <n v="4"/>
    <x v="0"/>
    <n v="228215"/>
    <n v="3.37"/>
    <n v="15072493907.249998"/>
  </r>
  <r>
    <x v="12"/>
    <s v="Blazer EV"/>
    <n v="2025"/>
    <x v="3"/>
    <n v="70614.100000000006"/>
    <n v="41.9"/>
    <n v="187"/>
    <n v="173"/>
    <s v="Hatchback"/>
    <n v="4"/>
    <x v="0"/>
    <n v="27643"/>
    <n v="3.38"/>
    <n v="1951985566.3000002"/>
  </r>
  <r>
    <x v="7"/>
    <s v="ID.4"/>
    <n v="2025"/>
    <x v="1"/>
    <n v="80549.5"/>
    <n v="119.7"/>
    <n v="447"/>
    <n v="192"/>
    <s v="Truck"/>
    <n v="5"/>
    <x v="0"/>
    <n v="291709"/>
    <n v="3.7"/>
    <n v="23497014095.5"/>
  </r>
  <r>
    <x v="5"/>
    <s v="Picanto EV"/>
    <n v="2025"/>
    <x v="2"/>
    <n v="41416.019999999997"/>
    <n v="60.8"/>
    <n v="228"/>
    <n v="160"/>
    <s v="Hatchback"/>
    <n v="5"/>
    <x v="2"/>
    <n v="137512"/>
    <n v="3.35"/>
    <n v="5695199742.2399998"/>
  </r>
  <r>
    <x v="9"/>
    <s v="i3"/>
    <n v="2025"/>
    <x v="1"/>
    <n v="97630.54"/>
    <n v="108"/>
    <n v="374"/>
    <n v="200"/>
    <s v="Truck"/>
    <n v="4"/>
    <x v="0"/>
    <n v="50895"/>
    <n v="3.63"/>
    <n v="4968906333.2999992"/>
  </r>
  <r>
    <x v="0"/>
    <s v="bZ4X"/>
    <n v="2025"/>
    <x v="0"/>
    <n v="77617.509999999995"/>
    <n v="84.5"/>
    <n v="295"/>
    <n v="180"/>
    <s v="Coupe"/>
    <n v="5"/>
    <x v="0"/>
    <n v="15856"/>
    <n v="3.46"/>
    <n v="1230703238.5599999"/>
  </r>
  <r>
    <x v="12"/>
    <s v="Bolt EV"/>
    <n v="2025"/>
    <x v="1"/>
    <n v="53614.17"/>
    <n v="77.3"/>
    <n v="266"/>
    <n v="192"/>
    <s v="Truck"/>
    <n v="5"/>
    <x v="2"/>
    <n v="7236"/>
    <n v="3.24"/>
    <n v="387952134.12"/>
  </r>
  <r>
    <x v="5"/>
    <s v="EV9"/>
    <n v="2025"/>
    <x v="4"/>
    <n v="62151.7"/>
    <n v="74"/>
    <n v="246"/>
    <n v="129"/>
    <s v="SUV"/>
    <n v="5"/>
    <x v="2"/>
    <n v="58624"/>
    <n v="3.74"/>
    <n v="3643581260.7999997"/>
  </r>
  <r>
    <x v="7"/>
    <s v="ID. Buzz"/>
    <n v="2025"/>
    <x v="1"/>
    <n v="57462.19"/>
    <n v="76.2"/>
    <n v="259"/>
    <n v="183"/>
    <s v="Hatchback"/>
    <n v="4"/>
    <x v="2"/>
    <n v="298599"/>
    <n v="3.42"/>
    <n v="17158152471.810001"/>
  </r>
  <r>
    <x v="7"/>
    <s v="ID.3"/>
    <n v="2025"/>
    <x v="1"/>
    <n v="88158.61"/>
    <n v="99.8"/>
    <n v="333"/>
    <n v="200"/>
    <s v="Hatchback"/>
    <n v="5"/>
    <x v="0"/>
    <n v="265949"/>
    <n v="3.68"/>
    <n v="23445694170.889999"/>
  </r>
  <r>
    <x v="2"/>
    <s v="Cybertruck"/>
    <n v="2025"/>
    <x v="2"/>
    <n v="29689.54"/>
    <n v="58.1"/>
    <n v="216"/>
    <n v="170"/>
    <s v="Truck"/>
    <n v="5"/>
    <x v="3"/>
    <n v="210522"/>
    <n v="3.78"/>
    <n v="6250301339.8800001"/>
  </r>
  <r>
    <x v="2"/>
    <s v="Model S"/>
    <n v="2025"/>
    <x v="0"/>
    <n v="129183.24"/>
    <n v="87.9"/>
    <n v="337"/>
    <n v="169"/>
    <s v="Hatchback"/>
    <n v="5"/>
    <x v="1"/>
    <n v="207546"/>
    <n v="3.74"/>
    <n v="26811464729.040001"/>
  </r>
  <r>
    <x v="2"/>
    <s v="Cybertruck"/>
    <n v="2025"/>
    <x v="0"/>
    <n v="132226.95000000001"/>
    <n v="87.5"/>
    <n v="319"/>
    <n v="176"/>
    <s v="Truck"/>
    <n v="5"/>
    <x v="1"/>
    <n v="133735"/>
    <n v="3.85"/>
    <n v="17683371158.25"/>
  </r>
  <r>
    <x v="2"/>
    <s v="Model S"/>
    <n v="2025"/>
    <x v="4"/>
    <n v="162032.44"/>
    <n v="61.2"/>
    <n v="193"/>
    <n v="132"/>
    <s v="Sedan"/>
    <n v="5"/>
    <x v="1"/>
    <n v="210253"/>
    <n v="3.9"/>
    <n v="34067806607.32"/>
  </r>
  <r>
    <x v="6"/>
    <s v="Kona Electric"/>
    <n v="2025"/>
    <x v="4"/>
    <n v="51036.86"/>
    <n v="52.8"/>
    <n v="234"/>
    <n v="142"/>
    <s v="Coupe"/>
    <n v="5"/>
    <x v="2"/>
    <n v="55671"/>
    <n v="3.38"/>
    <n v="2841273033.0599999"/>
  </r>
  <r>
    <x v="2"/>
    <s v="Model S"/>
    <n v="2025"/>
    <x v="2"/>
    <n v="54018.19"/>
    <n v="40.6"/>
    <n v="150"/>
    <n v="145"/>
    <s v="Coupe"/>
    <n v="4"/>
    <x v="2"/>
    <n v="101221"/>
    <n v="3.6"/>
    <n v="5467775209.9899998"/>
  </r>
  <r>
    <x v="7"/>
    <s v="ID.5"/>
    <n v="2025"/>
    <x v="2"/>
    <n v="78662.149999999994"/>
    <n v="41.4"/>
    <n v="150"/>
    <n v="134"/>
    <s v="Van"/>
    <n v="4"/>
    <x v="0"/>
    <n v="237990"/>
    <n v="3.28"/>
    <n v="18720805078.5"/>
  </r>
  <r>
    <x v="5"/>
    <s v="EV9"/>
    <n v="2025"/>
    <x v="4"/>
    <n v="103512.45"/>
    <n v="63"/>
    <n v="213"/>
    <n v="124"/>
    <s v="SUV"/>
    <n v="5"/>
    <x v="1"/>
    <n v="50563"/>
    <n v="3.44"/>
    <n v="5233900009.3499994"/>
  </r>
  <r>
    <x v="6"/>
    <s v="Ioniq 6"/>
    <n v="2025"/>
    <x v="3"/>
    <n v="39399.56"/>
    <n v="70.900000000000006"/>
    <n v="268"/>
    <n v="159"/>
    <s v="SUV"/>
    <n v="4"/>
    <x v="2"/>
    <n v="101021"/>
    <n v="3.33"/>
    <n v="3980182950.7599998"/>
  </r>
  <r>
    <x v="9"/>
    <s v="i7"/>
    <n v="2025"/>
    <x v="1"/>
    <n v="113646.11"/>
    <n v="73.599999999999994"/>
    <n v="279"/>
    <n v="199"/>
    <s v="Truck"/>
    <n v="5"/>
    <x v="1"/>
    <n v="68048"/>
    <n v="3.7"/>
    <n v="7733390493.2799997"/>
  </r>
  <r>
    <x v="2"/>
    <s v="Model 3"/>
    <n v="2025"/>
    <x v="2"/>
    <n v="42979.12"/>
    <n v="62.8"/>
    <n v="229"/>
    <n v="133"/>
    <s v="SUV"/>
    <n v="4"/>
    <x v="2"/>
    <n v="207769"/>
    <n v="3.71"/>
    <n v="8929728783.2800007"/>
  </r>
  <r>
    <x v="7"/>
    <s v="ID.5"/>
    <n v="2025"/>
    <x v="1"/>
    <n v="97402.81"/>
    <n v="71.7"/>
    <n v="258"/>
    <n v="200"/>
    <s v="Truck"/>
    <n v="4"/>
    <x v="0"/>
    <n v="255988"/>
    <n v="3.58"/>
    <n v="24933950526.279999"/>
  </r>
  <r>
    <x v="9"/>
    <s v="i7"/>
    <n v="2025"/>
    <x v="3"/>
    <n v="85706.08"/>
    <n v="45.1"/>
    <n v="150"/>
    <n v="135"/>
    <s v="Hatchback"/>
    <n v="4"/>
    <x v="0"/>
    <n v="78799"/>
    <n v="3.26"/>
    <n v="6753553397.9200001"/>
  </r>
  <r>
    <x v="7"/>
    <s v="ID.3"/>
    <n v="2025"/>
    <x v="1"/>
    <n v="58313.43"/>
    <n v="71.5"/>
    <n v="260"/>
    <n v="193"/>
    <s v="Truck"/>
    <n v="3"/>
    <x v="2"/>
    <n v="263694"/>
    <n v="3.21"/>
    <n v="15376901610.42"/>
  </r>
  <r>
    <x v="4"/>
    <s v="e-tron"/>
    <n v="2025"/>
    <x v="3"/>
    <n v="91038.75"/>
    <n v="55.9"/>
    <n v="192"/>
    <n v="149"/>
    <s v="Truck"/>
    <n v="5"/>
    <x v="0"/>
    <n v="26577"/>
    <n v="3.76"/>
    <n v="2419536858.75"/>
  </r>
  <r>
    <x v="2"/>
    <s v="Model 3"/>
    <n v="2025"/>
    <x v="2"/>
    <n v="69626.259999999995"/>
    <n v="76.8"/>
    <n v="249"/>
    <n v="158"/>
    <s v="Sedan"/>
    <n v="5"/>
    <x v="0"/>
    <n v="189686"/>
    <n v="3.74"/>
    <n v="13207126754.359999"/>
  </r>
  <r>
    <x v="9"/>
    <s v="i7"/>
    <n v="2025"/>
    <x v="2"/>
    <n v="66273.55"/>
    <n v="72.400000000000006"/>
    <n v="246"/>
    <n v="154"/>
    <s v="Truck"/>
    <n v="5"/>
    <x v="0"/>
    <n v="30088"/>
    <n v="3.19"/>
    <n v="1994038572.4000001"/>
  </r>
  <r>
    <x v="13"/>
    <s v="GLE EV"/>
    <n v="2025"/>
    <x v="2"/>
    <n v="127213.62"/>
    <n v="61.6"/>
    <n v="214"/>
    <n v="146"/>
    <s v="Sedan"/>
    <n v="4"/>
    <x v="1"/>
    <n v="74928"/>
    <n v="3.82"/>
    <n v="9531862119.3599987"/>
  </r>
  <r>
    <x v="2"/>
    <s v="Model S"/>
    <n v="2025"/>
    <x v="0"/>
    <n v="137829.03"/>
    <n v="95.3"/>
    <n v="323"/>
    <n v="187"/>
    <s v="Van"/>
    <n v="3"/>
    <x v="1"/>
    <n v="239713"/>
    <n v="3.88"/>
    <n v="33039410268.389999"/>
  </r>
  <r>
    <x v="12"/>
    <s v="Silverado EV"/>
    <n v="2025"/>
    <x v="3"/>
    <n v="70239.009999999995"/>
    <n v="40.5"/>
    <n v="150"/>
    <n v="184"/>
    <s v="Van"/>
    <n v="5"/>
    <x v="0"/>
    <n v="23483"/>
    <n v="3.13"/>
    <n v="1649422671.8299999"/>
  </r>
  <r>
    <x v="12"/>
    <s v="Blazer EV"/>
    <n v="2025"/>
    <x v="0"/>
    <n v="44798.27"/>
    <n v="109.1"/>
    <n v="375"/>
    <n v="168"/>
    <s v="Hatchback"/>
    <n v="4"/>
    <x v="2"/>
    <n v="19461"/>
    <n v="3.6"/>
    <n v="871819132.46999991"/>
  </r>
  <r>
    <x v="17"/>
    <s v="XC90 Recharge"/>
    <n v="2025"/>
    <x v="3"/>
    <n v="55877.09"/>
    <n v="51.9"/>
    <n v="192"/>
    <n v="166"/>
    <s v="Van"/>
    <n v="5"/>
    <x v="2"/>
    <n v="15994"/>
    <n v="3.31"/>
    <n v="893698177.45999992"/>
  </r>
  <r>
    <x v="3"/>
    <s v="Dolphin"/>
    <n v="2025"/>
    <x v="3"/>
    <n v="22600.22"/>
    <n v="66.900000000000006"/>
    <n v="206"/>
    <n v="146"/>
    <s v="Hatchback"/>
    <n v="5"/>
    <x v="3"/>
    <n v="131689"/>
    <n v="3.16"/>
    <n v="2976200371.5799999"/>
  </r>
  <r>
    <x v="12"/>
    <s v="Blazer EV"/>
    <n v="2025"/>
    <x v="3"/>
    <n v="35979.300000000003"/>
    <n v="56.1"/>
    <n v="209"/>
    <n v="124"/>
    <s v="SUV"/>
    <n v="4"/>
    <x v="2"/>
    <n v="25503"/>
    <n v="3.61"/>
    <n v="917580087.9000001"/>
  </r>
  <r>
    <x v="12"/>
    <s v="Equinox EV"/>
    <n v="2025"/>
    <x v="1"/>
    <n v="57051.32"/>
    <n v="98.6"/>
    <n v="344"/>
    <n v="200"/>
    <s v="SUV"/>
    <n v="4"/>
    <x v="2"/>
    <n v="13660"/>
    <n v="3.69"/>
    <n v="779321031.20000005"/>
  </r>
  <r>
    <x v="2"/>
    <s v="Model Y"/>
    <n v="2025"/>
    <x v="2"/>
    <n v="109970.08"/>
    <n v="60"/>
    <n v="194"/>
    <n v="165"/>
    <s v="Coupe"/>
    <n v="4"/>
    <x v="1"/>
    <n v="456748"/>
    <n v="3.5"/>
    <n v="50228614099.840004"/>
  </r>
  <r>
    <x v="6"/>
    <s v="i30"/>
    <n v="2025"/>
    <x v="3"/>
    <n v="65007.57"/>
    <n v="44.2"/>
    <n v="150"/>
    <n v="174"/>
    <s v="Hatchback"/>
    <n v="4"/>
    <x v="0"/>
    <n v="138781"/>
    <n v="3.03"/>
    <n v="9021815572.1700001"/>
  </r>
  <r>
    <x v="4"/>
    <s v="e-tron"/>
    <n v="2025"/>
    <x v="2"/>
    <n v="79195.78"/>
    <n v="74.7"/>
    <n v="275"/>
    <n v="162"/>
    <s v="Sedan"/>
    <n v="4"/>
    <x v="0"/>
    <n v="62967"/>
    <n v="3.57"/>
    <n v="4986720679.2600002"/>
  </r>
  <r>
    <x v="4"/>
    <s v="e-tron"/>
    <n v="2025"/>
    <x v="2"/>
    <n v="84380.71"/>
    <n v="80"/>
    <n v="275"/>
    <n v="165"/>
    <s v="SUV"/>
    <n v="4"/>
    <x v="0"/>
    <n v="37226"/>
    <n v="3.53"/>
    <n v="3141156310.46"/>
  </r>
  <r>
    <x v="2"/>
    <s v="Model X"/>
    <n v="2025"/>
    <x v="3"/>
    <n v="76635.5"/>
    <n v="45.2"/>
    <n v="150"/>
    <n v="175"/>
    <s v="SUV"/>
    <n v="5"/>
    <x v="0"/>
    <n v="167458"/>
    <n v="3.59"/>
    <n v="12833227559"/>
  </r>
  <r>
    <x v="5"/>
    <s v="Picanto EV"/>
    <n v="2025"/>
    <x v="2"/>
    <n v="41302.85"/>
    <n v="54.4"/>
    <n v="210"/>
    <n v="128"/>
    <s v="Truck"/>
    <n v="5"/>
    <x v="2"/>
    <n v="124417"/>
    <n v="3.31"/>
    <n v="5138776688.4499998"/>
  </r>
  <r>
    <x v="3"/>
    <s v="Dolphin"/>
    <n v="2025"/>
    <x v="1"/>
    <n v="53327.95"/>
    <n v="101.5"/>
    <n v="344"/>
    <n v="186"/>
    <s v="Sedan"/>
    <n v="4"/>
    <x v="2"/>
    <n v="120007"/>
    <n v="3.46"/>
    <n v="6399727295.6499996"/>
  </r>
  <r>
    <x v="12"/>
    <s v="Silverado EV"/>
    <n v="2025"/>
    <x v="1"/>
    <n v="50051.199999999997"/>
    <n v="92.1"/>
    <n v="286"/>
    <n v="199"/>
    <s v="Sedan"/>
    <n v="5"/>
    <x v="2"/>
    <n v="17861"/>
    <n v="3.54"/>
    <n v="893964483.19999993"/>
  </r>
  <r>
    <x v="2"/>
    <s v="Cybertruck"/>
    <n v="2025"/>
    <x v="2"/>
    <n v="69446.789999999994"/>
    <n v="55.6"/>
    <n v="196"/>
    <n v="155"/>
    <s v="Truck"/>
    <n v="4"/>
    <x v="0"/>
    <n v="214270"/>
    <n v="3.74"/>
    <n v="14880363693.299999"/>
  </r>
  <r>
    <x v="7"/>
    <s v="ID. Aero"/>
    <n v="2025"/>
    <x v="4"/>
    <n v="89383.1"/>
    <n v="57.7"/>
    <n v="217"/>
    <n v="143"/>
    <s v="Truck"/>
    <n v="4"/>
    <x v="0"/>
    <n v="222817"/>
    <n v="3.39"/>
    <n v="19916074192.700001"/>
  </r>
  <r>
    <x v="3"/>
    <s v="Max"/>
    <n v="2025"/>
    <x v="1"/>
    <n v="92829.9"/>
    <n v="82.3"/>
    <n v="285"/>
    <n v="200"/>
    <s v="SUV"/>
    <n v="5"/>
    <x v="0"/>
    <n v="235698"/>
    <n v="3.58"/>
    <n v="21879821770.199997"/>
  </r>
  <r>
    <x v="2"/>
    <s v="Cybertruck"/>
    <n v="2025"/>
    <x v="4"/>
    <n v="35991.9"/>
    <n v="60.6"/>
    <n v="218"/>
    <n v="151"/>
    <s v="Truck"/>
    <n v="4"/>
    <x v="2"/>
    <n v="169730"/>
    <n v="3.71"/>
    <n v="6108905187"/>
  </r>
  <r>
    <x v="2"/>
    <s v="Model 3"/>
    <n v="2025"/>
    <x v="2"/>
    <n v="88596.07"/>
    <n v="45.9"/>
    <n v="179"/>
    <n v="178"/>
    <s v="Van"/>
    <n v="5"/>
    <x v="0"/>
    <n v="124700"/>
    <n v="3.61"/>
    <n v="11047929929"/>
  </r>
  <r>
    <x v="2"/>
    <s v="Model S"/>
    <n v="2025"/>
    <x v="2"/>
    <n v="43016.55"/>
    <n v="44.3"/>
    <n v="159"/>
    <n v="163"/>
    <s v="SUV"/>
    <n v="5"/>
    <x v="2"/>
    <n v="118264"/>
    <n v="3.47"/>
    <n v="5087309269.2000008"/>
  </r>
  <r>
    <x v="7"/>
    <s v="ID.4"/>
    <n v="2025"/>
    <x v="1"/>
    <n v="66259.17"/>
    <n v="77.599999999999994"/>
    <n v="256"/>
    <n v="200"/>
    <s v="Sedan"/>
    <n v="4"/>
    <x v="0"/>
    <n v="296982"/>
    <n v="3.45"/>
    <n v="19677780824.939999"/>
  </r>
  <r>
    <x v="12"/>
    <s v="Bolt EV"/>
    <n v="2025"/>
    <x v="4"/>
    <n v="93152"/>
    <n v="60.9"/>
    <n v="214"/>
    <n v="145"/>
    <s v="Sedan"/>
    <n v="5"/>
    <x v="0"/>
    <n v="20002"/>
    <n v="3.74"/>
    <n v="1863226304"/>
  </r>
  <r>
    <x v="4"/>
    <s v="e-tron GT"/>
    <n v="2025"/>
    <x v="3"/>
    <n v="109816.18"/>
    <n v="60.8"/>
    <n v="222"/>
    <n v="139"/>
    <s v="Sedan"/>
    <n v="5"/>
    <x v="1"/>
    <n v="73358"/>
    <n v="3.54"/>
    <n v="8055895332.4399996"/>
  </r>
  <r>
    <x v="6"/>
    <s v="Ioniq 6"/>
    <n v="2025"/>
    <x v="3"/>
    <n v="63640"/>
    <n v="40.299999999999997"/>
    <n v="150"/>
    <n v="131"/>
    <s v="Truck"/>
    <n v="4"/>
    <x v="2"/>
    <n v="139571"/>
    <n v="3.2"/>
    <n v="8882298440"/>
  </r>
  <r>
    <x v="2"/>
    <s v="Model Y"/>
    <n v="2025"/>
    <x v="0"/>
    <n v="161112.44"/>
    <n v="98.8"/>
    <n v="371"/>
    <n v="163"/>
    <s v="Coupe"/>
    <n v="4"/>
    <x v="1"/>
    <n v="404800"/>
    <n v="4.22"/>
    <n v="65218315712"/>
  </r>
  <r>
    <x v="6"/>
    <s v="Ioniq 6"/>
    <n v="2025"/>
    <x v="4"/>
    <n v="44861.53"/>
    <n v="84.1"/>
    <n v="305"/>
    <n v="172"/>
    <s v="Coupe"/>
    <n v="4"/>
    <x v="2"/>
    <n v="98434"/>
    <n v="3.53"/>
    <n v="4415899844.0199995"/>
  </r>
  <r>
    <x v="2"/>
    <s v="Model 3"/>
    <n v="2025"/>
    <x v="1"/>
    <n v="42441.37"/>
    <n v="104.2"/>
    <n v="372"/>
    <n v="200"/>
    <s v="Truck"/>
    <n v="5"/>
    <x v="2"/>
    <n v="230471"/>
    <n v="4.32"/>
    <n v="9781504985.2700005"/>
  </r>
  <r>
    <x v="7"/>
    <s v="ID.4"/>
    <n v="2025"/>
    <x v="0"/>
    <n v="47485.93"/>
    <n v="104.7"/>
    <n v="349"/>
    <n v="166"/>
    <s v="Sedan"/>
    <n v="4"/>
    <x v="2"/>
    <n v="243761"/>
    <n v="3.63"/>
    <n v="11575217782.73"/>
  </r>
  <r>
    <x v="3"/>
    <s v="Dolphin"/>
    <n v="2025"/>
    <x v="1"/>
    <n v="53346.09"/>
    <n v="111"/>
    <n v="410"/>
    <n v="189"/>
    <s v="SUV"/>
    <n v="5"/>
    <x v="2"/>
    <n v="141126"/>
    <n v="4.1900000000000004"/>
    <n v="7528520297.3399992"/>
  </r>
  <r>
    <x v="13"/>
    <s v="EQC"/>
    <n v="2025"/>
    <x v="0"/>
    <n v="162751.1"/>
    <n v="96.3"/>
    <n v="344"/>
    <n v="185"/>
    <s v="Sedan"/>
    <n v="5"/>
    <x v="1"/>
    <n v="68195"/>
    <n v="4.28"/>
    <n v="11098811264.5"/>
  </r>
  <r>
    <x v="6"/>
    <s v="i30"/>
    <n v="2025"/>
    <x v="3"/>
    <n v="41853.99"/>
    <n v="80.099999999999994"/>
    <n v="318"/>
    <n v="157"/>
    <s v="Hatchback"/>
    <n v="4"/>
    <x v="2"/>
    <n v="111448"/>
    <n v="3.65"/>
    <n v="4664543477.5199995"/>
  </r>
  <r>
    <x v="17"/>
    <s v="XC90 Recharge"/>
    <n v="2025"/>
    <x v="4"/>
    <n v="96813.71"/>
    <n v="40.6"/>
    <n v="150"/>
    <n v="123"/>
    <s v="Van"/>
    <n v="5"/>
    <x v="0"/>
    <n v="10606"/>
    <n v="3.2"/>
    <n v="1026806208.2600001"/>
  </r>
  <r>
    <x v="2"/>
    <s v="Model Y"/>
    <n v="2025"/>
    <x v="4"/>
    <n v="129623.74"/>
    <n v="54.6"/>
    <n v="210"/>
    <n v="132"/>
    <s v="Truck"/>
    <n v="5"/>
    <x v="1"/>
    <n v="481115"/>
    <n v="3.49"/>
    <n v="62363925670.100006"/>
  </r>
  <r>
    <x v="1"/>
    <s v="Ocean"/>
    <n v="2025"/>
    <x v="4"/>
    <n v="141027"/>
    <n v="54.1"/>
    <n v="190"/>
    <n v="168"/>
    <s v="Sedan"/>
    <n v="5"/>
    <x v="1"/>
    <n v="11123"/>
    <n v="3.38"/>
    <n v="1568643321"/>
  </r>
  <r>
    <x v="9"/>
    <s v="i4"/>
    <n v="2025"/>
    <x v="4"/>
    <n v="113836.67"/>
    <n v="71.5"/>
    <n v="253"/>
    <n v="152"/>
    <s v="SUV"/>
    <n v="4"/>
    <x v="1"/>
    <n v="42535"/>
    <n v="3.47"/>
    <n v="4842042758.4499998"/>
  </r>
  <r>
    <x v="12"/>
    <s v="Silverado EV"/>
    <n v="2025"/>
    <x v="3"/>
    <n v="51177.18"/>
    <n v="46.9"/>
    <n v="150"/>
    <n v="140"/>
    <s v="Van"/>
    <n v="4"/>
    <x v="2"/>
    <n v="14323"/>
    <n v="3.34"/>
    <n v="733010749.13999999"/>
  </r>
  <r>
    <x v="5"/>
    <s v="Niro EV"/>
    <n v="2025"/>
    <x v="1"/>
    <n v="56005.31"/>
    <n v="102.7"/>
    <n v="361"/>
    <n v="184"/>
    <s v="Sedan"/>
    <n v="5"/>
    <x v="2"/>
    <n v="96451"/>
    <n v="3.9"/>
    <n v="5401768154.8099995"/>
  </r>
  <r>
    <x v="7"/>
    <s v="ID.3"/>
    <n v="2025"/>
    <x v="1"/>
    <n v="88484.86"/>
    <n v="105.9"/>
    <n v="381"/>
    <n v="196"/>
    <s v="Coupe"/>
    <n v="3"/>
    <x v="0"/>
    <n v="285530"/>
    <n v="3.65"/>
    <n v="25265082075.799999"/>
  </r>
  <r>
    <x v="3"/>
    <s v="Max"/>
    <n v="2025"/>
    <x v="4"/>
    <n v="104281.84"/>
    <n v="69.7"/>
    <n v="233"/>
    <n v="170"/>
    <s v="Van"/>
    <n v="4"/>
    <x v="1"/>
    <n v="164080"/>
    <n v="3.52"/>
    <n v="17110564307.199999"/>
  </r>
  <r>
    <x v="3"/>
    <s v="Max"/>
    <n v="2025"/>
    <x v="3"/>
    <n v="86288.72"/>
    <n v="81.900000000000006"/>
    <n v="311"/>
    <n v="174"/>
    <s v="Van"/>
    <n v="4"/>
    <x v="0"/>
    <n v="120560"/>
    <n v="3.71"/>
    <n v="10402968083.200001"/>
  </r>
  <r>
    <x v="5"/>
    <s v="Picanto EV"/>
    <n v="2025"/>
    <x v="2"/>
    <n v="58803.16"/>
    <n v="70.099999999999994"/>
    <n v="248"/>
    <n v="153"/>
    <s v="Truck"/>
    <n v="4"/>
    <x v="2"/>
    <n v="111130"/>
    <n v="3.52"/>
    <n v="6534795170.8000002"/>
  </r>
  <r>
    <x v="3"/>
    <s v="Qin"/>
    <n v="2025"/>
    <x v="1"/>
    <n v="122517.87"/>
    <n v="73.599999999999994"/>
    <n v="252"/>
    <n v="200"/>
    <s v="Hatchback"/>
    <n v="4"/>
    <x v="1"/>
    <n v="150780"/>
    <n v="3.44"/>
    <n v="18473244438.599998"/>
  </r>
  <r>
    <x v="2"/>
    <s v="Model 3"/>
    <n v="2025"/>
    <x v="2"/>
    <n v="90298.51"/>
    <n v="49.3"/>
    <n v="183"/>
    <n v="157"/>
    <s v="Sedan"/>
    <n v="3"/>
    <x v="0"/>
    <n v="163915"/>
    <n v="3.66"/>
    <n v="14801280266.65"/>
  </r>
  <r>
    <x v="4"/>
    <s v="Q4 e-tron"/>
    <n v="2025"/>
    <x v="2"/>
    <n v="79689.05"/>
    <n v="81.7"/>
    <n v="278"/>
    <n v="148"/>
    <s v="Van"/>
    <n v="4"/>
    <x v="0"/>
    <n v="66705"/>
    <n v="3.5"/>
    <n v="5315658080.25"/>
  </r>
  <r>
    <x v="0"/>
    <s v="bZ4X"/>
    <n v="2025"/>
    <x v="0"/>
    <n v="72608.92"/>
    <n v="97.1"/>
    <n v="334"/>
    <n v="156"/>
    <s v="Sedan"/>
    <n v="4"/>
    <x v="0"/>
    <n v="13954"/>
    <n v="3.57"/>
    <n v="1013184869.6799999"/>
  </r>
  <r>
    <x v="12"/>
    <s v="Equinox EV"/>
    <n v="2025"/>
    <x v="4"/>
    <n v="91034.7"/>
    <n v="47.9"/>
    <n v="164"/>
    <n v="169"/>
    <s v="SUV"/>
    <n v="4"/>
    <x v="0"/>
    <n v="12825"/>
    <n v="3.46"/>
    <n v="1167520027.5"/>
  </r>
  <r>
    <x v="11"/>
    <s v="R3"/>
    <n v="2025"/>
    <x v="2"/>
    <n v="70880.73"/>
    <n v="80.900000000000006"/>
    <n v="285"/>
    <n v="148"/>
    <s v="Truck"/>
    <n v="5"/>
    <x v="0"/>
    <n v="11173"/>
    <n v="3.44"/>
    <n v="791950396.28999996"/>
  </r>
  <r>
    <x v="2"/>
    <s v="Cybertruck"/>
    <n v="2025"/>
    <x v="4"/>
    <n v="124865.93"/>
    <n v="64.900000000000006"/>
    <n v="241"/>
    <n v="124"/>
    <s v="Truck"/>
    <n v="4"/>
    <x v="1"/>
    <n v="223231"/>
    <n v="3.65"/>
    <n v="27873946419.829998"/>
  </r>
  <r>
    <x v="13"/>
    <s v="EQG"/>
    <n v="2025"/>
    <x v="3"/>
    <n v="139106.45000000001"/>
    <n v="61.4"/>
    <n v="208"/>
    <n v="150"/>
    <s v="Coupe"/>
    <n v="5"/>
    <x v="1"/>
    <n v="49644"/>
    <n v="3.35"/>
    <n v="6905800603.8000002"/>
  </r>
  <r>
    <x v="6"/>
    <s v="i30"/>
    <n v="2025"/>
    <x v="3"/>
    <n v="60050.99"/>
    <n v="47.8"/>
    <n v="165"/>
    <n v="133"/>
    <s v="Hatchback"/>
    <n v="4"/>
    <x v="2"/>
    <n v="138281"/>
    <n v="3.21"/>
    <n v="8303910948.1899996"/>
  </r>
  <r>
    <x v="13"/>
    <s v="EQE"/>
    <n v="2025"/>
    <x v="3"/>
    <n v="103044.63"/>
    <n v="78.900000000000006"/>
    <n v="264"/>
    <n v="132"/>
    <s v="Van"/>
    <n v="5"/>
    <x v="1"/>
    <n v="75663"/>
    <n v="3.56"/>
    <n v="7796665839.6900005"/>
  </r>
  <r>
    <x v="3"/>
    <s v="Qin"/>
    <n v="2025"/>
    <x v="3"/>
    <n v="36623.25"/>
    <n v="43.3"/>
    <n v="164"/>
    <n v="139"/>
    <s v="Truck"/>
    <n v="5"/>
    <x v="2"/>
    <n v="185983"/>
    <n v="3.42"/>
    <n v="6811301904.75"/>
  </r>
  <r>
    <x v="7"/>
    <s v="ID.5"/>
    <n v="2025"/>
    <x v="2"/>
    <n v="30097.01"/>
    <n v="74.3"/>
    <n v="267"/>
    <n v="127"/>
    <s v="Coupe"/>
    <n v="5"/>
    <x v="3"/>
    <n v="289031"/>
    <n v="3.27"/>
    <n v="8698968897.3099995"/>
  </r>
  <r>
    <x v="7"/>
    <s v="ID.3"/>
    <n v="2025"/>
    <x v="4"/>
    <n v="94110.75"/>
    <n v="60.5"/>
    <n v="194"/>
    <n v="149"/>
    <s v="Van"/>
    <n v="5"/>
    <x v="0"/>
    <n v="225387"/>
    <n v="3.43"/>
    <n v="21211339610.25"/>
  </r>
  <r>
    <x v="2"/>
    <s v="Cybertruck"/>
    <n v="2025"/>
    <x v="3"/>
    <n v="125305.65"/>
    <n v="42"/>
    <n v="158"/>
    <n v="136"/>
    <s v="Truck"/>
    <n v="4"/>
    <x v="1"/>
    <n v="199754"/>
    <n v="3.28"/>
    <n v="25030304810.099998"/>
  </r>
  <r>
    <x v="8"/>
    <s v="Explorer EV"/>
    <n v="2025"/>
    <x v="3"/>
    <n v="65329.39"/>
    <n v="49.5"/>
    <n v="157"/>
    <n v="165"/>
    <s v="Coupe"/>
    <n v="4"/>
    <x v="0"/>
    <n v="24686"/>
    <n v="3.21"/>
    <n v="1612721321.54"/>
  </r>
  <r>
    <x v="2"/>
    <s v="Model S"/>
    <n v="2025"/>
    <x v="2"/>
    <n v="101976.23"/>
    <n v="83.7"/>
    <n v="284"/>
    <n v="139"/>
    <s v="Hatchback"/>
    <n v="5"/>
    <x v="1"/>
    <n v="160905"/>
    <n v="3.89"/>
    <n v="16408485288.15"/>
  </r>
  <r>
    <x v="12"/>
    <s v="Equinox EV"/>
    <n v="2025"/>
    <x v="1"/>
    <n v="83117.350000000006"/>
    <n v="106.5"/>
    <n v="362"/>
    <n v="200"/>
    <s v="SUV"/>
    <n v="3"/>
    <x v="0"/>
    <n v="17250"/>
    <n v="3.59"/>
    <n v="1433774287.5"/>
  </r>
  <r>
    <x v="9"/>
    <s v="i7"/>
    <n v="2025"/>
    <x v="4"/>
    <n v="107462.71"/>
    <n v="63"/>
    <n v="242"/>
    <n v="175"/>
    <s v="Sedan"/>
    <n v="5"/>
    <x v="1"/>
    <n v="59946"/>
    <n v="3.37"/>
    <n v="6441959613.6600008"/>
  </r>
  <r>
    <x v="3"/>
    <s v="Qin"/>
    <n v="2025"/>
    <x v="2"/>
    <n v="43868.55"/>
    <n v="77.3"/>
    <n v="290"/>
    <n v="165"/>
    <s v="Coupe"/>
    <n v="5"/>
    <x v="2"/>
    <n v="211394"/>
    <n v="3.74"/>
    <n v="9273548258.7000008"/>
  </r>
  <r>
    <x v="7"/>
    <s v="ID. Aero"/>
    <n v="2025"/>
    <x v="0"/>
    <n v="98049.57"/>
    <n v="79.3"/>
    <n v="271"/>
    <n v="178"/>
    <s v="Truck"/>
    <n v="4"/>
    <x v="0"/>
    <n v="232457"/>
    <n v="3.53"/>
    <n v="22792308893.490002"/>
  </r>
  <r>
    <x v="4"/>
    <s v="Q6 e-tron"/>
    <n v="2025"/>
    <x v="2"/>
    <n v="91070.12"/>
    <n v="66.400000000000006"/>
    <n v="224"/>
    <n v="152"/>
    <s v="Sedan"/>
    <n v="3"/>
    <x v="0"/>
    <n v="69627"/>
    <n v="3.71"/>
    <n v="6340939245.2399998"/>
  </r>
  <r>
    <x v="8"/>
    <s v="Mustang Mach-E"/>
    <n v="2025"/>
    <x v="2"/>
    <n v="31921.1"/>
    <n v="77.2"/>
    <n v="284"/>
    <n v="172"/>
    <s v="Coupe"/>
    <n v="5"/>
    <x v="3"/>
    <n v="21264"/>
    <n v="3.57"/>
    <n v="678770270.39999998"/>
  </r>
  <r>
    <x v="9"/>
    <s v="i7"/>
    <n v="2025"/>
    <x v="3"/>
    <n v="56108.72"/>
    <n v="78.400000000000006"/>
    <n v="280"/>
    <n v="178"/>
    <s v="Hatchback"/>
    <n v="5"/>
    <x v="2"/>
    <n v="32771"/>
    <n v="3.55"/>
    <n v="1838738863.1200001"/>
  </r>
  <r>
    <x v="11"/>
    <s v="R1T"/>
    <n v="2025"/>
    <x v="3"/>
    <n v="78693.27"/>
    <n v="63.6"/>
    <n v="243"/>
    <n v="171"/>
    <s v="Truck"/>
    <n v="4"/>
    <x v="0"/>
    <n v="14022"/>
    <n v="3.14"/>
    <n v="1103437031.9400001"/>
  </r>
  <r>
    <x v="6"/>
    <s v="Ioniq 6"/>
    <n v="2025"/>
    <x v="3"/>
    <n v="46340.480000000003"/>
    <n v="70.599999999999994"/>
    <n v="240"/>
    <n v="133"/>
    <s v="Sedan"/>
    <n v="3"/>
    <x v="2"/>
    <n v="91894"/>
    <n v="3.21"/>
    <n v="4258412069.1200004"/>
  </r>
  <r>
    <x v="6"/>
    <s v="Ioniq 6"/>
    <n v="2025"/>
    <x v="3"/>
    <n v="70402.19"/>
    <n v="49.9"/>
    <n v="170"/>
    <n v="148"/>
    <s v="Sedan"/>
    <n v="5"/>
    <x v="0"/>
    <n v="69074"/>
    <n v="3.3"/>
    <n v="4862960872.0600004"/>
  </r>
  <r>
    <x v="2"/>
    <s v="Cybertruck"/>
    <n v="2025"/>
    <x v="4"/>
    <n v="104330.24000000001"/>
    <n v="50.1"/>
    <n v="185"/>
    <n v="145"/>
    <s v="Truck"/>
    <n v="4"/>
    <x v="1"/>
    <n v="241443"/>
    <n v="3.82"/>
    <n v="25189806136.32"/>
  </r>
  <r>
    <x v="2"/>
    <s v="Model Y"/>
    <n v="2025"/>
    <x v="1"/>
    <n v="146521.88"/>
    <n v="91.7"/>
    <n v="343"/>
    <n v="200"/>
    <s v="SUV"/>
    <n v="4"/>
    <x v="1"/>
    <n v="406719"/>
    <n v="4.12"/>
    <n v="59593232511.720001"/>
  </r>
  <r>
    <x v="2"/>
    <s v="Model X"/>
    <n v="2025"/>
    <x v="2"/>
    <n v="42945.26"/>
    <n v="77"/>
    <n v="266"/>
    <n v="148"/>
    <s v="SUV"/>
    <n v="5"/>
    <x v="2"/>
    <n v="202664"/>
    <n v="3.79"/>
    <n v="8703458172.6400013"/>
  </r>
  <r>
    <x v="4"/>
    <s v="e-tron"/>
    <n v="2025"/>
    <x v="3"/>
    <n v="109441.61"/>
    <n v="51.1"/>
    <n v="161"/>
    <n v="151"/>
    <s v="Hatchback"/>
    <n v="4"/>
    <x v="1"/>
    <n v="27623"/>
    <n v="3.34"/>
    <n v="3023105593.0300002"/>
  </r>
  <r>
    <x v="9"/>
    <s v="i5"/>
    <n v="2025"/>
    <x v="4"/>
    <n v="79696.27"/>
    <n v="76.5"/>
    <n v="251"/>
    <n v="161"/>
    <s v="Truck"/>
    <n v="5"/>
    <x v="0"/>
    <n v="32509"/>
    <n v="3.24"/>
    <n v="2590846041.4300003"/>
  </r>
  <r>
    <x v="2"/>
    <s v="Model Y"/>
    <n v="2025"/>
    <x v="3"/>
    <n v="85878.17"/>
    <n v="49.2"/>
    <n v="188"/>
    <n v="164"/>
    <s v="Sedan"/>
    <n v="4"/>
    <x v="0"/>
    <n v="499717"/>
    <n v="3.42"/>
    <n v="42914781477.889999"/>
  </r>
  <r>
    <x v="2"/>
    <s v="Model 3"/>
    <n v="2025"/>
    <x v="4"/>
    <n v="60544.17"/>
    <n v="81.599999999999994"/>
    <n v="287"/>
    <n v="158"/>
    <s v="Truck"/>
    <n v="5"/>
    <x v="2"/>
    <n v="170776"/>
    <n v="3.98"/>
    <n v="10339491175.92"/>
  </r>
  <r>
    <x v="2"/>
    <s v="Model Y"/>
    <n v="2025"/>
    <x v="3"/>
    <n v="122990.85"/>
    <n v="43.1"/>
    <n v="177"/>
    <n v="132"/>
    <s v="Hatchback"/>
    <n v="4"/>
    <x v="1"/>
    <n v="444103"/>
    <n v="3.49"/>
    <n v="54620605457.550003"/>
  </r>
  <r>
    <x v="2"/>
    <s v="Model 3"/>
    <n v="2025"/>
    <x v="3"/>
    <n v="77509.320000000007"/>
    <n v="78.599999999999994"/>
    <n v="256"/>
    <n v="130"/>
    <s v="Hatchback"/>
    <n v="3"/>
    <x v="0"/>
    <n v="156028"/>
    <n v="3.89"/>
    <n v="12093624180.960001"/>
  </r>
  <r>
    <x v="6"/>
    <s v="Ioniq 5"/>
    <n v="2025"/>
    <x v="2"/>
    <n v="42592.08"/>
    <n v="73.400000000000006"/>
    <n v="215"/>
    <n v="154"/>
    <s v="Truck"/>
    <n v="4"/>
    <x v="2"/>
    <n v="124929"/>
    <n v="3.43"/>
    <n v="5320985962.3200006"/>
  </r>
  <r>
    <x v="6"/>
    <s v="Ioniq 6"/>
    <n v="2025"/>
    <x v="1"/>
    <n v="107109.36"/>
    <n v="119.6"/>
    <n v="434"/>
    <n v="200"/>
    <s v="SUV"/>
    <n v="5"/>
    <x v="1"/>
    <n v="92278"/>
    <n v="3.9"/>
    <n v="9883837522.0799999"/>
  </r>
  <r>
    <x v="2"/>
    <s v="Model Y"/>
    <n v="2025"/>
    <x v="0"/>
    <n v="33796.25"/>
    <n v="90.1"/>
    <n v="295"/>
    <n v="183"/>
    <s v="SUV"/>
    <n v="5"/>
    <x v="3"/>
    <n v="476519"/>
    <n v="3.86"/>
    <n v="16104555253.75"/>
  </r>
  <r>
    <x v="4"/>
    <s v="e-tron GT"/>
    <n v="2025"/>
    <x v="2"/>
    <n v="67634.789999999994"/>
    <n v="79.900000000000006"/>
    <n v="278"/>
    <n v="167"/>
    <s v="Sedan"/>
    <n v="4"/>
    <x v="0"/>
    <n v="62437"/>
    <n v="3.52"/>
    <n v="4222913383.2299995"/>
  </r>
  <r>
    <x v="11"/>
    <s v="R2"/>
    <n v="2025"/>
    <x v="0"/>
    <n v="105675.37"/>
    <n v="104"/>
    <n v="386"/>
    <n v="173"/>
    <s v="SUV"/>
    <n v="5"/>
    <x v="1"/>
    <n v="25421"/>
    <n v="3.88"/>
    <n v="2686373580.77"/>
  </r>
  <r>
    <x v="3"/>
    <s v="Dolphin"/>
    <n v="2025"/>
    <x v="2"/>
    <n v="19398.189999999999"/>
    <n v="79.599999999999994"/>
    <n v="255"/>
    <n v="125"/>
    <s v="Van"/>
    <n v="4"/>
    <x v="3"/>
    <n v="165718"/>
    <n v="3.4"/>
    <n v="3214629250.4199996"/>
  </r>
  <r>
    <x v="12"/>
    <s v="Blazer EV"/>
    <n v="2025"/>
    <x v="3"/>
    <n v="55791.9"/>
    <n v="43.1"/>
    <n v="150"/>
    <n v="150"/>
    <s v="SUV"/>
    <n v="5"/>
    <x v="2"/>
    <n v="16439"/>
    <n v="3.05"/>
    <n v="917163044.10000002"/>
  </r>
  <r>
    <x v="2"/>
    <s v="Model 3"/>
    <n v="2025"/>
    <x v="4"/>
    <n v="151283.19"/>
    <n v="58.3"/>
    <n v="189"/>
    <n v="152"/>
    <s v="Sedan"/>
    <n v="5"/>
    <x v="1"/>
    <n v="203592"/>
    <n v="3.49"/>
    <n v="30800047218.48"/>
  </r>
  <r>
    <x v="7"/>
    <s v="ID. Buzz"/>
    <n v="2025"/>
    <x v="3"/>
    <n v="55247.47"/>
    <n v="53.5"/>
    <n v="199"/>
    <n v="170"/>
    <s v="Sedan"/>
    <n v="5"/>
    <x v="2"/>
    <n v="220284"/>
    <n v="3.29"/>
    <n v="12170133681.48"/>
  </r>
  <r>
    <x v="6"/>
    <s v="Ioniq 6"/>
    <n v="2025"/>
    <x v="2"/>
    <n v="37922.42"/>
    <n v="50.5"/>
    <n v="150"/>
    <n v="155"/>
    <s v="SUV"/>
    <n v="3"/>
    <x v="2"/>
    <n v="75225"/>
    <n v="3.06"/>
    <n v="2852714044.5"/>
  </r>
  <r>
    <x v="2"/>
    <s v="Model S"/>
    <n v="2025"/>
    <x v="3"/>
    <n v="75212.509999999995"/>
    <n v="79.3"/>
    <n v="260"/>
    <n v="154"/>
    <s v="Sedan"/>
    <n v="5"/>
    <x v="0"/>
    <n v="148099"/>
    <n v="3.93"/>
    <n v="11138897518.49"/>
  </r>
  <r>
    <x v="3"/>
    <s v="Atto 3"/>
    <n v="2025"/>
    <x v="0"/>
    <n v="87159.360000000001"/>
    <n v="101.7"/>
    <n v="351"/>
    <n v="183"/>
    <s v="Truck"/>
    <n v="3"/>
    <x v="0"/>
    <n v="204628"/>
    <n v="3.58"/>
    <n v="17835245518.080002"/>
  </r>
  <r>
    <x v="2"/>
    <s v="Model Y"/>
    <n v="2025"/>
    <x v="0"/>
    <n v="64135.13"/>
    <n v="97.7"/>
    <n v="359"/>
    <n v="171"/>
    <s v="Hatchback"/>
    <n v="4"/>
    <x v="2"/>
    <n v="427732"/>
    <n v="4.21"/>
    <n v="27432647425.16"/>
  </r>
  <r>
    <x v="7"/>
    <s v="ID.4"/>
    <n v="2025"/>
    <x v="1"/>
    <n v="91483.89"/>
    <n v="74.2"/>
    <n v="246"/>
    <n v="199"/>
    <s v="Coupe"/>
    <n v="4"/>
    <x v="0"/>
    <n v="206750"/>
    <n v="3.64"/>
    <n v="18914294257.5"/>
  </r>
  <r>
    <x v="3"/>
    <s v="Dolphin"/>
    <n v="2025"/>
    <x v="2"/>
    <n v="52144.09"/>
    <n v="43.5"/>
    <n v="150"/>
    <n v="178"/>
    <s v="Hatchback"/>
    <n v="4"/>
    <x v="2"/>
    <n v="212512"/>
    <n v="3.12"/>
    <n v="11081244854.08"/>
  </r>
  <r>
    <x v="2"/>
    <s v="Model 3"/>
    <n v="2025"/>
    <x v="4"/>
    <n v="154568.94"/>
    <n v="68"/>
    <n v="235"/>
    <n v="170"/>
    <s v="Coupe"/>
    <n v="5"/>
    <x v="1"/>
    <n v="245844"/>
    <n v="3.7"/>
    <n v="37999846485.360001"/>
  </r>
  <r>
    <x v="7"/>
    <s v="ID. Buzz"/>
    <n v="2025"/>
    <x v="1"/>
    <n v="58007.82"/>
    <n v="105.3"/>
    <n v="382"/>
    <n v="188"/>
    <s v="Van"/>
    <n v="3"/>
    <x v="2"/>
    <n v="241176"/>
    <n v="3.98"/>
    <n v="13990093996.32"/>
  </r>
  <r>
    <x v="3"/>
    <s v="Leaf 50X"/>
    <n v="2025"/>
    <x v="3"/>
    <n v="33650.32"/>
    <n v="63.9"/>
    <n v="231"/>
    <n v="134"/>
    <s v="Sedan"/>
    <n v="4"/>
    <x v="3"/>
    <n v="210399"/>
    <n v="3.56"/>
    <n v="7079993677.6800003"/>
  </r>
  <r>
    <x v="2"/>
    <s v="Model S"/>
    <n v="2025"/>
    <x v="1"/>
    <n v="99545.7"/>
    <n v="74.099999999999994"/>
    <n v="250"/>
    <n v="190"/>
    <s v="Hatchback"/>
    <n v="4"/>
    <x v="0"/>
    <n v="244941"/>
    <n v="3.69"/>
    <n v="24382823303.700001"/>
  </r>
  <r>
    <x v="2"/>
    <s v="Model S"/>
    <n v="2025"/>
    <x v="1"/>
    <n v="135540.84"/>
    <n v="85.8"/>
    <n v="296"/>
    <n v="188"/>
    <s v="SUV"/>
    <n v="5"/>
    <x v="1"/>
    <n v="108193"/>
    <n v="3.98"/>
    <n v="14664570102.119999"/>
  </r>
  <r>
    <x v="4"/>
    <s v="Q6 e-tron"/>
    <n v="2025"/>
    <x v="2"/>
    <n v="80914.990000000005"/>
    <n v="67.400000000000006"/>
    <n v="220"/>
    <n v="178"/>
    <s v="Sedan"/>
    <n v="5"/>
    <x v="0"/>
    <n v="22856"/>
    <n v="3.44"/>
    <n v="1849393011.4400001"/>
  </r>
  <r>
    <x v="7"/>
    <s v="ID.5"/>
    <n v="2025"/>
    <x v="3"/>
    <n v="70801.47"/>
    <n v="60.4"/>
    <n v="204"/>
    <n v="137"/>
    <s v="SUV"/>
    <n v="5"/>
    <x v="0"/>
    <n v="299914"/>
    <n v="3.54"/>
    <n v="21234352073.580002"/>
  </r>
  <r>
    <x v="10"/>
    <s v="Polestar 4"/>
    <n v="2025"/>
    <x v="3"/>
    <n v="80679.27"/>
    <n v="41.3"/>
    <n v="155"/>
    <n v="170"/>
    <s v="Hatchback"/>
    <n v="5"/>
    <x v="0"/>
    <n v="7428"/>
    <n v="3.03"/>
    <n v="599285617.56000006"/>
  </r>
  <r>
    <x v="2"/>
    <s v="Model S"/>
    <n v="2025"/>
    <x v="2"/>
    <n v="29088.57"/>
    <n v="79.3"/>
    <n v="262"/>
    <n v="148"/>
    <s v="Van"/>
    <n v="5"/>
    <x v="3"/>
    <n v="173989"/>
    <n v="4.17"/>
    <n v="5061091205.7299995"/>
  </r>
  <r>
    <x v="1"/>
    <s v="Ronin"/>
    <n v="2025"/>
    <x v="4"/>
    <n v="67039.100000000006"/>
    <n v="75"/>
    <n v="271"/>
    <n v="127"/>
    <s v="Coupe"/>
    <n v="5"/>
    <x v="0"/>
    <n v="2336"/>
    <n v="3.5"/>
    <n v="156603337.60000002"/>
  </r>
  <r>
    <x v="11"/>
    <s v="R2"/>
    <n v="2025"/>
    <x v="1"/>
    <n v="104305.19"/>
    <n v="112.7"/>
    <n v="429"/>
    <n v="200"/>
    <s v="Hatchback"/>
    <n v="4"/>
    <x v="1"/>
    <n v="26219"/>
    <n v="4.08"/>
    <n v="2734777776.6100001"/>
  </r>
  <r>
    <x v="5"/>
    <s v="EV6"/>
    <n v="2025"/>
    <x v="1"/>
    <n v="107335.21"/>
    <n v="101.2"/>
    <n v="372"/>
    <n v="187"/>
    <s v="Truck"/>
    <n v="5"/>
    <x v="1"/>
    <n v="56222"/>
    <n v="3.63"/>
    <n v="6034600176.6199999"/>
  </r>
  <r>
    <x v="3"/>
    <s v="Dolphin"/>
    <n v="2025"/>
    <x v="3"/>
    <n v="45068.52"/>
    <n v="56.6"/>
    <n v="195"/>
    <n v="162"/>
    <s v="Sedan"/>
    <n v="5"/>
    <x v="2"/>
    <n v="196546"/>
    <n v="3.22"/>
    <n v="8858037331.9200001"/>
  </r>
  <r>
    <x v="2"/>
    <s v="Model S"/>
    <n v="2025"/>
    <x v="3"/>
    <n v="47711.51"/>
    <n v="47.2"/>
    <n v="173"/>
    <n v="154"/>
    <s v="Sedan"/>
    <n v="4"/>
    <x v="2"/>
    <n v="180408"/>
    <n v="3.58"/>
    <n v="8607538096.0799999"/>
  </r>
  <r>
    <x v="6"/>
    <s v="Ioniq 6"/>
    <n v="2025"/>
    <x v="4"/>
    <n v="72308.960000000006"/>
    <n v="49.7"/>
    <n v="167"/>
    <n v="150"/>
    <s v="Van"/>
    <n v="3"/>
    <x v="0"/>
    <n v="143294"/>
    <n v="3.17"/>
    <n v="10361440114.240002"/>
  </r>
  <r>
    <x v="5"/>
    <s v="Sportage EV"/>
    <n v="2025"/>
    <x v="0"/>
    <n v="37973.050000000003"/>
    <n v="76.2"/>
    <n v="263"/>
    <n v="172"/>
    <s v="SUV"/>
    <n v="4"/>
    <x v="2"/>
    <n v="66783"/>
    <n v="3.42"/>
    <n v="2535954198.1500001"/>
  </r>
  <r>
    <x v="2"/>
    <s v="Model S"/>
    <n v="2025"/>
    <x v="0"/>
    <n v="89182.57"/>
    <n v="108.7"/>
    <n v="358"/>
    <n v="158"/>
    <s v="Truck"/>
    <n v="4"/>
    <x v="0"/>
    <n v="161378"/>
    <n v="4"/>
    <n v="14392104781.460001"/>
  </r>
  <r>
    <x v="6"/>
    <s v="Ioniq 5"/>
    <n v="2025"/>
    <x v="0"/>
    <n v="49595.48"/>
    <n v="75.099999999999994"/>
    <n v="260"/>
    <n v="187"/>
    <s v="Coupe"/>
    <n v="5"/>
    <x v="2"/>
    <n v="108288"/>
    <n v="3.54"/>
    <n v="5370595338.2400007"/>
  </r>
  <r>
    <x v="2"/>
    <s v="Model S"/>
    <n v="2025"/>
    <x v="2"/>
    <n v="99045.61"/>
    <n v="69.900000000000006"/>
    <n v="238"/>
    <n v="125"/>
    <s v="SUV"/>
    <n v="4"/>
    <x v="0"/>
    <n v="134937"/>
    <n v="3.58"/>
    <n v="13364917476.57"/>
  </r>
  <r>
    <x v="2"/>
    <s v="Cybertruck"/>
    <n v="2025"/>
    <x v="4"/>
    <n v="160711.64000000001"/>
    <n v="76.8"/>
    <n v="290"/>
    <n v="153"/>
    <s v="Truck"/>
    <n v="5"/>
    <x v="1"/>
    <n v="208796"/>
    <n v="3.95"/>
    <n v="33555947585.440002"/>
  </r>
  <r>
    <x v="8"/>
    <s v="E-Transit"/>
    <n v="2025"/>
    <x v="3"/>
    <n v="43156.03"/>
    <n v="81.3"/>
    <n v="293"/>
    <n v="139"/>
    <s v="Van"/>
    <n v="4"/>
    <x v="2"/>
    <n v="34530"/>
    <n v="3.75"/>
    <n v="1490177715.8999999"/>
  </r>
  <r>
    <x v="12"/>
    <s v="Bolt EUV"/>
    <n v="2025"/>
    <x v="2"/>
    <n v="38010.06"/>
    <n v="62.7"/>
    <n v="226"/>
    <n v="137"/>
    <s v="Hatchback"/>
    <n v="4"/>
    <x v="2"/>
    <n v="16274"/>
    <n v="3.18"/>
    <n v="618575716.43999994"/>
  </r>
  <r>
    <x v="3"/>
    <s v="Max"/>
    <n v="2025"/>
    <x v="2"/>
    <n v="23230.02"/>
    <n v="80.599999999999994"/>
    <n v="262"/>
    <n v="151"/>
    <s v="Van"/>
    <n v="5"/>
    <x v="3"/>
    <n v="183226"/>
    <n v="3.75"/>
    <n v="4256343644.52"/>
  </r>
  <r>
    <x v="2"/>
    <s v="Model 3"/>
    <n v="2025"/>
    <x v="4"/>
    <n v="106221.52"/>
    <n v="66.8"/>
    <n v="251"/>
    <n v="134"/>
    <s v="Sedan"/>
    <n v="4"/>
    <x v="1"/>
    <n v="106799"/>
    <n v="3.65"/>
    <n v="11344352114.48"/>
  </r>
  <r>
    <x v="14"/>
    <s v="ET6"/>
    <n v="2025"/>
    <x v="3"/>
    <n v="70152.19"/>
    <n v="44.1"/>
    <n v="160"/>
    <n v="156"/>
    <s v="Truck"/>
    <n v="5"/>
    <x v="0"/>
    <n v="21427"/>
    <n v="3"/>
    <n v="1503150975.1300001"/>
  </r>
  <r>
    <x v="2"/>
    <s v="Model Y"/>
    <n v="2025"/>
    <x v="0"/>
    <n v="97027.38"/>
    <n v="108.3"/>
    <n v="372"/>
    <n v="170"/>
    <s v="Truck"/>
    <n v="5"/>
    <x v="0"/>
    <n v="401761"/>
    <n v="4.12"/>
    <n v="38981817216.18"/>
  </r>
  <r>
    <x v="8"/>
    <s v="F-150 Lightning"/>
    <n v="2025"/>
    <x v="0"/>
    <n v="53281.67"/>
    <n v="84.7"/>
    <n v="295"/>
    <n v="173"/>
    <s v="Truck"/>
    <n v="4"/>
    <x v="2"/>
    <n v="59310"/>
    <n v="3.42"/>
    <n v="3160135847.6999998"/>
  </r>
  <r>
    <x v="2"/>
    <s v="Model X"/>
    <n v="2025"/>
    <x v="0"/>
    <n v="92231.53"/>
    <n v="76"/>
    <n v="264"/>
    <n v="177"/>
    <s v="Van"/>
    <n v="4"/>
    <x v="0"/>
    <n v="226342"/>
    <n v="3.56"/>
    <n v="20875868963.259998"/>
  </r>
  <r>
    <x v="7"/>
    <s v="ID. Aero"/>
    <n v="2025"/>
    <x v="0"/>
    <n v="102771.71"/>
    <n v="104.2"/>
    <n v="392"/>
    <n v="174"/>
    <s v="Van"/>
    <n v="4"/>
    <x v="1"/>
    <n v="235887"/>
    <n v="3.78"/>
    <n v="24242510356.77"/>
  </r>
  <r>
    <x v="7"/>
    <s v="ID. Aero"/>
    <n v="2025"/>
    <x v="0"/>
    <n v="97037.17"/>
    <n v="79.8"/>
    <n v="284"/>
    <n v="167"/>
    <s v="Coupe"/>
    <n v="4"/>
    <x v="0"/>
    <n v="292071"/>
    <n v="3.47"/>
    <n v="28341743279.07"/>
  </r>
  <r>
    <x v="6"/>
    <s v="i30"/>
    <n v="2025"/>
    <x v="0"/>
    <n v="81032.960000000006"/>
    <n v="109.2"/>
    <n v="372"/>
    <n v="171"/>
    <s v="Coupe"/>
    <n v="5"/>
    <x v="0"/>
    <n v="132543"/>
    <n v="3.49"/>
    <n v="10740351617.280001"/>
  </r>
  <r>
    <x v="6"/>
    <s v="Ioniq"/>
    <n v="2025"/>
    <x v="3"/>
    <n v="59265.27"/>
    <n v="76.5"/>
    <n v="288"/>
    <n v="166"/>
    <s v="Van"/>
    <n v="5"/>
    <x v="2"/>
    <n v="55296"/>
    <n v="3.41"/>
    <n v="3277132369.9199996"/>
  </r>
  <r>
    <x v="3"/>
    <s v="Dolphin"/>
    <n v="2025"/>
    <x v="0"/>
    <n v="24263.38"/>
    <n v="90.6"/>
    <n v="313"/>
    <n v="165"/>
    <s v="Coupe"/>
    <n v="4"/>
    <x v="3"/>
    <n v="185360"/>
    <n v="3.79"/>
    <n v="4497460116.8000002"/>
  </r>
  <r>
    <x v="7"/>
    <s v="ID. Buzz"/>
    <n v="2025"/>
    <x v="2"/>
    <n v="65624.38"/>
    <n v="83.8"/>
    <n v="327"/>
    <n v="166"/>
    <s v="Sedan"/>
    <n v="5"/>
    <x v="0"/>
    <n v="228265"/>
    <n v="3.75"/>
    <n v="14979749100.700001"/>
  </r>
  <r>
    <x v="5"/>
    <s v="EV6"/>
    <n v="2025"/>
    <x v="2"/>
    <n v="34297.300000000003"/>
    <n v="40.9"/>
    <n v="150"/>
    <n v="156"/>
    <s v="Coupe"/>
    <n v="4"/>
    <x v="3"/>
    <n v="124108"/>
    <n v="3.31"/>
    <n v="4256569308.4000006"/>
  </r>
  <r>
    <x v="2"/>
    <s v="Model 3"/>
    <n v="2025"/>
    <x v="0"/>
    <n v="37324.82"/>
    <n v="100.2"/>
    <n v="350"/>
    <n v="169"/>
    <s v="Coupe"/>
    <n v="3"/>
    <x v="2"/>
    <n v="182729"/>
    <n v="3.94"/>
    <n v="6820327033.7799997"/>
  </r>
  <r>
    <x v="2"/>
    <s v="Model 3"/>
    <n v="2025"/>
    <x v="2"/>
    <n v="39961.089999999997"/>
    <n v="82.4"/>
    <n v="271"/>
    <n v="140"/>
    <s v="Hatchback"/>
    <n v="5"/>
    <x v="2"/>
    <n v="132702"/>
    <n v="3.97"/>
    <n v="5302916565.1799994"/>
  </r>
  <r>
    <x v="8"/>
    <s v="F-150 Lightning"/>
    <n v="2025"/>
    <x v="3"/>
    <n v="71166.509999999995"/>
    <n v="63.6"/>
    <n v="211"/>
    <n v="168"/>
    <s v="Truck"/>
    <n v="4"/>
    <x v="0"/>
    <n v="29813"/>
    <n v="3.63"/>
    <n v="2121687162.6299999"/>
  </r>
  <r>
    <x v="6"/>
    <s v="Kona Electric"/>
    <n v="2025"/>
    <x v="3"/>
    <n v="33895.78"/>
    <n v="72.7"/>
    <n v="271"/>
    <n v="148"/>
    <s v="Sedan"/>
    <n v="4"/>
    <x v="3"/>
    <n v="74203"/>
    <n v="3.74"/>
    <n v="2515168563.3399997"/>
  </r>
  <r>
    <x v="2"/>
    <s v="Model X"/>
    <n v="2025"/>
    <x v="3"/>
    <n v="81903.39"/>
    <n v="69.099999999999994"/>
    <n v="257"/>
    <n v="170"/>
    <s v="Sedan"/>
    <n v="4"/>
    <x v="0"/>
    <n v="135577"/>
    <n v="3.78"/>
    <n v="11104215906.030001"/>
  </r>
  <r>
    <x v="8"/>
    <s v="F-150 Lightning"/>
    <n v="2025"/>
    <x v="4"/>
    <n v="44324.9"/>
    <n v="61.8"/>
    <n v="198"/>
    <n v="139"/>
    <s v="Truck"/>
    <n v="4"/>
    <x v="2"/>
    <n v="57644"/>
    <n v="3.48"/>
    <n v="2555064535.5999999"/>
  </r>
  <r>
    <x v="4"/>
    <s v="e-tron"/>
    <n v="2025"/>
    <x v="3"/>
    <n v="114471.43"/>
    <n v="76.2"/>
    <n v="231"/>
    <n v="152"/>
    <s v="Van"/>
    <n v="4"/>
    <x v="1"/>
    <n v="21563"/>
    <n v="3.5"/>
    <n v="2468347445.0899997"/>
  </r>
  <r>
    <x v="13"/>
    <s v="GLE EV"/>
    <n v="2025"/>
    <x v="0"/>
    <n v="83712.42"/>
    <n v="97.4"/>
    <n v="338"/>
    <n v="170"/>
    <s v="Van"/>
    <n v="3"/>
    <x v="0"/>
    <n v="37695"/>
    <n v="3.9"/>
    <n v="3155539671.9000001"/>
  </r>
  <r>
    <x v="7"/>
    <s v="ID. Aero"/>
    <n v="2025"/>
    <x v="0"/>
    <n v="92182.9"/>
    <n v="103.2"/>
    <n v="359"/>
    <n v="194"/>
    <s v="Sedan"/>
    <n v="5"/>
    <x v="0"/>
    <n v="254291"/>
    <n v="3.6"/>
    <n v="23441281823.899998"/>
  </r>
  <r>
    <x v="8"/>
    <s v="Explorer EV"/>
    <n v="2025"/>
    <x v="2"/>
    <n v="31805.75"/>
    <n v="48.6"/>
    <n v="157"/>
    <n v="168"/>
    <s v="Truck"/>
    <n v="4"/>
    <x v="3"/>
    <n v="49546"/>
    <n v="3.24"/>
    <n v="1575847689.5"/>
  </r>
  <r>
    <x v="12"/>
    <s v="Bolt EUV"/>
    <n v="2025"/>
    <x v="3"/>
    <n v="29502.2"/>
    <n v="67.8"/>
    <n v="248"/>
    <n v="142"/>
    <s v="Hatchback"/>
    <n v="4"/>
    <x v="3"/>
    <n v="19509"/>
    <n v="3.46"/>
    <n v="575558419.80000007"/>
  </r>
  <r>
    <x v="3"/>
    <s v="Atto 3"/>
    <n v="2025"/>
    <x v="1"/>
    <n v="94900.11"/>
    <n v="105.2"/>
    <n v="381"/>
    <n v="190"/>
    <s v="Hatchback"/>
    <n v="5"/>
    <x v="0"/>
    <n v="172031"/>
    <n v="3.92"/>
    <n v="16325760823.41"/>
  </r>
  <r>
    <x v="6"/>
    <s v="Ioniq"/>
    <n v="2025"/>
    <x v="1"/>
    <n v="95402.2"/>
    <n v="91.6"/>
    <n v="321"/>
    <n v="187"/>
    <s v="Coupe"/>
    <n v="4"/>
    <x v="0"/>
    <n v="124589"/>
    <n v="3.85"/>
    <n v="11886064695.799999"/>
  </r>
  <r>
    <x v="0"/>
    <s v="bZ Compact SUV"/>
    <n v="2025"/>
    <x v="0"/>
    <n v="84185.72"/>
    <n v="103.8"/>
    <n v="377"/>
    <n v="165"/>
    <s v="SUV"/>
    <n v="5"/>
    <x v="0"/>
    <n v="15914"/>
    <n v="3.93"/>
    <n v="1339731548.0799999"/>
  </r>
  <r>
    <x v="5"/>
    <s v="Sportage EV"/>
    <n v="2025"/>
    <x v="4"/>
    <n v="76146.100000000006"/>
    <n v="42.4"/>
    <n v="175"/>
    <n v="146"/>
    <s v="SUV"/>
    <n v="4"/>
    <x v="0"/>
    <n v="86432"/>
    <n v="3.41"/>
    <n v="6581459715.2000008"/>
  </r>
  <r>
    <x v="13"/>
    <s v="GLE EV"/>
    <n v="2025"/>
    <x v="4"/>
    <n v="158316.82999999999"/>
    <n v="76"/>
    <n v="241"/>
    <n v="164"/>
    <s v="Van"/>
    <n v="5"/>
    <x v="1"/>
    <n v="22636"/>
    <n v="3.82"/>
    <n v="3583659763.8799996"/>
  </r>
  <r>
    <x v="11"/>
    <s v="R3"/>
    <n v="2025"/>
    <x v="1"/>
    <n v="109164.41"/>
    <n v="79.599999999999994"/>
    <n v="288"/>
    <n v="197"/>
    <s v="Hatchback"/>
    <n v="5"/>
    <x v="1"/>
    <n v="19234"/>
    <n v="3.75"/>
    <n v="2099668261.9400001"/>
  </r>
  <r>
    <x v="5"/>
    <s v="Niro EV"/>
    <n v="2025"/>
    <x v="4"/>
    <n v="108567.95"/>
    <n v="56.3"/>
    <n v="197"/>
    <n v="165"/>
    <s v="Van"/>
    <n v="4"/>
    <x v="1"/>
    <n v="139588"/>
    <n v="3.58"/>
    <n v="15154783004.6"/>
  </r>
  <r>
    <x v="11"/>
    <s v="R3"/>
    <n v="2025"/>
    <x v="2"/>
    <n v="79068.679999999993"/>
    <n v="62.9"/>
    <n v="236"/>
    <n v="146"/>
    <s v="SUV"/>
    <n v="5"/>
    <x v="0"/>
    <n v="25139"/>
    <n v="3.32"/>
    <n v="1987707546.5199997"/>
  </r>
  <r>
    <x v="2"/>
    <s v="Model 3"/>
    <n v="2025"/>
    <x v="2"/>
    <n v="38136.97"/>
    <n v="76"/>
    <n v="284"/>
    <n v="142"/>
    <s v="Sedan"/>
    <n v="5"/>
    <x v="2"/>
    <n v="113015"/>
    <n v="3.93"/>
    <n v="4310049664.5500002"/>
  </r>
  <r>
    <x v="7"/>
    <s v="ID. Buzz"/>
    <n v="2025"/>
    <x v="4"/>
    <n v="45327.13"/>
    <n v="67.8"/>
    <n v="261"/>
    <n v="132"/>
    <s v="Coupe"/>
    <n v="4"/>
    <x v="2"/>
    <n v="299882"/>
    <n v="3.61"/>
    <n v="13592790398.66"/>
  </r>
  <r>
    <x v="15"/>
    <s v="Macan Electric"/>
    <n v="2025"/>
    <x v="3"/>
    <n v="185796.61"/>
    <n v="78.099999999999994"/>
    <n v="296"/>
    <n v="148"/>
    <s v="Coupe"/>
    <n v="4"/>
    <x v="1"/>
    <n v="21608"/>
    <n v="3.85"/>
    <n v="4014693148.8799996"/>
  </r>
  <r>
    <x v="13"/>
    <s v="EQG"/>
    <n v="2025"/>
    <x v="0"/>
    <n v="94596.53"/>
    <n v="77.5"/>
    <n v="267"/>
    <n v="167"/>
    <s v="Coupe"/>
    <n v="5"/>
    <x v="0"/>
    <n v="48573"/>
    <n v="3.82"/>
    <n v="4594837251.6899996"/>
  </r>
  <r>
    <x v="11"/>
    <s v="R2"/>
    <n v="2025"/>
    <x v="2"/>
    <n v="79447.62"/>
    <n v="60.5"/>
    <n v="184"/>
    <n v="158"/>
    <s v="Truck"/>
    <n v="5"/>
    <x v="0"/>
    <n v="21177"/>
    <n v="3.42"/>
    <n v="1682462248.74"/>
  </r>
  <r>
    <x v="6"/>
    <s v="i30"/>
    <n v="2025"/>
    <x v="3"/>
    <n v="30172.57"/>
    <n v="82.9"/>
    <n v="283"/>
    <n v="137"/>
    <s v="Truck"/>
    <n v="3"/>
    <x v="3"/>
    <n v="76614"/>
    <n v="3.55"/>
    <n v="2311641277.98"/>
  </r>
  <r>
    <x v="6"/>
    <s v="Ioniq 5"/>
    <n v="2025"/>
    <x v="0"/>
    <n v="50915.71"/>
    <n v="81"/>
    <n v="278"/>
    <n v="183"/>
    <s v="Sedan"/>
    <n v="3"/>
    <x v="2"/>
    <n v="54316"/>
    <n v="3.5"/>
    <n v="2765537704.3600001"/>
  </r>
  <r>
    <x v="3"/>
    <s v="Atto 3"/>
    <n v="2025"/>
    <x v="0"/>
    <n v="99107.520000000004"/>
    <n v="98.9"/>
    <n v="347"/>
    <n v="177"/>
    <s v="Hatchback"/>
    <n v="5"/>
    <x v="0"/>
    <n v="190865"/>
    <n v="3.32"/>
    <n v="18916156804.799999"/>
  </r>
  <r>
    <x v="12"/>
    <s v="Bolt EV"/>
    <n v="2025"/>
    <x v="2"/>
    <n v="60512.959999999999"/>
    <n v="58.6"/>
    <n v="258"/>
    <n v="146"/>
    <s v="Hatchback"/>
    <n v="5"/>
    <x v="2"/>
    <n v="12934"/>
    <n v="3.42"/>
    <n v="782674624.63999999"/>
  </r>
  <r>
    <x v="2"/>
    <s v="Model S"/>
    <n v="2025"/>
    <x v="1"/>
    <n v="68593.72"/>
    <n v="107.6"/>
    <n v="361"/>
    <n v="192"/>
    <s v="Coupe"/>
    <n v="5"/>
    <x v="0"/>
    <n v="245974"/>
    <n v="4.2300000000000004"/>
    <n v="16872271683.280001"/>
  </r>
  <r>
    <x v="2"/>
    <s v="Cybertruck"/>
    <n v="2025"/>
    <x v="3"/>
    <n v="61013.48"/>
    <n v="45.2"/>
    <n v="156"/>
    <n v="151"/>
    <s v="Truck"/>
    <n v="3"/>
    <x v="2"/>
    <n v="132800"/>
    <n v="3.35"/>
    <n v="8102590144"/>
  </r>
  <r>
    <x v="6"/>
    <s v="Ioniq 5"/>
    <n v="2025"/>
    <x v="2"/>
    <n v="68602.240000000005"/>
    <n v="75.7"/>
    <n v="260"/>
    <n v="164"/>
    <s v="SUV"/>
    <n v="5"/>
    <x v="0"/>
    <n v="109721"/>
    <n v="3.31"/>
    <n v="7527106375.0400009"/>
  </r>
  <r>
    <x v="5"/>
    <s v="Niro EV"/>
    <n v="2025"/>
    <x v="4"/>
    <n v="64726.92"/>
    <n v="52.3"/>
    <n v="203"/>
    <n v="136"/>
    <s v="Truck"/>
    <n v="5"/>
    <x v="2"/>
    <n v="135916"/>
    <n v="3.12"/>
    <n v="8797424058.7199993"/>
  </r>
  <r>
    <x v="9"/>
    <s v="i3"/>
    <n v="2025"/>
    <x v="2"/>
    <n v="93156.19"/>
    <n v="74.599999999999994"/>
    <n v="254"/>
    <n v="143"/>
    <s v="Van"/>
    <n v="4"/>
    <x v="0"/>
    <n v="71204"/>
    <n v="3.55"/>
    <n v="6633093352.7600002"/>
  </r>
  <r>
    <x v="7"/>
    <s v="ID.4"/>
    <n v="2025"/>
    <x v="2"/>
    <n v="78698.7"/>
    <n v="67.400000000000006"/>
    <n v="200"/>
    <n v="164"/>
    <s v="Coupe"/>
    <n v="5"/>
    <x v="0"/>
    <n v="200182"/>
    <n v="3.41"/>
    <n v="15754063163.4"/>
  </r>
  <r>
    <x v="5"/>
    <s v="EV6"/>
    <n v="2025"/>
    <x v="2"/>
    <n v="60524.160000000003"/>
    <n v="58.8"/>
    <n v="217"/>
    <n v="148"/>
    <s v="Coupe"/>
    <n v="4"/>
    <x v="2"/>
    <n v="105178"/>
    <n v="3.37"/>
    <n v="6365810100.4800005"/>
  </r>
  <r>
    <x v="6"/>
    <s v="Ioniq 5"/>
    <n v="2025"/>
    <x v="2"/>
    <n v="46385.14"/>
    <n v="84.1"/>
    <n v="301"/>
    <n v="148"/>
    <s v="Truck"/>
    <n v="4"/>
    <x v="2"/>
    <n v="58564"/>
    <n v="3.62"/>
    <n v="2716499338.96"/>
  </r>
  <r>
    <x v="8"/>
    <s v="Explorer EV"/>
    <n v="2025"/>
    <x v="1"/>
    <n v="106247.4"/>
    <n v="72.900000000000006"/>
    <n v="277"/>
    <n v="200"/>
    <s v="Coupe"/>
    <n v="5"/>
    <x v="1"/>
    <n v="49209"/>
    <n v="3.4"/>
    <n v="5228328306.5999994"/>
  </r>
  <r>
    <x v="6"/>
    <s v="Ioniq"/>
    <n v="2025"/>
    <x v="0"/>
    <n v="74693.36"/>
    <n v="95.4"/>
    <n v="340"/>
    <n v="186"/>
    <s v="Hatchback"/>
    <n v="5"/>
    <x v="0"/>
    <n v="138161"/>
    <n v="3.52"/>
    <n v="10319709310.960001"/>
  </r>
  <r>
    <x v="7"/>
    <s v="ID.5"/>
    <n v="2025"/>
    <x v="3"/>
    <n v="60218.55"/>
    <n v="82.8"/>
    <n v="240"/>
    <n v="163"/>
    <s v="Van"/>
    <n v="5"/>
    <x v="2"/>
    <n v="290126"/>
    <n v="3.59"/>
    <n v="17470967037.299999"/>
  </r>
  <r>
    <x v="2"/>
    <s v="Model 3"/>
    <n v="2025"/>
    <x v="1"/>
    <n v="58452.94"/>
    <n v="77.2"/>
    <n v="274"/>
    <n v="183"/>
    <s v="Van"/>
    <n v="3"/>
    <x v="2"/>
    <n v="216013"/>
    <n v="3.86"/>
    <n v="12626594928.220001"/>
  </r>
  <r>
    <x v="3"/>
    <s v="Dolphin"/>
    <n v="2025"/>
    <x v="3"/>
    <n v="82759.69"/>
    <n v="73.3"/>
    <n v="235"/>
    <n v="151"/>
    <s v="SUV"/>
    <n v="3"/>
    <x v="0"/>
    <n v="125776"/>
    <n v="3.36"/>
    <n v="10409182769.440001"/>
  </r>
  <r>
    <x v="7"/>
    <s v="ID.4"/>
    <n v="2025"/>
    <x v="2"/>
    <n v="65061.9"/>
    <n v="65.099999999999994"/>
    <n v="212"/>
    <n v="137"/>
    <s v="Coupe"/>
    <n v="5"/>
    <x v="0"/>
    <n v="282957"/>
    <n v="3.68"/>
    <n v="18409720038.299999"/>
  </r>
  <r>
    <x v="12"/>
    <s v="Bolt EV"/>
    <n v="2025"/>
    <x v="1"/>
    <n v="60210.65"/>
    <n v="70.400000000000006"/>
    <n v="258"/>
    <n v="200"/>
    <s v="Coupe"/>
    <n v="4"/>
    <x v="2"/>
    <n v="23288"/>
    <n v="3.63"/>
    <n v="1402185617.2"/>
  </r>
  <r>
    <x v="2"/>
    <s v="Model S"/>
    <n v="2025"/>
    <x v="1"/>
    <n v="140244.92000000001"/>
    <n v="75.7"/>
    <n v="265"/>
    <n v="187"/>
    <s v="Sedan"/>
    <n v="5"/>
    <x v="1"/>
    <n v="186365"/>
    <n v="3.84"/>
    <n v="26136744515.800003"/>
  </r>
  <r>
    <x v="3"/>
    <s v="Seagull"/>
    <n v="2025"/>
    <x v="2"/>
    <n v="31665.46"/>
    <n v="68.3"/>
    <n v="217"/>
    <n v="171"/>
    <s v="Van"/>
    <n v="5"/>
    <x v="3"/>
    <n v="162790"/>
    <n v="3.33"/>
    <n v="5154820233.3999996"/>
  </r>
  <r>
    <x v="2"/>
    <s v="Model 3"/>
    <n v="2025"/>
    <x v="0"/>
    <n v="91388.05"/>
    <n v="100.1"/>
    <n v="350"/>
    <n v="168"/>
    <s v="Sedan"/>
    <n v="4"/>
    <x v="0"/>
    <n v="148700"/>
    <n v="3.99"/>
    <n v="13589403035"/>
  </r>
  <r>
    <x v="13"/>
    <s v="EQS"/>
    <n v="2025"/>
    <x v="2"/>
    <n v="136918.85"/>
    <n v="55.5"/>
    <n v="195"/>
    <n v="148"/>
    <s v="Coupe"/>
    <n v="5"/>
    <x v="1"/>
    <n v="59537"/>
    <n v="3.51"/>
    <n v="8151737572.4500008"/>
  </r>
  <r>
    <x v="7"/>
    <s v="ID. Aero"/>
    <n v="2025"/>
    <x v="1"/>
    <n v="68256.27"/>
    <n v="92.8"/>
    <n v="334"/>
    <n v="182"/>
    <s v="Sedan"/>
    <n v="5"/>
    <x v="0"/>
    <n v="215601"/>
    <n v="3.82"/>
    <n v="14716120068.27"/>
  </r>
  <r>
    <x v="9"/>
    <s v="i3"/>
    <n v="2025"/>
    <x v="4"/>
    <n v="127970.02"/>
    <n v="52.7"/>
    <n v="181"/>
    <n v="171"/>
    <s v="Coupe"/>
    <n v="5"/>
    <x v="1"/>
    <n v="25659"/>
    <n v="3.39"/>
    <n v="3283582743.1800003"/>
  </r>
  <r>
    <x v="2"/>
    <s v="Model X"/>
    <n v="2025"/>
    <x v="1"/>
    <n v="40997.300000000003"/>
    <n v="73.3"/>
    <n v="261"/>
    <n v="198"/>
    <s v="Sedan"/>
    <n v="5"/>
    <x v="2"/>
    <n v="192699"/>
    <n v="3.73"/>
    <n v="7900138712.7000008"/>
  </r>
  <r>
    <x v="2"/>
    <s v="Model X"/>
    <n v="2025"/>
    <x v="2"/>
    <n v="76806.22"/>
    <n v="41.8"/>
    <n v="166"/>
    <n v="152"/>
    <s v="Sedan"/>
    <n v="5"/>
    <x v="0"/>
    <n v="136111"/>
    <n v="3.64"/>
    <n v="10454171410.42"/>
  </r>
  <r>
    <x v="2"/>
    <s v="Cybertruck"/>
    <n v="2025"/>
    <x v="2"/>
    <n v="96810.26"/>
    <n v="47.9"/>
    <n v="153"/>
    <n v="146"/>
    <s v="Truck"/>
    <n v="4"/>
    <x v="0"/>
    <n v="113593"/>
    <n v="3.86"/>
    <n v="10996967864.18"/>
  </r>
  <r>
    <x v="7"/>
    <s v="ID.3"/>
    <n v="2025"/>
    <x v="2"/>
    <n v="47861.91"/>
    <n v="65.3"/>
    <n v="231"/>
    <n v="161"/>
    <s v="Sedan"/>
    <n v="3"/>
    <x v="2"/>
    <n v="247700"/>
    <n v="3.21"/>
    <n v="11855395107"/>
  </r>
  <r>
    <x v="4"/>
    <s v="Q4 e-tron"/>
    <n v="2025"/>
    <x v="2"/>
    <n v="84123.81"/>
    <n v="68.5"/>
    <n v="247"/>
    <n v="149"/>
    <s v="Hatchback"/>
    <n v="4"/>
    <x v="0"/>
    <n v="60155"/>
    <n v="3.29"/>
    <n v="5060467790.5500002"/>
  </r>
  <r>
    <x v="8"/>
    <s v="Mustang Mach-E"/>
    <n v="2025"/>
    <x v="1"/>
    <n v="60546.720000000001"/>
    <n v="113"/>
    <n v="423"/>
    <n v="200"/>
    <s v="Coupe"/>
    <n v="3"/>
    <x v="2"/>
    <n v="27560"/>
    <n v="3.76"/>
    <n v="1668667603.2"/>
  </r>
  <r>
    <x v="2"/>
    <s v="Cybertruck"/>
    <n v="2025"/>
    <x v="4"/>
    <n v="170547.81"/>
    <n v="44.5"/>
    <n v="153"/>
    <n v="132"/>
    <s v="Truck"/>
    <n v="4"/>
    <x v="1"/>
    <n v="192321"/>
    <n v="3.6"/>
    <n v="32799925367.009998"/>
  </r>
  <r>
    <x v="6"/>
    <s v="Ioniq 6"/>
    <n v="2025"/>
    <x v="4"/>
    <n v="100947.83"/>
    <n v="60.5"/>
    <n v="195"/>
    <n v="135"/>
    <s v="Hatchback"/>
    <n v="5"/>
    <x v="1"/>
    <n v="101360"/>
    <n v="3.44"/>
    <n v="10232072048.799999"/>
  </r>
  <r>
    <x v="10"/>
    <s v="Polestar 2"/>
    <n v="2025"/>
    <x v="1"/>
    <n v="93833.94"/>
    <n v="111.8"/>
    <n v="383"/>
    <n v="200"/>
    <s v="Coupe"/>
    <n v="5"/>
    <x v="0"/>
    <n v="6307"/>
    <n v="3.42"/>
    <n v="591810659.58000004"/>
  </r>
  <r>
    <x v="2"/>
    <s v="Cybertruck"/>
    <n v="2025"/>
    <x v="3"/>
    <n v="127335.12"/>
    <n v="71.900000000000006"/>
    <n v="270"/>
    <n v="175"/>
    <s v="Truck"/>
    <n v="5"/>
    <x v="1"/>
    <n v="188107"/>
    <n v="3.78"/>
    <n v="23952627417.84"/>
  </r>
  <r>
    <x v="11"/>
    <s v="R2"/>
    <n v="2025"/>
    <x v="1"/>
    <n v="117871.06"/>
    <n v="81.900000000000006"/>
    <n v="280"/>
    <n v="199"/>
    <s v="Truck"/>
    <n v="5"/>
    <x v="1"/>
    <n v="14378"/>
    <n v="3.8"/>
    <n v="1694750100.6800001"/>
  </r>
  <r>
    <x v="2"/>
    <s v="Model X"/>
    <n v="2025"/>
    <x v="1"/>
    <n v="126875.08"/>
    <n v="98.3"/>
    <n v="345"/>
    <n v="198"/>
    <s v="Van"/>
    <n v="5"/>
    <x v="1"/>
    <n v="158417"/>
    <n v="3.71"/>
    <n v="20099169548.360001"/>
  </r>
  <r>
    <x v="9"/>
    <s v="i5"/>
    <n v="2025"/>
    <x v="1"/>
    <n v="83830.66"/>
    <n v="91.7"/>
    <n v="316"/>
    <n v="188"/>
    <s v="Truck"/>
    <n v="4"/>
    <x v="0"/>
    <n v="61677"/>
    <n v="3.43"/>
    <n v="5170423616.8200006"/>
  </r>
  <r>
    <x v="2"/>
    <s v="Model S"/>
    <n v="2025"/>
    <x v="2"/>
    <n v="29411.54"/>
    <n v="61.2"/>
    <n v="220"/>
    <n v="127"/>
    <s v="Hatchback"/>
    <n v="5"/>
    <x v="3"/>
    <n v="206579"/>
    <n v="3.63"/>
    <n v="6075806521.6599998"/>
  </r>
  <r>
    <x v="2"/>
    <s v="Cybertruck"/>
    <n v="2025"/>
    <x v="4"/>
    <n v="131326.82"/>
    <n v="44.5"/>
    <n v="172"/>
    <n v="164"/>
    <s v="Truck"/>
    <n v="5"/>
    <x v="1"/>
    <n v="195107"/>
    <n v="3.68"/>
    <n v="25622781869.740002"/>
  </r>
  <r>
    <x v="2"/>
    <s v="Model X"/>
    <n v="2025"/>
    <x v="2"/>
    <n v="106034.49"/>
    <n v="82.6"/>
    <n v="286"/>
    <n v="151"/>
    <s v="Van"/>
    <n v="5"/>
    <x v="1"/>
    <n v="136623"/>
    <n v="3.7"/>
    <n v="14486750127.27"/>
  </r>
  <r>
    <x v="5"/>
    <s v="Picanto EV"/>
    <n v="2025"/>
    <x v="2"/>
    <n v="33502.19"/>
    <n v="82.4"/>
    <n v="304"/>
    <n v="144"/>
    <s v="Van"/>
    <n v="4"/>
    <x v="3"/>
    <n v="70571"/>
    <n v="3.47"/>
    <n v="2364283050.4900002"/>
  </r>
  <r>
    <x v="3"/>
    <s v="Seagull"/>
    <n v="2025"/>
    <x v="4"/>
    <n v="98579.06"/>
    <n v="64.3"/>
    <n v="224"/>
    <n v="143"/>
    <s v="Coupe"/>
    <n v="5"/>
    <x v="0"/>
    <n v="142672"/>
    <n v="3.25"/>
    <n v="14064471648.32"/>
  </r>
  <r>
    <x v="3"/>
    <s v="Atto 3"/>
    <n v="2025"/>
    <x v="0"/>
    <n v="32535.18"/>
    <n v="92"/>
    <n v="307"/>
    <n v="175"/>
    <s v="Sedan"/>
    <n v="4"/>
    <x v="3"/>
    <n v="218123"/>
    <n v="3.53"/>
    <n v="7096671067.1400003"/>
  </r>
  <r>
    <x v="12"/>
    <s v="Bolt EUV"/>
    <n v="2025"/>
    <x v="4"/>
    <n v="61871.83"/>
    <n v="57.9"/>
    <n v="176"/>
    <n v="168"/>
    <s v="Hatchback"/>
    <n v="5"/>
    <x v="2"/>
    <n v="10487"/>
    <n v="3.16"/>
    <n v="648849881.21000004"/>
  </r>
  <r>
    <x v="5"/>
    <s v="Sportage EV"/>
    <n v="2025"/>
    <x v="1"/>
    <n v="72347.59"/>
    <n v="112"/>
    <n v="369"/>
    <n v="185"/>
    <s v="SUV"/>
    <n v="3"/>
    <x v="0"/>
    <n v="144057"/>
    <n v="3.62"/>
    <n v="10422176772.629999"/>
  </r>
  <r>
    <x v="6"/>
    <s v="Ioniq 6"/>
    <n v="2025"/>
    <x v="1"/>
    <n v="47415.02"/>
    <n v="112.3"/>
    <n v="399"/>
    <n v="200"/>
    <s v="Hatchback"/>
    <n v="5"/>
    <x v="2"/>
    <n v="102665"/>
    <n v="3.98"/>
    <n v="4867863028.2999992"/>
  </r>
  <r>
    <x v="14"/>
    <s v="EC6"/>
    <n v="2025"/>
    <x v="4"/>
    <n v="83405.89"/>
    <n v="75.400000000000006"/>
    <n v="277"/>
    <n v="164"/>
    <s v="Van"/>
    <n v="5"/>
    <x v="0"/>
    <n v="11073"/>
    <n v="3.32"/>
    <n v="923553419.97000003"/>
  </r>
  <r>
    <x v="2"/>
    <s v="Model 3"/>
    <n v="2025"/>
    <x v="0"/>
    <n v="84190.57"/>
    <n v="98"/>
    <n v="350"/>
    <n v="182"/>
    <s v="Coupe"/>
    <n v="4"/>
    <x v="0"/>
    <n v="181874"/>
    <n v="3.94"/>
    <n v="15312075728.180002"/>
  </r>
  <r>
    <x v="3"/>
    <s v="Dolphin"/>
    <n v="2025"/>
    <x v="2"/>
    <n v="53719.72"/>
    <n v="48.4"/>
    <n v="150"/>
    <n v="160"/>
    <s v="Hatchback"/>
    <n v="3"/>
    <x v="2"/>
    <n v="246801"/>
    <n v="3.15"/>
    <n v="13258080615.720001"/>
  </r>
  <r>
    <x v="2"/>
    <s v="Model X"/>
    <n v="2025"/>
    <x v="0"/>
    <n v="153915.44"/>
    <n v="92"/>
    <n v="309"/>
    <n v="177"/>
    <s v="Van"/>
    <n v="5"/>
    <x v="1"/>
    <n v="210826"/>
    <n v="3.64"/>
    <n v="32449376553.439999"/>
  </r>
  <r>
    <x v="12"/>
    <s v="Equinox EV"/>
    <n v="2025"/>
    <x v="3"/>
    <n v="28857.9"/>
    <n v="80"/>
    <n v="326"/>
    <n v="147"/>
    <s v="SUV"/>
    <n v="4"/>
    <x v="3"/>
    <n v="24599"/>
    <n v="3.71"/>
    <n v="709875482.10000002"/>
  </r>
  <r>
    <x v="8"/>
    <s v="F-150 Lightning"/>
    <n v="2025"/>
    <x v="0"/>
    <n v="91074.2"/>
    <n v="83.3"/>
    <n v="309"/>
    <n v="165"/>
    <s v="Truck"/>
    <n v="5"/>
    <x v="0"/>
    <n v="78477"/>
    <n v="3.54"/>
    <n v="7147229993.3999996"/>
  </r>
  <r>
    <x v="3"/>
    <s v="Max"/>
    <n v="2025"/>
    <x v="4"/>
    <n v="100296.35"/>
    <n v="81.5"/>
    <n v="290"/>
    <n v="143"/>
    <s v="Hatchback"/>
    <n v="4"/>
    <x v="1"/>
    <n v="155370"/>
    <n v="3.84"/>
    <n v="15583043899.5"/>
  </r>
  <r>
    <x v="0"/>
    <s v="bZ Compact SUV"/>
    <n v="2025"/>
    <x v="2"/>
    <n v="65608.600000000006"/>
    <n v="60.1"/>
    <n v="208"/>
    <n v="154"/>
    <s v="SUV"/>
    <n v="4"/>
    <x v="0"/>
    <n v="24977"/>
    <n v="3.36"/>
    <n v="1638706002.2"/>
  </r>
  <r>
    <x v="5"/>
    <s v="Sportage EV"/>
    <n v="2025"/>
    <x v="4"/>
    <n v="81244.23"/>
    <n v="54.9"/>
    <n v="181"/>
    <n v="149"/>
    <s v="SUV"/>
    <n v="5"/>
    <x v="0"/>
    <n v="70466"/>
    <n v="3.28"/>
    <n v="5724955911.1799994"/>
  </r>
  <r>
    <x v="12"/>
    <s v="Silverado EV"/>
    <n v="2025"/>
    <x v="4"/>
    <n v="46867.37"/>
    <n v="59.3"/>
    <n v="232"/>
    <n v="135"/>
    <s v="Sedan"/>
    <n v="5"/>
    <x v="2"/>
    <n v="24354"/>
    <n v="3.3"/>
    <n v="1141407928.98"/>
  </r>
  <r>
    <x v="3"/>
    <s v="Max"/>
    <n v="2025"/>
    <x v="0"/>
    <n v="26705.48"/>
    <n v="85.3"/>
    <n v="273"/>
    <n v="169"/>
    <s v="Truck"/>
    <n v="4"/>
    <x v="3"/>
    <n v="188547"/>
    <n v="3.41"/>
    <n v="5035238137.5599995"/>
  </r>
  <r>
    <x v="3"/>
    <s v="Dolphin"/>
    <n v="2025"/>
    <x v="1"/>
    <n v="98821.6"/>
    <n v="98.4"/>
    <n v="363"/>
    <n v="189"/>
    <s v="Hatchback"/>
    <n v="4"/>
    <x v="0"/>
    <n v="172137"/>
    <n v="3.93"/>
    <n v="17010853759.200001"/>
  </r>
  <r>
    <x v="15"/>
    <s v="Macan Electric"/>
    <n v="2025"/>
    <x v="3"/>
    <n v="186969.89"/>
    <n v="80.5"/>
    <n v="291"/>
    <n v="132"/>
    <s v="Hatchback"/>
    <n v="5"/>
    <x v="1"/>
    <n v="29154"/>
    <n v="4.28"/>
    <n v="5450920173.0600004"/>
  </r>
  <r>
    <x v="2"/>
    <s v="Cybertruck"/>
    <n v="2025"/>
    <x v="3"/>
    <n v="98006.33"/>
    <n v="50.5"/>
    <n v="177"/>
    <n v="138"/>
    <s v="Truck"/>
    <n v="4"/>
    <x v="0"/>
    <n v="113383"/>
    <n v="3.75"/>
    <n v="11112251714.389999"/>
  </r>
  <r>
    <x v="3"/>
    <s v="Dolphin"/>
    <n v="2025"/>
    <x v="2"/>
    <n v="52113.75"/>
    <n v="54.9"/>
    <n v="221"/>
    <n v="148"/>
    <s v="Coupe"/>
    <n v="4"/>
    <x v="2"/>
    <n v="186712"/>
    <n v="3.38"/>
    <n v="9730262490"/>
  </r>
  <r>
    <x v="13"/>
    <s v="EQC"/>
    <n v="2025"/>
    <x v="4"/>
    <n v="91108.2"/>
    <n v="66.3"/>
    <n v="223"/>
    <n v="157"/>
    <s v="Van"/>
    <n v="5"/>
    <x v="0"/>
    <n v="58124"/>
    <n v="3.6"/>
    <n v="5295573016.8000002"/>
  </r>
  <r>
    <x v="2"/>
    <s v="Model 3"/>
    <n v="2025"/>
    <x v="4"/>
    <n v="137916.62"/>
    <n v="66"/>
    <n v="216"/>
    <n v="158"/>
    <s v="SUV"/>
    <n v="5"/>
    <x v="1"/>
    <n v="132643"/>
    <n v="3.73"/>
    <n v="18293674226.66"/>
  </r>
  <r>
    <x v="12"/>
    <s v="Bolt EUV"/>
    <n v="2025"/>
    <x v="1"/>
    <n v="62330.93"/>
    <n v="108"/>
    <n v="376"/>
    <n v="200"/>
    <s v="Truck"/>
    <n v="4"/>
    <x v="2"/>
    <n v="27154"/>
    <n v="3.92"/>
    <n v="1692534073.22"/>
  </r>
  <r>
    <x v="3"/>
    <s v="Qin"/>
    <n v="2025"/>
    <x v="3"/>
    <n v="29108.23"/>
    <n v="44.5"/>
    <n v="170"/>
    <n v="165"/>
    <s v="Hatchback"/>
    <n v="5"/>
    <x v="3"/>
    <n v="179440"/>
    <n v="3.4"/>
    <n v="5223180791.1999998"/>
  </r>
  <r>
    <x v="12"/>
    <s v="Bolt EUV"/>
    <n v="2025"/>
    <x v="1"/>
    <n v="81159.740000000005"/>
    <n v="104.4"/>
    <n v="379"/>
    <n v="200"/>
    <s v="Truck"/>
    <n v="4"/>
    <x v="0"/>
    <n v="28393"/>
    <n v="3.84"/>
    <n v="2304368497.8200002"/>
  </r>
  <r>
    <x v="2"/>
    <s v="Model 3"/>
    <n v="2025"/>
    <x v="2"/>
    <n v="80586.23"/>
    <n v="77.900000000000006"/>
    <n v="274"/>
    <n v="149"/>
    <s v="Van"/>
    <n v="5"/>
    <x v="0"/>
    <n v="243472"/>
    <n v="3.8"/>
    <n v="19620490590.559998"/>
  </r>
  <r>
    <x v="3"/>
    <s v="Qin"/>
    <n v="2025"/>
    <x v="3"/>
    <n v="79451.820000000007"/>
    <n v="66.3"/>
    <n v="253"/>
    <n v="158"/>
    <s v="Hatchback"/>
    <n v="5"/>
    <x v="0"/>
    <n v="216726"/>
    <n v="3.44"/>
    <n v="17219275141.32"/>
  </r>
  <r>
    <x v="8"/>
    <s v="E-Transit"/>
    <n v="2025"/>
    <x v="2"/>
    <n v="47442.7"/>
    <n v="70.8"/>
    <n v="237"/>
    <n v="153"/>
    <s v="Van"/>
    <n v="4"/>
    <x v="2"/>
    <n v="71700"/>
    <n v="3.47"/>
    <n v="3401641590"/>
  </r>
  <r>
    <x v="3"/>
    <s v="Leaf 50X"/>
    <n v="2025"/>
    <x v="3"/>
    <n v="32451.41"/>
    <n v="72.900000000000006"/>
    <n v="268"/>
    <n v="148"/>
    <s v="Coupe"/>
    <n v="4"/>
    <x v="3"/>
    <n v="104392"/>
    <n v="3.51"/>
    <n v="3387667592.7199998"/>
  </r>
  <r>
    <x v="2"/>
    <s v="Model 3"/>
    <n v="2025"/>
    <x v="2"/>
    <n v="108727.13"/>
    <n v="41.1"/>
    <n v="150"/>
    <n v="131"/>
    <s v="Truck"/>
    <n v="3"/>
    <x v="1"/>
    <n v="118818"/>
    <n v="3.3"/>
    <n v="12918740132.34"/>
  </r>
  <r>
    <x v="6"/>
    <s v="Ioniq 5"/>
    <n v="2025"/>
    <x v="2"/>
    <n v="34994.42"/>
    <n v="79.099999999999994"/>
    <n v="269"/>
    <n v="142"/>
    <s v="Hatchback"/>
    <n v="3"/>
    <x v="3"/>
    <n v="123225"/>
    <n v="3.52"/>
    <n v="4312187404.5"/>
  </r>
  <r>
    <x v="8"/>
    <s v="Mustang Mach-E"/>
    <n v="2025"/>
    <x v="0"/>
    <n v="70076.78"/>
    <n v="107.7"/>
    <n v="396"/>
    <n v="185"/>
    <s v="Truck"/>
    <n v="3"/>
    <x v="0"/>
    <n v="52702"/>
    <n v="3.92"/>
    <n v="3693186459.5599999"/>
  </r>
  <r>
    <x v="7"/>
    <s v="ID.3"/>
    <n v="2025"/>
    <x v="1"/>
    <n v="52326.27"/>
    <n v="115.4"/>
    <n v="383"/>
    <n v="200"/>
    <s v="SUV"/>
    <n v="5"/>
    <x v="2"/>
    <n v="248780"/>
    <n v="3.88"/>
    <n v="13017729450.599998"/>
  </r>
  <r>
    <x v="9"/>
    <s v="i5"/>
    <n v="2025"/>
    <x v="2"/>
    <n v="68260.210000000006"/>
    <n v="52.1"/>
    <n v="191"/>
    <n v="171"/>
    <s v="SUV"/>
    <n v="4"/>
    <x v="0"/>
    <n v="78488"/>
    <n v="3.02"/>
    <n v="5357607362.4800005"/>
  </r>
  <r>
    <x v="10"/>
    <s v=" Polestar2"/>
    <n v="2025"/>
    <x v="2"/>
    <n v="91715.74"/>
    <n v="62.6"/>
    <n v="234"/>
    <n v="155"/>
    <s v="Hatchback"/>
    <n v="5"/>
    <x v="0"/>
    <n v="2292"/>
    <n v="3.52"/>
    <n v="210212476.08000001"/>
  </r>
  <r>
    <x v="8"/>
    <s v="Explorer EV"/>
    <n v="2025"/>
    <x v="2"/>
    <n v="55304.32"/>
    <n v="58.4"/>
    <n v="191"/>
    <n v="164"/>
    <s v="SUV"/>
    <n v="5"/>
    <x v="2"/>
    <n v="32117"/>
    <n v="3.32"/>
    <n v="1776208845.4400001"/>
  </r>
  <r>
    <x v="3"/>
    <s v="Dolphin"/>
    <n v="2025"/>
    <x v="1"/>
    <n v="30282.11"/>
    <n v="100"/>
    <n v="331"/>
    <n v="200"/>
    <s v="Van"/>
    <n v="5"/>
    <x v="3"/>
    <n v="180781"/>
    <n v="4.04"/>
    <n v="5474430127.9099998"/>
  </r>
  <r>
    <x v="3"/>
    <s v="Dolphin"/>
    <n v="2025"/>
    <x v="3"/>
    <n v="83813.38"/>
    <n v="70"/>
    <n v="271"/>
    <n v="166"/>
    <s v="SUV"/>
    <n v="3"/>
    <x v="0"/>
    <n v="193467"/>
    <n v="3.4"/>
    <n v="16215123188.460001"/>
  </r>
  <r>
    <x v="2"/>
    <s v="Model Y"/>
    <n v="2025"/>
    <x v="1"/>
    <n v="63323.17"/>
    <n v="90.5"/>
    <n v="314"/>
    <n v="195"/>
    <s v="Coupe"/>
    <n v="5"/>
    <x v="2"/>
    <n v="404935"/>
    <n v="3.92"/>
    <n v="25641767843.950001"/>
  </r>
  <r>
    <x v="3"/>
    <s v="Atto 3"/>
    <n v="2025"/>
    <x v="0"/>
    <n v="51946.07"/>
    <n v="98.3"/>
    <n v="331"/>
    <n v="185"/>
    <s v="Sedan"/>
    <n v="5"/>
    <x v="2"/>
    <n v="247778"/>
    <n v="3.61"/>
    <n v="12871093332.459999"/>
  </r>
  <r>
    <x v="8"/>
    <s v="E-Transit"/>
    <n v="2025"/>
    <x v="3"/>
    <n v="44718.1"/>
    <n v="71.7"/>
    <n v="258"/>
    <n v="157"/>
    <s v="Hatchback"/>
    <n v="5"/>
    <x v="2"/>
    <n v="41551"/>
    <n v="3.51"/>
    <n v="1858081773.0999999"/>
  </r>
  <r>
    <x v="7"/>
    <s v="ID. Aero"/>
    <n v="2025"/>
    <x v="4"/>
    <n v="112803.13"/>
    <n v="81.2"/>
    <n v="297"/>
    <n v="158"/>
    <s v="Truck"/>
    <n v="4"/>
    <x v="1"/>
    <n v="225327"/>
    <n v="3.76"/>
    <n v="25417590873.510002"/>
  </r>
  <r>
    <x v="4"/>
    <s v="e-tron GT"/>
    <n v="2025"/>
    <x v="0"/>
    <n v="126392.96000000001"/>
    <n v="109.8"/>
    <n v="384"/>
    <n v="176"/>
    <s v="Sedan"/>
    <n v="4"/>
    <x v="1"/>
    <n v="38380"/>
    <n v="4.0199999999999996"/>
    <n v="4850961804.8000002"/>
  </r>
  <r>
    <x v="0"/>
    <s v="bZ Compact SUV"/>
    <n v="2025"/>
    <x v="4"/>
    <n v="79560.179999999993"/>
    <n v="48.9"/>
    <n v="199"/>
    <n v="167"/>
    <s v="SUV"/>
    <n v="5"/>
    <x v="0"/>
    <n v="12847"/>
    <n v="3.03"/>
    <n v="1022109632.4599999"/>
  </r>
  <r>
    <x v="6"/>
    <s v="Ioniq"/>
    <n v="2025"/>
    <x v="1"/>
    <n v="56648.45"/>
    <n v="77.2"/>
    <n v="256"/>
    <n v="200"/>
    <s v="Truck"/>
    <n v="4"/>
    <x v="2"/>
    <n v="120189"/>
    <n v="3.68"/>
    <n v="6808520557.0499992"/>
  </r>
  <r>
    <x v="2"/>
    <s v="Model Y"/>
    <n v="2025"/>
    <x v="4"/>
    <n v="126346.84"/>
    <n v="62.5"/>
    <n v="253"/>
    <n v="147"/>
    <s v="SUV"/>
    <n v="4"/>
    <x v="1"/>
    <n v="433007"/>
    <n v="3.92"/>
    <n v="54709066147.879997"/>
  </r>
  <r>
    <x v="17"/>
    <s v="XC40 Recharge"/>
    <n v="2025"/>
    <x v="0"/>
    <n v="79465"/>
    <n v="100.9"/>
    <n v="373"/>
    <n v="183"/>
    <s v="Van"/>
    <n v="5"/>
    <x v="0"/>
    <n v="9072"/>
    <n v="4"/>
    <n v="720906480"/>
  </r>
  <r>
    <x v="7"/>
    <s v="ID. Buzz"/>
    <n v="2025"/>
    <x v="0"/>
    <n v="97039.06"/>
    <n v="100.7"/>
    <n v="357"/>
    <n v="191"/>
    <s v="Coupe"/>
    <n v="4"/>
    <x v="0"/>
    <n v="224398"/>
    <n v="3.79"/>
    <n v="21775370985.880001"/>
  </r>
  <r>
    <x v="12"/>
    <s v="Blazer EV"/>
    <n v="2025"/>
    <x v="4"/>
    <n v="80502.600000000006"/>
    <n v="78.599999999999994"/>
    <n v="262"/>
    <n v="176"/>
    <s v="Sedan"/>
    <n v="3"/>
    <x v="0"/>
    <n v="14992"/>
    <n v="3.62"/>
    <n v="1206894979.2"/>
  </r>
  <r>
    <x v="2"/>
    <s v="Model 3"/>
    <n v="2025"/>
    <x v="0"/>
    <n v="31639.64"/>
    <n v="77.2"/>
    <n v="287"/>
    <n v="172"/>
    <s v="Coupe"/>
    <n v="5"/>
    <x v="3"/>
    <n v="146342"/>
    <n v="4"/>
    <n v="4630208196.8800001"/>
  </r>
  <r>
    <x v="3"/>
    <s v="Atto 3"/>
    <n v="2025"/>
    <x v="1"/>
    <n v="81358.02"/>
    <n v="82.4"/>
    <n v="282"/>
    <n v="195"/>
    <s v="Sedan"/>
    <n v="4"/>
    <x v="0"/>
    <n v="108251"/>
    <n v="3.65"/>
    <n v="8807087023.0200005"/>
  </r>
  <r>
    <x v="3"/>
    <s v="Dolphin"/>
    <n v="2025"/>
    <x v="2"/>
    <n v="73207.320000000007"/>
    <n v="69.3"/>
    <n v="232"/>
    <n v="152"/>
    <s v="Hatchback"/>
    <n v="4"/>
    <x v="0"/>
    <n v="205374"/>
    <n v="3.21"/>
    <n v="15034880137.680002"/>
  </r>
  <r>
    <x v="13"/>
    <s v="EQE"/>
    <n v="2025"/>
    <x v="4"/>
    <n v="112650.99"/>
    <n v="53.9"/>
    <n v="165"/>
    <n v="148"/>
    <s v="SUV"/>
    <n v="4"/>
    <x v="1"/>
    <n v="79068"/>
    <n v="3.36"/>
    <n v="8907088477.3199997"/>
  </r>
  <r>
    <x v="2"/>
    <s v="Model S"/>
    <n v="2025"/>
    <x v="3"/>
    <n v="58831.27"/>
    <n v="45"/>
    <n v="150"/>
    <n v="147"/>
    <s v="Sedan"/>
    <n v="5"/>
    <x v="2"/>
    <n v="150860"/>
    <n v="3.42"/>
    <n v="8875285392.1999989"/>
  </r>
  <r>
    <x v="7"/>
    <s v="ID.3"/>
    <n v="2025"/>
    <x v="0"/>
    <n v="70858.100000000006"/>
    <n v="90.5"/>
    <n v="274"/>
    <n v="163"/>
    <s v="Truck"/>
    <n v="5"/>
    <x v="0"/>
    <n v="251846"/>
    <n v="3.59"/>
    <n v="17845329052.600002"/>
  </r>
  <r>
    <x v="3"/>
    <s v="Yuan Plus"/>
    <n v="2025"/>
    <x v="2"/>
    <n v="73712.39"/>
    <n v="44.1"/>
    <n v="173"/>
    <n v="126"/>
    <s v="Sedan"/>
    <n v="4"/>
    <x v="0"/>
    <n v="243890"/>
    <n v="3.08"/>
    <n v="17977714797.099998"/>
  </r>
  <r>
    <x v="6"/>
    <s v="Ioniq"/>
    <n v="2025"/>
    <x v="3"/>
    <n v="65291.37"/>
    <n v="83.7"/>
    <n v="283"/>
    <n v="150"/>
    <s v="Van"/>
    <n v="5"/>
    <x v="0"/>
    <n v="99183"/>
    <n v="3.55"/>
    <n v="6475793950.71"/>
  </r>
  <r>
    <x v="2"/>
    <s v="Cybertruck"/>
    <n v="2025"/>
    <x v="2"/>
    <n v="64862.04"/>
    <n v="68.099999999999994"/>
    <n v="237"/>
    <n v="145"/>
    <s v="Truck"/>
    <n v="5"/>
    <x v="2"/>
    <n v="237113"/>
    <n v="3.85"/>
    <n v="15379632890.52"/>
  </r>
  <r>
    <x v="13"/>
    <s v="EQS"/>
    <n v="2025"/>
    <x v="3"/>
    <n v="131964.76"/>
    <n v="47"/>
    <n v="157"/>
    <n v="160"/>
    <s v="Coupe"/>
    <n v="4"/>
    <x v="1"/>
    <n v="62952"/>
    <n v="3.64"/>
    <n v="8307445571.5200005"/>
  </r>
  <r>
    <x v="3"/>
    <s v="Seagull"/>
    <n v="2025"/>
    <x v="3"/>
    <n v="37099.25"/>
    <n v="64.7"/>
    <n v="205"/>
    <n v="171"/>
    <s v="Hatchback"/>
    <n v="5"/>
    <x v="2"/>
    <n v="163441"/>
    <n v="3.69"/>
    <n v="6063538519.25"/>
  </r>
  <r>
    <x v="4"/>
    <s v="Q4 e-tron"/>
    <n v="2025"/>
    <x v="3"/>
    <n v="55204.45"/>
    <n v="65.400000000000006"/>
    <n v="223"/>
    <n v="164"/>
    <s v="Hatchback"/>
    <n v="4"/>
    <x v="2"/>
    <n v="48087"/>
    <n v="3.24"/>
    <n v="2654616387.1500001"/>
  </r>
  <r>
    <x v="8"/>
    <s v="E-Transit"/>
    <n v="2025"/>
    <x v="3"/>
    <n v="63604.01"/>
    <n v="40"/>
    <n v="150"/>
    <n v="148"/>
    <s v="Hatchback"/>
    <n v="4"/>
    <x v="2"/>
    <n v="36824"/>
    <n v="3.23"/>
    <n v="2342154064.2400002"/>
  </r>
  <r>
    <x v="13"/>
    <s v="EQS"/>
    <n v="2025"/>
    <x v="3"/>
    <n v="99348.31"/>
    <n v="48.9"/>
    <n v="189"/>
    <n v="150"/>
    <s v="Coupe"/>
    <n v="4"/>
    <x v="0"/>
    <n v="79812"/>
    <n v="3.77"/>
    <n v="7929187317.7200003"/>
  </r>
  <r>
    <x v="13"/>
    <s v="EQC"/>
    <n v="2025"/>
    <x v="2"/>
    <n v="124226.17"/>
    <n v="74.2"/>
    <n v="253"/>
    <n v="164"/>
    <s v="SUV"/>
    <n v="4"/>
    <x v="1"/>
    <n v="40173"/>
    <n v="3.67"/>
    <n v="4990537927.4099998"/>
  </r>
  <r>
    <x v="12"/>
    <s v="Blazer EV"/>
    <n v="2025"/>
    <x v="2"/>
    <n v="34616.61"/>
    <n v="73.900000000000006"/>
    <n v="287"/>
    <n v="167"/>
    <s v="Coupe"/>
    <n v="4"/>
    <x v="3"/>
    <n v="24423"/>
    <n v="3.83"/>
    <n v="845441466.02999997"/>
  </r>
  <r>
    <x v="13"/>
    <s v="EQS"/>
    <n v="2025"/>
    <x v="0"/>
    <n v="183986.43"/>
    <n v="100.6"/>
    <n v="365"/>
    <n v="193"/>
    <s v="Hatchback"/>
    <n v="5"/>
    <x v="1"/>
    <n v="50432"/>
    <n v="4.09"/>
    <n v="9278803637.7600002"/>
  </r>
  <r>
    <x v="2"/>
    <s v="Cybertruck"/>
    <n v="2025"/>
    <x v="1"/>
    <n v="56352.74"/>
    <n v="82.9"/>
    <n v="297"/>
    <n v="200"/>
    <s v="Truck"/>
    <n v="4"/>
    <x v="2"/>
    <n v="197115"/>
    <n v="3.86"/>
    <n v="11107970345.1"/>
  </r>
  <r>
    <x v="12"/>
    <s v="Blazer EV"/>
    <n v="2025"/>
    <x v="2"/>
    <n v="63436.73"/>
    <n v="52.8"/>
    <n v="186"/>
    <n v="130"/>
    <s v="Truck"/>
    <n v="5"/>
    <x v="2"/>
    <n v="13397"/>
    <n v="3.49"/>
    <n v="849861871.81000006"/>
  </r>
  <r>
    <x v="9"/>
    <s v="i5"/>
    <n v="2025"/>
    <x v="2"/>
    <n v="84667.26"/>
    <n v="78.3"/>
    <n v="258"/>
    <n v="141"/>
    <s v="Truck"/>
    <n v="3"/>
    <x v="0"/>
    <n v="39763"/>
    <n v="3.26"/>
    <n v="3366624259.3799996"/>
  </r>
  <r>
    <x v="9"/>
    <s v="iX"/>
    <n v="2025"/>
    <x v="3"/>
    <n v="92031.99"/>
    <n v="74.599999999999994"/>
    <n v="257"/>
    <n v="166"/>
    <s v="Sedan"/>
    <n v="5"/>
    <x v="0"/>
    <n v="29936"/>
    <n v="3.7"/>
    <n v="2755069652.6400003"/>
  </r>
  <r>
    <x v="8"/>
    <s v="Explorer EV"/>
    <n v="2025"/>
    <x v="4"/>
    <n v="66422.789999999994"/>
    <n v="77.900000000000006"/>
    <n v="263"/>
    <n v="149"/>
    <s v="Van"/>
    <n v="5"/>
    <x v="0"/>
    <n v="56669"/>
    <n v="3.69"/>
    <n v="3764113086.5099998"/>
  </r>
  <r>
    <x v="2"/>
    <s v="Cybertruck"/>
    <n v="2025"/>
    <x v="4"/>
    <n v="52220.2"/>
    <n v="69.099999999999994"/>
    <n v="211"/>
    <n v="172"/>
    <s v="Truck"/>
    <n v="5"/>
    <x v="2"/>
    <n v="119997"/>
    <n v="3.75"/>
    <n v="6266267339.3999996"/>
  </r>
  <r>
    <x v="12"/>
    <s v="Equinox EV"/>
    <n v="2025"/>
    <x v="0"/>
    <n v="84366.720000000001"/>
    <n v="76.7"/>
    <n v="244"/>
    <n v="185"/>
    <s v="SUV"/>
    <n v="4"/>
    <x v="0"/>
    <n v="6773"/>
    <n v="3.64"/>
    <n v="571415794.56000006"/>
  </r>
  <r>
    <x v="5"/>
    <s v="EV9"/>
    <n v="2025"/>
    <x v="0"/>
    <n v="93514.06"/>
    <n v="80.2"/>
    <n v="278"/>
    <n v="179"/>
    <s v="SUV"/>
    <n v="5"/>
    <x v="0"/>
    <n v="120989"/>
    <n v="3.34"/>
    <n v="11314172605.34"/>
  </r>
  <r>
    <x v="2"/>
    <s v="Model S"/>
    <n v="2025"/>
    <x v="3"/>
    <n v="67256.69"/>
    <n v="74.099999999999994"/>
    <n v="249"/>
    <n v="156"/>
    <s v="Truck"/>
    <n v="5"/>
    <x v="0"/>
    <n v="149284"/>
    <n v="3.76"/>
    <n v="10040347709.960001"/>
  </r>
  <r>
    <x v="14"/>
    <s v="EL6"/>
    <n v="2025"/>
    <x v="3"/>
    <n v="65308.05"/>
    <n v="45.9"/>
    <n v="171"/>
    <n v="156"/>
    <s v="Sedan"/>
    <n v="5"/>
    <x v="0"/>
    <n v="19253"/>
    <n v="3.04"/>
    <n v="1257375886.6500001"/>
  </r>
  <r>
    <x v="2"/>
    <s v="Model Y"/>
    <n v="2025"/>
    <x v="4"/>
    <n v="154034.20000000001"/>
    <n v="80.599999999999994"/>
    <n v="277"/>
    <n v="146"/>
    <s v="Hatchback"/>
    <n v="5"/>
    <x v="1"/>
    <n v="428866"/>
    <n v="3.69"/>
    <n v="66060031217.200005"/>
  </r>
  <r>
    <x v="3"/>
    <s v="Seagull"/>
    <n v="2025"/>
    <x v="3"/>
    <n v="26964.92"/>
    <n v="56.1"/>
    <n v="166"/>
    <n v="165"/>
    <s v="Van"/>
    <n v="5"/>
    <x v="3"/>
    <n v="131090"/>
    <n v="3.27"/>
    <n v="3534831362.7999997"/>
  </r>
  <r>
    <x v="5"/>
    <s v="EV9"/>
    <n v="2025"/>
    <x v="0"/>
    <n v="74000.570000000007"/>
    <n v="102.9"/>
    <n v="371"/>
    <n v="187"/>
    <s v="SUV"/>
    <n v="5"/>
    <x v="0"/>
    <n v="137133"/>
    <n v="3.72"/>
    <n v="10147920165.810001"/>
  </r>
  <r>
    <x v="3"/>
    <s v="Atto 3"/>
    <n v="2025"/>
    <x v="4"/>
    <n v="81058.7"/>
    <n v="78.3"/>
    <n v="260"/>
    <n v="160"/>
    <s v="Van"/>
    <n v="4"/>
    <x v="0"/>
    <n v="230802"/>
    <n v="3.44"/>
    <n v="18708510077.399998"/>
  </r>
  <r>
    <x v="2"/>
    <s v="Model 3"/>
    <n v="2025"/>
    <x v="1"/>
    <n v="112635.62"/>
    <n v="91.1"/>
    <n v="305"/>
    <n v="195"/>
    <s v="Truck"/>
    <n v="5"/>
    <x v="1"/>
    <n v="126461"/>
    <n v="4.1399999999999997"/>
    <n v="14244013140.82"/>
  </r>
  <r>
    <x v="2"/>
    <s v="Model X"/>
    <n v="2025"/>
    <x v="1"/>
    <n v="92160.09"/>
    <n v="115.6"/>
    <n v="400"/>
    <n v="200"/>
    <s v="Sedan"/>
    <n v="4"/>
    <x v="0"/>
    <n v="139912"/>
    <n v="4.17"/>
    <n v="12894302512.08"/>
  </r>
  <r>
    <x v="9"/>
    <s v="i3"/>
    <n v="2025"/>
    <x v="3"/>
    <n v="69070.75"/>
    <n v="82"/>
    <n v="304"/>
    <n v="143"/>
    <s v="Van"/>
    <n v="4"/>
    <x v="0"/>
    <n v="73019"/>
    <n v="3.53"/>
    <n v="5043477094.25"/>
  </r>
  <r>
    <x v="3"/>
    <s v="Yuan Plus"/>
    <n v="2025"/>
    <x v="3"/>
    <n v="28078.09"/>
    <n v="44.7"/>
    <n v="150"/>
    <n v="156"/>
    <s v="Sedan"/>
    <n v="3"/>
    <x v="3"/>
    <n v="207345"/>
    <n v="3.08"/>
    <n v="5821851571.0500002"/>
  </r>
  <r>
    <x v="7"/>
    <s v="ID. Buzz"/>
    <n v="2025"/>
    <x v="3"/>
    <n v="34913.449999999997"/>
    <n v="57.9"/>
    <n v="187"/>
    <n v="145"/>
    <s v="Hatchback"/>
    <n v="5"/>
    <x v="3"/>
    <n v="204604"/>
    <n v="3.5"/>
    <n v="7143431523.7999992"/>
  </r>
  <r>
    <x v="3"/>
    <s v="Yuan Plus"/>
    <n v="2025"/>
    <x v="1"/>
    <n v="113906.34"/>
    <n v="84.5"/>
    <n v="315"/>
    <n v="200"/>
    <s v="Truck"/>
    <n v="3"/>
    <x v="1"/>
    <n v="193570"/>
    <n v="3.68"/>
    <n v="22048850233.799999"/>
  </r>
  <r>
    <x v="2"/>
    <s v="Model S"/>
    <n v="2025"/>
    <x v="0"/>
    <n v="67690.460000000006"/>
    <n v="92.6"/>
    <n v="317"/>
    <n v="179"/>
    <s v="Hatchback"/>
    <n v="4"/>
    <x v="0"/>
    <n v="187975"/>
    <n v="3.94"/>
    <n v="12724114218.500002"/>
  </r>
  <r>
    <x v="7"/>
    <s v="ID. Buzz"/>
    <n v="2025"/>
    <x v="3"/>
    <n v="71667.28"/>
    <n v="81.5"/>
    <n v="282"/>
    <n v="156"/>
    <s v="Van"/>
    <n v="3"/>
    <x v="0"/>
    <n v="285418"/>
    <n v="3.48"/>
    <n v="20455131723.040001"/>
  </r>
  <r>
    <x v="14"/>
    <s v="EC6"/>
    <n v="2025"/>
    <x v="4"/>
    <n v="103197.25"/>
    <n v="46.4"/>
    <n v="161"/>
    <n v="163"/>
    <s v="Van"/>
    <n v="4"/>
    <x v="1"/>
    <n v="20886"/>
    <n v="3.24"/>
    <n v="2155377763.5"/>
  </r>
  <r>
    <x v="9"/>
    <s v="i7"/>
    <n v="2025"/>
    <x v="1"/>
    <n v="150935.25"/>
    <n v="119.6"/>
    <n v="423"/>
    <n v="200"/>
    <s v="Hatchback"/>
    <n v="5"/>
    <x v="1"/>
    <n v="49006"/>
    <n v="3.99"/>
    <n v="7396732861.5"/>
  </r>
  <r>
    <x v="3"/>
    <s v="Seagull"/>
    <n v="2025"/>
    <x v="0"/>
    <n v="32710.87"/>
    <n v="88.5"/>
    <n v="321"/>
    <n v="192"/>
    <s v="Truck"/>
    <n v="5"/>
    <x v="3"/>
    <n v="169948"/>
    <n v="3.62"/>
    <n v="5559146934.7600002"/>
  </r>
  <r>
    <x v="3"/>
    <s v="Max"/>
    <n v="2025"/>
    <x v="1"/>
    <n v="118077.25"/>
    <n v="109.3"/>
    <n v="391"/>
    <n v="191"/>
    <s v="Sedan"/>
    <n v="5"/>
    <x v="1"/>
    <n v="103364"/>
    <n v="3.72"/>
    <n v="12204936869"/>
  </r>
  <r>
    <x v="2"/>
    <s v="Model Y"/>
    <n v="2025"/>
    <x v="3"/>
    <n v="92379.520000000004"/>
    <n v="84.7"/>
    <n v="300"/>
    <n v="130"/>
    <s v="Sedan"/>
    <n v="4"/>
    <x v="0"/>
    <n v="461008"/>
    <n v="3.78"/>
    <n v="42587697756.160004"/>
  </r>
  <r>
    <x v="1"/>
    <s v="Ronin"/>
    <n v="2025"/>
    <x v="4"/>
    <n v="106306.01"/>
    <n v="80.2"/>
    <n v="270"/>
    <n v="140"/>
    <s v="Van"/>
    <n v="5"/>
    <x v="1"/>
    <n v="8757"/>
    <n v="3.62"/>
    <n v="930921729.56999993"/>
  </r>
  <r>
    <x v="13"/>
    <s v="GLE EV"/>
    <n v="2025"/>
    <x v="4"/>
    <n v="111590.33"/>
    <n v="69.8"/>
    <n v="216"/>
    <n v="161"/>
    <s v="SUV"/>
    <n v="4"/>
    <x v="1"/>
    <n v="58457"/>
    <n v="3.3"/>
    <n v="6523235920.8100004"/>
  </r>
  <r>
    <x v="8"/>
    <s v="F-150 Lightning"/>
    <n v="2025"/>
    <x v="4"/>
    <n v="79279.61"/>
    <n v="59.6"/>
    <n v="194"/>
    <n v="139"/>
    <s v="Truck"/>
    <n v="5"/>
    <x v="0"/>
    <n v="67161"/>
    <n v="3.21"/>
    <n v="5324497887.21"/>
  </r>
  <r>
    <x v="2"/>
    <s v="Model S"/>
    <n v="2025"/>
    <x v="2"/>
    <n v="41533.410000000003"/>
    <n v="81.099999999999994"/>
    <n v="287"/>
    <n v="145"/>
    <s v="Hatchback"/>
    <n v="4"/>
    <x v="2"/>
    <n v="205263"/>
    <n v="3.88"/>
    <n v="8525272336.8300009"/>
  </r>
  <r>
    <x v="2"/>
    <s v="Model S"/>
    <n v="2025"/>
    <x v="4"/>
    <n v="131664.51"/>
    <n v="56.1"/>
    <n v="197"/>
    <n v="167"/>
    <s v="SUV"/>
    <n v="5"/>
    <x v="1"/>
    <n v="124407"/>
    <n v="3.58"/>
    <n v="16379986695.570002"/>
  </r>
  <r>
    <x v="5"/>
    <s v="EV9"/>
    <n v="2025"/>
    <x v="2"/>
    <n v="31082.43"/>
    <n v="50.7"/>
    <n v="177"/>
    <n v="143"/>
    <s v="SUV"/>
    <n v="5"/>
    <x v="3"/>
    <n v="76695"/>
    <n v="3.1"/>
    <n v="2383866968.8499999"/>
  </r>
  <r>
    <x v="3"/>
    <s v="Seagull"/>
    <n v="2025"/>
    <x v="4"/>
    <n v="111062.23"/>
    <n v="40.6"/>
    <n v="162"/>
    <n v="136"/>
    <s v="Truck"/>
    <n v="4"/>
    <x v="1"/>
    <n v="149002"/>
    <n v="3.28"/>
    <n v="16548494394.459999"/>
  </r>
  <r>
    <x v="8"/>
    <s v="Explorer EV"/>
    <n v="2025"/>
    <x v="4"/>
    <n v="56654.61"/>
    <n v="62.9"/>
    <n v="233"/>
    <n v="156"/>
    <s v="Van"/>
    <n v="5"/>
    <x v="2"/>
    <n v="41791"/>
    <n v="3.47"/>
    <n v="2367652806.5100002"/>
  </r>
  <r>
    <x v="7"/>
    <s v="ID. Buzz"/>
    <n v="2025"/>
    <x v="3"/>
    <n v="85586.86"/>
    <n v="50.5"/>
    <n v="179"/>
    <n v="160"/>
    <s v="Truck"/>
    <n v="3"/>
    <x v="0"/>
    <n v="259718"/>
    <n v="3"/>
    <n v="22228448105.48"/>
  </r>
  <r>
    <x v="8"/>
    <s v="E-Transit"/>
    <n v="2025"/>
    <x v="3"/>
    <n v="32151.97"/>
    <n v="58.3"/>
    <n v="176"/>
    <n v="169"/>
    <s v="Hatchback"/>
    <n v="4"/>
    <x v="3"/>
    <n v="25887"/>
    <n v="3.14"/>
    <n v="832318047.38999999"/>
  </r>
  <r>
    <x v="2"/>
    <s v="Model X"/>
    <n v="2025"/>
    <x v="1"/>
    <n v="99111.24"/>
    <n v="103.7"/>
    <n v="345"/>
    <n v="182"/>
    <s v="Truck"/>
    <n v="5"/>
    <x v="0"/>
    <n v="160176"/>
    <n v="4.04"/>
    <n v="15875241978.240002"/>
  </r>
  <r>
    <x v="6"/>
    <s v="Kona Electric"/>
    <n v="2025"/>
    <x v="2"/>
    <n v="46056.18"/>
    <n v="74.8"/>
    <n v="259"/>
    <n v="153"/>
    <s v="Sedan"/>
    <n v="5"/>
    <x v="2"/>
    <n v="143815"/>
    <n v="3.55"/>
    <n v="6623569526.6999998"/>
  </r>
  <r>
    <x v="5"/>
    <s v="Picanto EV"/>
    <n v="2025"/>
    <x v="1"/>
    <n v="88002.42"/>
    <n v="95.9"/>
    <n v="334"/>
    <n v="200"/>
    <s v="SUV"/>
    <n v="5"/>
    <x v="0"/>
    <n v="60132"/>
    <n v="3.63"/>
    <n v="5291761519.4399996"/>
  </r>
  <r>
    <x v="12"/>
    <s v="Equinox EV"/>
    <n v="2025"/>
    <x v="2"/>
    <n v="57562.96"/>
    <n v="48"/>
    <n v="172"/>
    <n v="154"/>
    <s v="SUV"/>
    <n v="5"/>
    <x v="2"/>
    <n v="18527"/>
    <n v="3.44"/>
    <n v="1066468959.92"/>
  </r>
  <r>
    <x v="2"/>
    <s v="Model 3"/>
    <n v="2025"/>
    <x v="3"/>
    <n v="39764.730000000003"/>
    <n v="62.8"/>
    <n v="218"/>
    <n v="135"/>
    <s v="Truck"/>
    <n v="5"/>
    <x v="2"/>
    <n v="177083"/>
    <n v="3.7"/>
    <n v="7041657682.5900002"/>
  </r>
  <r>
    <x v="3"/>
    <s v="Dolphin"/>
    <n v="2025"/>
    <x v="0"/>
    <n v="23723.54"/>
    <n v="84.2"/>
    <n v="308"/>
    <n v="185"/>
    <s v="Truck"/>
    <n v="4"/>
    <x v="3"/>
    <n v="224275"/>
    <n v="3.65"/>
    <n v="5320596933.5"/>
  </r>
  <r>
    <x v="2"/>
    <s v="Model Y"/>
    <n v="2025"/>
    <x v="0"/>
    <n v="71009.25"/>
    <n v="81"/>
    <n v="305"/>
    <n v="162"/>
    <s v="Van"/>
    <n v="4"/>
    <x v="0"/>
    <n v="465765"/>
    <n v="3.91"/>
    <n v="33073623326.25"/>
  </r>
  <r>
    <x v="7"/>
    <s v="ID.5"/>
    <n v="2025"/>
    <x v="2"/>
    <n v="36800.160000000003"/>
    <n v="48.1"/>
    <n v="169"/>
    <n v="152"/>
    <s v="SUV"/>
    <n v="5"/>
    <x v="2"/>
    <n v="290748"/>
    <n v="3.43"/>
    <n v="10699572919.68"/>
  </r>
  <r>
    <x v="2"/>
    <s v="Cybertruck"/>
    <n v="2025"/>
    <x v="4"/>
    <n v="81977.77"/>
    <n v="68.400000000000006"/>
    <n v="192"/>
    <n v="155"/>
    <s v="Truck"/>
    <n v="5"/>
    <x v="0"/>
    <n v="146854"/>
    <n v="3.53"/>
    <n v="12038763435.58"/>
  </r>
  <r>
    <x v="2"/>
    <s v="Model S"/>
    <n v="2025"/>
    <x v="1"/>
    <n v="94641.12"/>
    <n v="111.8"/>
    <n v="362"/>
    <n v="200"/>
    <s v="SUV"/>
    <n v="4"/>
    <x v="0"/>
    <n v="235320"/>
    <n v="4.03"/>
    <n v="22270948358.399998"/>
  </r>
  <r>
    <x v="14"/>
    <s v="EC6"/>
    <n v="2025"/>
    <x v="3"/>
    <n v="73079.97"/>
    <n v="50.5"/>
    <n v="174"/>
    <n v="143"/>
    <s v="Coupe"/>
    <n v="4"/>
    <x v="0"/>
    <n v="11643"/>
    <n v="3.03"/>
    <n v="850870090.71000004"/>
  </r>
  <r>
    <x v="2"/>
    <s v="Model S"/>
    <n v="2025"/>
    <x v="2"/>
    <n v="106992.78"/>
    <n v="50.9"/>
    <n v="162"/>
    <n v="152"/>
    <s v="Coupe"/>
    <n v="5"/>
    <x v="1"/>
    <n v="178229"/>
    <n v="3.58"/>
    <n v="19069216186.619999"/>
  </r>
  <r>
    <x v="12"/>
    <s v="Bolt EUV"/>
    <n v="2025"/>
    <x v="0"/>
    <n v="51965.01"/>
    <n v="75.8"/>
    <n v="297"/>
    <n v="177"/>
    <s v="Coupe"/>
    <n v="5"/>
    <x v="2"/>
    <n v="28326"/>
    <n v="3.65"/>
    <n v="1471960873.26"/>
  </r>
  <r>
    <x v="13"/>
    <s v="EQC"/>
    <n v="2025"/>
    <x v="0"/>
    <n v="136371.95000000001"/>
    <n v="98.8"/>
    <n v="323"/>
    <n v="180"/>
    <s v="Coupe"/>
    <n v="4"/>
    <x v="1"/>
    <n v="34019"/>
    <n v="4.25"/>
    <n v="4639237367.0500002"/>
  </r>
  <r>
    <x v="8"/>
    <s v="Explorer EV"/>
    <n v="2025"/>
    <x v="2"/>
    <n v="45556.75"/>
    <n v="57.9"/>
    <n v="221"/>
    <n v="153"/>
    <s v="Coupe"/>
    <n v="5"/>
    <x v="2"/>
    <n v="46977"/>
    <n v="3.32"/>
    <n v="2140119444.75"/>
  </r>
  <r>
    <x v="6"/>
    <s v="i30"/>
    <n v="2025"/>
    <x v="3"/>
    <n v="66375.02"/>
    <n v="59.8"/>
    <n v="232"/>
    <n v="143"/>
    <s v="Coupe"/>
    <n v="4"/>
    <x v="0"/>
    <n v="125248"/>
    <n v="3.22"/>
    <n v="8313338504.96"/>
  </r>
  <r>
    <x v="12"/>
    <s v="Bolt EUV"/>
    <n v="2025"/>
    <x v="1"/>
    <n v="68553.58"/>
    <n v="80.599999999999994"/>
    <n v="282"/>
    <n v="193"/>
    <s v="SUV"/>
    <n v="5"/>
    <x v="0"/>
    <n v="27343"/>
    <n v="3.55"/>
    <n v="1874460537.9400001"/>
  </r>
  <r>
    <x v="3"/>
    <s v="Seagull"/>
    <n v="2025"/>
    <x v="0"/>
    <n v="57737.75"/>
    <n v="106.1"/>
    <n v="383"/>
    <n v="189"/>
    <s v="Coupe"/>
    <n v="4"/>
    <x v="2"/>
    <n v="108943"/>
    <n v="4.12"/>
    <n v="6290123698.25"/>
  </r>
  <r>
    <x v="8"/>
    <s v="E-Transit"/>
    <n v="2025"/>
    <x v="0"/>
    <n v="54602.2"/>
    <n v="96"/>
    <n v="344"/>
    <n v="181"/>
    <s v="Van"/>
    <n v="3"/>
    <x v="2"/>
    <n v="50891"/>
    <n v="3.53"/>
    <n v="2778760560.1999998"/>
  </r>
  <r>
    <x v="5"/>
    <s v="Sportage EV"/>
    <n v="2025"/>
    <x v="0"/>
    <n v="76787.3"/>
    <n v="75.400000000000006"/>
    <n v="275"/>
    <n v="171"/>
    <s v="SUV"/>
    <n v="4"/>
    <x v="0"/>
    <n v="116634"/>
    <n v="3.71"/>
    <n v="8956009948.2000008"/>
  </r>
  <r>
    <x v="16"/>
    <s v="SU7"/>
    <n v="2025"/>
    <x v="4"/>
    <n v="55513.599999999999"/>
    <n v="48.7"/>
    <n v="150"/>
    <n v="162"/>
    <s v="Sedan"/>
    <n v="4"/>
    <x v="2"/>
    <n v="22327"/>
    <n v="3.32"/>
    <n v="1239452147.2"/>
  </r>
  <r>
    <x v="9"/>
    <s v="i4"/>
    <n v="2025"/>
    <x v="2"/>
    <n v="84529.75"/>
    <n v="77.3"/>
    <n v="276"/>
    <n v="176"/>
    <s v="Hatchback"/>
    <n v="4"/>
    <x v="0"/>
    <n v="25679"/>
    <n v="3.71"/>
    <n v="2170639450.25"/>
  </r>
  <r>
    <x v="2"/>
    <s v="Model S"/>
    <n v="2025"/>
    <x v="2"/>
    <n v="97308.1"/>
    <n v="56.4"/>
    <n v="188"/>
    <n v="153"/>
    <s v="SUV"/>
    <n v="4"/>
    <x v="0"/>
    <n v="239872"/>
    <n v="3.7"/>
    <n v="23341488563.200001"/>
  </r>
  <r>
    <x v="2"/>
    <s v="Model X"/>
    <n v="2025"/>
    <x v="4"/>
    <n v="35653.980000000003"/>
    <n v="52"/>
    <n v="162"/>
    <n v="146"/>
    <s v="Truck"/>
    <n v="4"/>
    <x v="2"/>
    <n v="228295"/>
    <n v="3.58"/>
    <n v="8139625364.1000004"/>
  </r>
  <r>
    <x v="6"/>
    <s v="Ioniq 6"/>
    <n v="2025"/>
    <x v="0"/>
    <n v="80040.399999999994"/>
    <n v="81.099999999999994"/>
    <n v="284"/>
    <n v="181"/>
    <s v="Truck"/>
    <n v="5"/>
    <x v="0"/>
    <n v="146157"/>
    <n v="3.67"/>
    <n v="11698464742.799999"/>
  </r>
  <r>
    <x v="12"/>
    <s v="Equinox EV"/>
    <n v="2025"/>
    <x v="2"/>
    <n v="64750.83"/>
    <n v="60.4"/>
    <n v="230"/>
    <n v="137"/>
    <s v="SUV"/>
    <n v="4"/>
    <x v="2"/>
    <n v="23069"/>
    <n v="3.62"/>
    <n v="1493736897.27"/>
  </r>
  <r>
    <x v="15"/>
    <s v="Taycan"/>
    <n v="2025"/>
    <x v="4"/>
    <n v="111303.96"/>
    <n v="67.099999999999994"/>
    <n v="242"/>
    <n v="145"/>
    <s v="Van"/>
    <n v="5"/>
    <x v="1"/>
    <n v="5234"/>
    <n v="3.75"/>
    <n v="582564926.63999999"/>
  </r>
  <r>
    <x v="13"/>
    <s v="EQE"/>
    <n v="2025"/>
    <x v="4"/>
    <n v="198768.13"/>
    <n v="55.6"/>
    <n v="194"/>
    <n v="170"/>
    <s v="SUV"/>
    <n v="5"/>
    <x v="1"/>
    <n v="77200"/>
    <n v="3.68"/>
    <n v="15344899636"/>
  </r>
  <r>
    <x v="7"/>
    <s v="ID. Buzz"/>
    <n v="2025"/>
    <x v="4"/>
    <n v="116578.08"/>
    <n v="55.4"/>
    <n v="182"/>
    <n v="147"/>
    <s v="Van"/>
    <n v="3"/>
    <x v="1"/>
    <n v="202014"/>
    <n v="3.21"/>
    <n v="23550404253.119999"/>
  </r>
  <r>
    <x v="4"/>
    <s v="e-tron"/>
    <n v="2025"/>
    <x v="3"/>
    <n v="77807.960000000006"/>
    <n v="46.7"/>
    <n v="186"/>
    <n v="131"/>
    <s v="Van"/>
    <n v="5"/>
    <x v="0"/>
    <n v="67104"/>
    <n v="3.14"/>
    <n v="5221225347.8400002"/>
  </r>
  <r>
    <x v="7"/>
    <s v="ID.4"/>
    <n v="2025"/>
    <x v="2"/>
    <n v="78903.539999999994"/>
    <n v="67.099999999999994"/>
    <n v="237"/>
    <n v="169"/>
    <s v="Van"/>
    <n v="5"/>
    <x v="0"/>
    <n v="283626"/>
    <n v="3.43"/>
    <n v="22379095436.039997"/>
  </r>
  <r>
    <x v="4"/>
    <s v="Q4 e-tron"/>
    <n v="2025"/>
    <x v="3"/>
    <n v="119850.54"/>
    <n v="74.400000000000006"/>
    <n v="257"/>
    <n v="160"/>
    <s v="Sedan"/>
    <n v="5"/>
    <x v="1"/>
    <n v="48973"/>
    <n v="3.68"/>
    <n v="5869440495.4200001"/>
  </r>
  <r>
    <x v="3"/>
    <s v="Atto 3"/>
    <n v="2025"/>
    <x v="4"/>
    <n v="45553.77"/>
    <n v="71.900000000000006"/>
    <n v="240"/>
    <n v="134"/>
    <s v="SUV"/>
    <n v="5"/>
    <x v="2"/>
    <n v="119429"/>
    <n v="3.24"/>
    <n v="5440441197.3299999"/>
  </r>
  <r>
    <x v="3"/>
    <s v="Atto 3"/>
    <n v="2025"/>
    <x v="4"/>
    <n v="26326.68"/>
    <n v="42.7"/>
    <n v="150"/>
    <n v="152"/>
    <s v="Van"/>
    <n v="4"/>
    <x v="3"/>
    <n v="129109"/>
    <n v="3.09"/>
    <n v="3399011328.1199999"/>
  </r>
  <r>
    <x v="2"/>
    <s v="Model 3"/>
    <n v="2025"/>
    <x v="4"/>
    <n v="130541.56"/>
    <n v="71.2"/>
    <n v="238"/>
    <n v="152"/>
    <s v="Hatchback"/>
    <n v="4"/>
    <x v="1"/>
    <n v="190536"/>
    <n v="3.76"/>
    <n v="24872866676.16"/>
  </r>
  <r>
    <x v="1"/>
    <s v="Ronin"/>
    <n v="2025"/>
    <x v="2"/>
    <n v="60986.5"/>
    <n v="42.7"/>
    <n v="150"/>
    <n v="137"/>
    <s v="Van"/>
    <n v="5"/>
    <x v="2"/>
    <n v="2488"/>
    <n v="3.18"/>
    <n v="151734412"/>
  </r>
  <r>
    <x v="3"/>
    <s v="Leaf 50X"/>
    <n v="2025"/>
    <x v="4"/>
    <n v="96175.42"/>
    <n v="50.5"/>
    <n v="159"/>
    <n v="164"/>
    <s v="Hatchback"/>
    <n v="3"/>
    <x v="0"/>
    <n v="232340"/>
    <n v="3.27"/>
    <n v="22345397082.799999"/>
  </r>
  <r>
    <x v="9"/>
    <s v="i7"/>
    <n v="2025"/>
    <x v="1"/>
    <n v="162797.03"/>
    <n v="103.1"/>
    <n v="369"/>
    <n v="193"/>
    <s v="Van"/>
    <n v="5"/>
    <x v="1"/>
    <n v="27119"/>
    <n v="3.48"/>
    <n v="4414892656.5699997"/>
  </r>
  <r>
    <x v="8"/>
    <s v="Explorer EV"/>
    <n v="2025"/>
    <x v="4"/>
    <n v="59495.32"/>
    <n v="76.8"/>
    <n v="282"/>
    <n v="161"/>
    <s v="Truck"/>
    <n v="5"/>
    <x v="2"/>
    <n v="62617"/>
    <n v="3.81"/>
    <n v="3725418452.4400001"/>
  </r>
  <r>
    <x v="1"/>
    <s v="Ocean"/>
    <n v="2025"/>
    <x v="0"/>
    <n v="66660.45"/>
    <n v="93.7"/>
    <n v="290"/>
    <n v="186"/>
    <s v="Coupe"/>
    <n v="5"/>
    <x v="0"/>
    <n v="12789"/>
    <n v="3.33"/>
    <n v="852520495.04999995"/>
  </r>
  <r>
    <x v="6"/>
    <s v="i30"/>
    <n v="2025"/>
    <x v="0"/>
    <n v="70681.91"/>
    <n v="86.7"/>
    <n v="309"/>
    <n v="176"/>
    <s v="SUV"/>
    <n v="4"/>
    <x v="0"/>
    <n v="50014"/>
    <n v="3.59"/>
    <n v="3535085046.7400002"/>
  </r>
  <r>
    <x v="13"/>
    <s v="EQS"/>
    <n v="2025"/>
    <x v="1"/>
    <n v="94342.22"/>
    <n v="95.8"/>
    <n v="324"/>
    <n v="192"/>
    <s v="SUV"/>
    <n v="4"/>
    <x v="0"/>
    <n v="56423"/>
    <n v="3.88"/>
    <n v="5323071079.0600004"/>
  </r>
  <r>
    <x v="2"/>
    <s v="Model X"/>
    <n v="2025"/>
    <x v="0"/>
    <n v="100199.56"/>
    <n v="90.8"/>
    <n v="321"/>
    <n v="171"/>
    <s v="Hatchback"/>
    <n v="4"/>
    <x v="1"/>
    <n v="197625"/>
    <n v="3.78"/>
    <n v="19801938045"/>
  </r>
  <r>
    <x v="2"/>
    <s v="Model Y"/>
    <n v="2025"/>
    <x v="1"/>
    <n v="135068.35"/>
    <n v="116.4"/>
    <n v="393"/>
    <n v="193"/>
    <s v="Sedan"/>
    <n v="5"/>
    <x v="1"/>
    <n v="419874"/>
    <n v="4.32"/>
    <n v="56711688387.900002"/>
  </r>
  <r>
    <x v="2"/>
    <s v="Model Y"/>
    <n v="2025"/>
    <x v="3"/>
    <n v="28188.639999999999"/>
    <n v="40.299999999999997"/>
    <n v="150"/>
    <n v="141"/>
    <s v="SUV"/>
    <n v="3"/>
    <x v="3"/>
    <n v="412935"/>
    <n v="3.53"/>
    <n v="11640076058.4"/>
  </r>
  <r>
    <x v="3"/>
    <s v="Yuan Plus"/>
    <n v="2025"/>
    <x v="3"/>
    <n v="32633.03"/>
    <n v="80"/>
    <n v="279"/>
    <n v="144"/>
    <s v="Truck"/>
    <n v="5"/>
    <x v="3"/>
    <n v="106393"/>
    <n v="3.6"/>
    <n v="3471925960.79"/>
  </r>
  <r>
    <x v="2"/>
    <s v="Model S"/>
    <n v="2025"/>
    <x v="1"/>
    <n v="61791.69"/>
    <n v="82"/>
    <n v="283"/>
    <n v="200"/>
    <s v="Sedan"/>
    <n v="5"/>
    <x v="2"/>
    <n v="214239"/>
    <n v="3.64"/>
    <n v="13238189873.91"/>
  </r>
  <r>
    <x v="6"/>
    <s v="Ioniq 5"/>
    <n v="2025"/>
    <x v="1"/>
    <n v="97448.38"/>
    <n v="102"/>
    <n v="335"/>
    <n v="187"/>
    <s v="Coupe"/>
    <n v="3"/>
    <x v="0"/>
    <n v="81695"/>
    <n v="3.65"/>
    <n v="7961045404.1000004"/>
  </r>
  <r>
    <x v="14"/>
    <s v="ET6"/>
    <n v="2025"/>
    <x v="2"/>
    <n v="75082.66"/>
    <n v="69"/>
    <n v="236"/>
    <n v="173"/>
    <s v="Sedan"/>
    <n v="5"/>
    <x v="0"/>
    <n v="6090"/>
    <n v="3.63"/>
    <n v="457253399.40000004"/>
  </r>
  <r>
    <x v="2"/>
    <s v="Model Y"/>
    <n v="2025"/>
    <x v="4"/>
    <n v="56042.12"/>
    <n v="66.900000000000006"/>
    <n v="222"/>
    <n v="139"/>
    <s v="Coupe"/>
    <n v="4"/>
    <x v="2"/>
    <n v="439817"/>
    <n v="3.53"/>
    <n v="24648277092.040001"/>
  </r>
  <r>
    <x v="2"/>
    <s v="Model Y"/>
    <n v="2025"/>
    <x v="2"/>
    <n v="102064.68"/>
    <n v="49.3"/>
    <n v="183"/>
    <n v="163"/>
    <s v="SUV"/>
    <n v="5"/>
    <x v="1"/>
    <n v="469259"/>
    <n v="3.73"/>
    <n v="47894769672.119995"/>
  </r>
  <r>
    <x v="11"/>
    <s v="R3"/>
    <n v="2025"/>
    <x v="0"/>
    <n v="105185.41"/>
    <n v="109.2"/>
    <n v="352"/>
    <n v="187"/>
    <s v="Hatchback"/>
    <n v="4"/>
    <x v="1"/>
    <n v="20140"/>
    <n v="3.46"/>
    <n v="2118434157.4000001"/>
  </r>
  <r>
    <x v="2"/>
    <s v="Model X"/>
    <n v="2025"/>
    <x v="4"/>
    <n v="155604.37"/>
    <n v="46.7"/>
    <n v="150"/>
    <n v="177"/>
    <s v="Van"/>
    <n v="4"/>
    <x v="1"/>
    <n v="240825"/>
    <n v="3.17"/>
    <n v="37473422405.25"/>
  </r>
  <r>
    <x v="9"/>
    <s v="i4"/>
    <n v="2025"/>
    <x v="4"/>
    <n v="134002.07"/>
    <n v="78.3"/>
    <n v="245"/>
    <n v="132"/>
    <s v="Coupe"/>
    <n v="5"/>
    <x v="1"/>
    <n v="54751"/>
    <n v="3.42"/>
    <n v="7336747334.5700006"/>
  </r>
  <r>
    <x v="13"/>
    <s v="EQE"/>
    <n v="2025"/>
    <x v="2"/>
    <n v="125283.58"/>
    <n v="75.599999999999994"/>
    <n v="264"/>
    <n v="138"/>
    <s v="Truck"/>
    <n v="4"/>
    <x v="1"/>
    <n v="50741"/>
    <n v="4.1900000000000004"/>
    <n v="6357014132.7799997"/>
  </r>
  <r>
    <x v="2"/>
    <s v="Model 3"/>
    <n v="2025"/>
    <x v="4"/>
    <n v="127858.88"/>
    <n v="71.8"/>
    <n v="285"/>
    <n v="142"/>
    <s v="SUV"/>
    <n v="5"/>
    <x v="1"/>
    <n v="125874"/>
    <n v="3.89"/>
    <n v="16094108661.120001"/>
  </r>
  <r>
    <x v="2"/>
    <s v="Cybertruck"/>
    <n v="2025"/>
    <x v="3"/>
    <n v="114028.98"/>
    <n v="65.3"/>
    <n v="249"/>
    <n v="137"/>
    <s v="Truck"/>
    <n v="5"/>
    <x v="1"/>
    <n v="169238"/>
    <n v="3.54"/>
    <n v="19298036517.239998"/>
  </r>
  <r>
    <x v="1"/>
    <s v="Ocean"/>
    <n v="2025"/>
    <x v="3"/>
    <n v="47756.59"/>
    <n v="60.7"/>
    <n v="225"/>
    <n v="158"/>
    <s v="Sedan"/>
    <n v="4"/>
    <x v="2"/>
    <n v="6983"/>
    <n v="3.23"/>
    <n v="333484267.96999997"/>
  </r>
  <r>
    <x v="6"/>
    <s v="i30"/>
    <n v="2025"/>
    <x v="3"/>
    <n v="33127.96"/>
    <n v="41.6"/>
    <n v="164"/>
    <n v="129"/>
    <s v="SUV"/>
    <n v="5"/>
    <x v="3"/>
    <n v="138439"/>
    <n v="3.06"/>
    <n v="4586201654.4399996"/>
  </r>
  <r>
    <x v="5"/>
    <s v="Niro EV"/>
    <n v="2025"/>
    <x v="4"/>
    <n v="52664.7"/>
    <n v="45"/>
    <n v="151"/>
    <n v="133"/>
    <s v="SUV"/>
    <n v="5"/>
    <x v="2"/>
    <n v="62015"/>
    <n v="3.3"/>
    <n v="3266001370.5"/>
  </r>
  <r>
    <x v="11"/>
    <s v="R2"/>
    <n v="2025"/>
    <x v="4"/>
    <n v="100224.89"/>
    <n v="43.2"/>
    <n v="157"/>
    <n v="137"/>
    <s v="Sedan"/>
    <n v="4"/>
    <x v="1"/>
    <n v="10726"/>
    <n v="3"/>
    <n v="1075012170.1400001"/>
  </r>
  <r>
    <x v="9"/>
    <s v="i4"/>
    <n v="2025"/>
    <x v="2"/>
    <n v="66795.11"/>
    <n v="65"/>
    <n v="246"/>
    <n v="171"/>
    <s v="Coupe"/>
    <n v="5"/>
    <x v="0"/>
    <n v="50876"/>
    <n v="3.34"/>
    <n v="3398268016.3600001"/>
  </r>
  <r>
    <x v="9"/>
    <s v="i3"/>
    <n v="2025"/>
    <x v="0"/>
    <n v="102396.37"/>
    <n v="96.6"/>
    <n v="340"/>
    <n v="184"/>
    <s v="Hatchback"/>
    <n v="5"/>
    <x v="1"/>
    <n v="35285"/>
    <n v="3.65"/>
    <n v="3613055915.4499998"/>
  </r>
  <r>
    <x v="3"/>
    <s v="Seagull"/>
    <n v="2025"/>
    <x v="0"/>
    <n v="53276.57"/>
    <n v="102.1"/>
    <n v="367"/>
    <n v="177"/>
    <s v="Coupe"/>
    <n v="4"/>
    <x v="2"/>
    <n v="242908"/>
    <n v="4.26"/>
    <n v="12941305065.559999"/>
  </r>
  <r>
    <x v="9"/>
    <s v="i5"/>
    <n v="2025"/>
    <x v="2"/>
    <n v="102104.07"/>
    <n v="55.1"/>
    <n v="174"/>
    <n v="165"/>
    <s v="SUV"/>
    <n v="3"/>
    <x v="1"/>
    <n v="30235"/>
    <n v="3.27"/>
    <n v="3087116556.4500003"/>
  </r>
  <r>
    <x v="7"/>
    <s v="ID.3"/>
    <n v="2025"/>
    <x v="3"/>
    <n v="62840.41"/>
    <n v="71.400000000000006"/>
    <n v="268"/>
    <n v="159"/>
    <s v="Hatchback"/>
    <n v="5"/>
    <x v="2"/>
    <n v="242781"/>
    <n v="3.79"/>
    <n v="15256457580.210001"/>
  </r>
  <r>
    <x v="2"/>
    <s v="Model S"/>
    <n v="2025"/>
    <x v="4"/>
    <n v="84149.31"/>
    <n v="75.3"/>
    <n v="252"/>
    <n v="143"/>
    <s v="Sedan"/>
    <n v="4"/>
    <x v="0"/>
    <n v="224851"/>
    <n v="3.64"/>
    <n v="18921056502.810001"/>
  </r>
  <r>
    <x v="9"/>
    <s v="iX"/>
    <n v="2025"/>
    <x v="3"/>
    <n v="71216.91"/>
    <n v="62.4"/>
    <n v="239"/>
    <n v="171"/>
    <s v="Van"/>
    <n v="4"/>
    <x v="0"/>
    <n v="70121"/>
    <n v="3.47"/>
    <n v="4993800946.1100006"/>
  </r>
  <r>
    <x v="7"/>
    <s v="ID. Buzz"/>
    <n v="2025"/>
    <x v="3"/>
    <n v="87726.28"/>
    <n v="40.6"/>
    <n v="161"/>
    <n v="133"/>
    <s v="Van"/>
    <n v="5"/>
    <x v="0"/>
    <n v="253183"/>
    <n v="3.49"/>
    <n v="22210802749.239998"/>
  </r>
  <r>
    <x v="4"/>
    <s v="Q6 e-tron"/>
    <n v="2025"/>
    <x v="1"/>
    <n v="99175.33"/>
    <n v="93.3"/>
    <n v="334"/>
    <n v="185"/>
    <s v="Coupe"/>
    <n v="5"/>
    <x v="0"/>
    <n v="77677"/>
    <n v="3.68"/>
    <n v="7703642108.4099998"/>
  </r>
  <r>
    <x v="7"/>
    <s v="ID. Aero"/>
    <n v="2025"/>
    <x v="3"/>
    <n v="87997.46"/>
    <n v="42.5"/>
    <n v="150"/>
    <n v="129"/>
    <s v="SUV"/>
    <n v="4"/>
    <x v="0"/>
    <n v="228031"/>
    <n v="3.16"/>
    <n v="20066148801.260002"/>
  </r>
  <r>
    <x v="3"/>
    <s v="Leaf 50X"/>
    <n v="2025"/>
    <x v="2"/>
    <n v="25853.85"/>
    <n v="83.7"/>
    <n v="278"/>
    <n v="157"/>
    <s v="Truck"/>
    <n v="5"/>
    <x v="3"/>
    <n v="106382"/>
    <n v="3.56"/>
    <n v="2750384270.6999998"/>
  </r>
  <r>
    <x v="9"/>
    <s v="i3"/>
    <n v="2025"/>
    <x v="0"/>
    <n v="66806.73"/>
    <n v="104.8"/>
    <n v="353"/>
    <n v="170"/>
    <s v="Coupe"/>
    <n v="4"/>
    <x v="0"/>
    <n v="37357"/>
    <n v="3.74"/>
    <n v="2495699012.6099997"/>
  </r>
  <r>
    <x v="8"/>
    <s v="F-150 Lightning"/>
    <n v="2025"/>
    <x v="0"/>
    <n v="69759.03"/>
    <n v="87.5"/>
    <n v="324"/>
    <n v="162"/>
    <s v="Truck"/>
    <n v="4"/>
    <x v="0"/>
    <n v="57497"/>
    <n v="3.67"/>
    <n v="4010934947.9099998"/>
  </r>
  <r>
    <x v="2"/>
    <s v="Model X"/>
    <n v="2025"/>
    <x v="0"/>
    <n v="119926.96"/>
    <n v="80.900000000000006"/>
    <n v="277"/>
    <n v="177"/>
    <s v="Van"/>
    <n v="4"/>
    <x v="1"/>
    <n v="137895"/>
    <n v="4.12"/>
    <n v="16537328149.200001"/>
  </r>
  <r>
    <x v="7"/>
    <s v="ID.3"/>
    <n v="2025"/>
    <x v="2"/>
    <n v="73427.05"/>
    <n v="43.7"/>
    <n v="150"/>
    <n v="164"/>
    <s v="Hatchback"/>
    <n v="4"/>
    <x v="0"/>
    <n v="258880"/>
    <n v="3.26"/>
    <n v="19008794704"/>
  </r>
  <r>
    <x v="7"/>
    <s v="ID. Aero"/>
    <n v="2025"/>
    <x v="0"/>
    <n v="61721.97"/>
    <n v="88.9"/>
    <n v="293"/>
    <n v="174"/>
    <s v="SUV"/>
    <n v="4"/>
    <x v="2"/>
    <n v="292808"/>
    <n v="3.65"/>
    <n v="18072686591.760002"/>
  </r>
  <r>
    <x v="7"/>
    <s v="ID.4"/>
    <n v="2025"/>
    <x v="2"/>
    <n v="70848.39"/>
    <n v="47.9"/>
    <n v="178"/>
    <n v="160"/>
    <s v="Hatchback"/>
    <n v="4"/>
    <x v="0"/>
    <n v="282558"/>
    <n v="3.33"/>
    <n v="20018779381.619999"/>
  </r>
  <r>
    <x v="2"/>
    <s v="Model Y"/>
    <n v="2025"/>
    <x v="0"/>
    <n v="139788.5"/>
    <n v="103.7"/>
    <n v="335"/>
    <n v="164"/>
    <s v="Coupe"/>
    <n v="4"/>
    <x v="1"/>
    <n v="402120"/>
    <n v="3.78"/>
    <n v="56211751620"/>
  </r>
  <r>
    <x v="9"/>
    <s v="i3"/>
    <n v="2025"/>
    <x v="4"/>
    <n v="108403.17"/>
    <n v="84.9"/>
    <n v="286"/>
    <n v="165"/>
    <s v="Truck"/>
    <n v="5"/>
    <x v="1"/>
    <n v="60610"/>
    <n v="3.5"/>
    <n v="6570316133.6999998"/>
  </r>
  <r>
    <x v="3"/>
    <s v="Atto 3"/>
    <n v="2025"/>
    <x v="0"/>
    <n v="28903.55"/>
    <n v="96.2"/>
    <n v="330"/>
    <n v="180"/>
    <s v="Hatchback"/>
    <n v="4"/>
    <x v="3"/>
    <n v="225650"/>
    <n v="3.6"/>
    <n v="6522086057.5"/>
  </r>
  <r>
    <x v="7"/>
    <s v="ID. Buzz"/>
    <n v="2025"/>
    <x v="4"/>
    <n v="88650.96"/>
    <n v="83.9"/>
    <n v="297"/>
    <n v="146"/>
    <s v="Sedan"/>
    <n v="4"/>
    <x v="0"/>
    <n v="243258"/>
    <n v="3.56"/>
    <n v="21565055227.68"/>
  </r>
  <r>
    <x v="8"/>
    <s v="Explorer EV"/>
    <n v="2025"/>
    <x v="2"/>
    <n v="31999.38"/>
    <n v="73.5"/>
    <n v="219"/>
    <n v="163"/>
    <s v="Truck"/>
    <n v="4"/>
    <x v="3"/>
    <n v="25220"/>
    <n v="3.43"/>
    <n v="807024363.60000002"/>
  </r>
  <r>
    <x v="8"/>
    <s v="E-Transit"/>
    <n v="2025"/>
    <x v="0"/>
    <n v="97440.5"/>
    <n v="95"/>
    <n v="331"/>
    <n v="173"/>
    <s v="Coupe"/>
    <n v="4"/>
    <x v="0"/>
    <n v="26936"/>
    <n v="3.72"/>
    <n v="2624657308"/>
  </r>
  <r>
    <x v="2"/>
    <s v="Model X"/>
    <n v="2025"/>
    <x v="4"/>
    <n v="133807.79999999999"/>
    <n v="41.7"/>
    <n v="150"/>
    <n v="161"/>
    <s v="Truck"/>
    <n v="4"/>
    <x v="1"/>
    <n v="225294"/>
    <n v="3.41"/>
    <n v="30146094493.199997"/>
  </r>
  <r>
    <x v="2"/>
    <s v="Model S"/>
    <n v="2025"/>
    <x v="0"/>
    <n v="43022.879999999997"/>
    <n v="101.7"/>
    <n v="396"/>
    <n v="178"/>
    <s v="Coupe"/>
    <n v="5"/>
    <x v="2"/>
    <n v="177801"/>
    <n v="4.2"/>
    <n v="7649511086.8799992"/>
  </r>
  <r>
    <x v="9"/>
    <s v="i5"/>
    <n v="2025"/>
    <x v="0"/>
    <n v="119539.21"/>
    <n v="109.1"/>
    <n v="391"/>
    <n v="183"/>
    <s v="Sedan"/>
    <n v="3"/>
    <x v="1"/>
    <n v="49676"/>
    <n v="3.74"/>
    <n v="5938229795.96"/>
  </r>
  <r>
    <x v="4"/>
    <s v="e-tron"/>
    <n v="2025"/>
    <x v="2"/>
    <n v="71446.39"/>
    <n v="60.1"/>
    <n v="202"/>
    <n v="150"/>
    <s v="Sedan"/>
    <n v="5"/>
    <x v="0"/>
    <n v="60589"/>
    <n v="3.47"/>
    <n v="4328865323.71"/>
  </r>
  <r>
    <x v="3"/>
    <s v="Atto 3"/>
    <n v="2025"/>
    <x v="2"/>
    <n v="61646.7"/>
    <n v="48.1"/>
    <n v="150"/>
    <n v="145"/>
    <s v="Truck"/>
    <n v="4"/>
    <x v="2"/>
    <n v="115977"/>
    <n v="3.16"/>
    <n v="7149599325.8999996"/>
  </r>
  <r>
    <x v="2"/>
    <s v="Model 3"/>
    <n v="2025"/>
    <x v="0"/>
    <n v="112948.48"/>
    <n v="78.099999999999994"/>
    <n v="261"/>
    <n v="169"/>
    <s v="Truck"/>
    <n v="5"/>
    <x v="1"/>
    <n v="130244"/>
    <n v="3.47"/>
    <n v="14710861829.119999"/>
  </r>
  <r>
    <x v="6"/>
    <s v="Kona Electric"/>
    <n v="2025"/>
    <x v="1"/>
    <n v="91101"/>
    <n v="93.1"/>
    <n v="300"/>
    <n v="193"/>
    <s v="Van"/>
    <n v="5"/>
    <x v="0"/>
    <n v="95350"/>
    <n v="3.54"/>
    <n v="8686480350"/>
  </r>
  <r>
    <x v="3"/>
    <s v="Atto 3"/>
    <n v="2025"/>
    <x v="0"/>
    <n v="104231.93"/>
    <n v="79.599999999999994"/>
    <n v="254"/>
    <n v="186"/>
    <s v="Van"/>
    <n v="4"/>
    <x v="1"/>
    <n v="190907"/>
    <n v="3.49"/>
    <n v="19898605060.509998"/>
  </r>
  <r>
    <x v="8"/>
    <s v="Mustang Mach-E"/>
    <n v="2025"/>
    <x v="3"/>
    <n v="68547.740000000005"/>
    <n v="40.5"/>
    <n v="153"/>
    <n v="168"/>
    <s v="Coupe"/>
    <n v="5"/>
    <x v="0"/>
    <n v="25642"/>
    <n v="3.34"/>
    <n v="1757701149.0800002"/>
  </r>
  <r>
    <x v="5"/>
    <s v="EV6"/>
    <n v="2025"/>
    <x v="0"/>
    <n v="46513"/>
    <n v="99"/>
    <n v="349"/>
    <n v="182"/>
    <s v="Truck"/>
    <n v="4"/>
    <x v="2"/>
    <n v="124966"/>
    <n v="3.94"/>
    <n v="5812543558"/>
  </r>
  <r>
    <x v="12"/>
    <s v="Bolt EV"/>
    <n v="2025"/>
    <x v="2"/>
    <n v="34507.25"/>
    <n v="66.400000000000006"/>
    <n v="230"/>
    <n v="167"/>
    <s v="Truck"/>
    <n v="5"/>
    <x v="3"/>
    <n v="18832"/>
    <n v="3.2"/>
    <n v="649840532"/>
  </r>
  <r>
    <x v="2"/>
    <s v="Model X"/>
    <n v="2025"/>
    <x v="2"/>
    <n v="30686.17"/>
    <n v="65.2"/>
    <n v="245"/>
    <n v="138"/>
    <s v="Sedan"/>
    <n v="5"/>
    <x v="3"/>
    <n v="248383"/>
    <n v="3.55"/>
    <n v="7621922963.1099997"/>
  </r>
  <r>
    <x v="9"/>
    <s v="i3"/>
    <n v="2025"/>
    <x v="3"/>
    <n v="75699.03"/>
    <n v="67.400000000000006"/>
    <n v="240"/>
    <n v="172"/>
    <s v="Sedan"/>
    <n v="5"/>
    <x v="0"/>
    <n v="23009"/>
    <n v="3.46"/>
    <n v="1741758981.27"/>
  </r>
  <r>
    <x v="2"/>
    <s v="Model S"/>
    <n v="2025"/>
    <x v="4"/>
    <n v="102510.62"/>
    <n v="40.799999999999997"/>
    <n v="150"/>
    <n v="140"/>
    <s v="Coupe"/>
    <n v="4"/>
    <x v="1"/>
    <n v="206373"/>
    <n v="3.59"/>
    <n v="21155424181.259998"/>
  </r>
  <r>
    <x v="12"/>
    <s v="Bolt EUV"/>
    <n v="2025"/>
    <x v="0"/>
    <n v="74596.820000000007"/>
    <n v="94.2"/>
    <n v="323"/>
    <n v="178"/>
    <s v="Truck"/>
    <n v="4"/>
    <x v="0"/>
    <n v="14842"/>
    <n v="3.62"/>
    <n v="1107166002.4400001"/>
  </r>
  <r>
    <x v="2"/>
    <s v="Model S"/>
    <n v="2025"/>
    <x v="2"/>
    <n v="93767.76"/>
    <n v="58.4"/>
    <n v="202"/>
    <n v="133"/>
    <s v="Sedan"/>
    <n v="4"/>
    <x v="0"/>
    <n v="129076"/>
    <n v="3.36"/>
    <n v="12103167389.76"/>
  </r>
  <r>
    <x v="9"/>
    <s v="iX"/>
    <n v="2025"/>
    <x v="4"/>
    <n v="133858.15"/>
    <n v="74.7"/>
    <n v="287"/>
    <n v="169"/>
    <s v="SUV"/>
    <n v="5"/>
    <x v="1"/>
    <n v="27376"/>
    <n v="3.39"/>
    <n v="3664500714.3999996"/>
  </r>
  <r>
    <x v="3"/>
    <s v="Leaf 50X"/>
    <n v="2025"/>
    <x v="4"/>
    <n v="71227.02"/>
    <n v="54.5"/>
    <n v="216"/>
    <n v="174"/>
    <s v="Sedan"/>
    <n v="4"/>
    <x v="0"/>
    <n v="114165"/>
    <n v="3.2"/>
    <n v="8131632738.3000002"/>
  </r>
  <r>
    <x v="9"/>
    <s v="i4"/>
    <n v="2025"/>
    <x v="3"/>
    <n v="84568.67"/>
    <n v="83.7"/>
    <n v="285"/>
    <n v="143"/>
    <s v="Sedan"/>
    <n v="4"/>
    <x v="0"/>
    <n v="62828"/>
    <n v="3.51"/>
    <n v="5313280398.7600002"/>
  </r>
  <r>
    <x v="5"/>
    <s v="Niro EV"/>
    <n v="2025"/>
    <x v="1"/>
    <n v="52082.5"/>
    <n v="92.9"/>
    <n v="337"/>
    <n v="200"/>
    <s v="Hatchback"/>
    <n v="5"/>
    <x v="2"/>
    <n v="99623"/>
    <n v="3.84"/>
    <n v="5188614897.5"/>
  </r>
  <r>
    <x v="9"/>
    <s v="iX"/>
    <n v="2025"/>
    <x v="0"/>
    <n v="135695.35"/>
    <n v="105.1"/>
    <n v="363"/>
    <n v="192"/>
    <s v="Hatchback"/>
    <n v="4"/>
    <x v="1"/>
    <n v="36974"/>
    <n v="3.78"/>
    <n v="5017199870.9000006"/>
  </r>
  <r>
    <x v="5"/>
    <s v="Niro EV"/>
    <n v="2025"/>
    <x v="4"/>
    <n v="65977.95"/>
    <n v="56"/>
    <n v="198"/>
    <n v="130"/>
    <s v="Coupe"/>
    <n v="4"/>
    <x v="0"/>
    <n v="91348"/>
    <n v="3.44"/>
    <n v="6026953776.5999994"/>
  </r>
  <r>
    <x v="12"/>
    <s v="Bolt EUV"/>
    <n v="2025"/>
    <x v="3"/>
    <n v="36433.269999999997"/>
    <n v="44.4"/>
    <n v="150"/>
    <n v="161"/>
    <s v="Hatchback"/>
    <n v="5"/>
    <x v="2"/>
    <n v="27128"/>
    <n v="3.23"/>
    <n v="988361748.55999994"/>
  </r>
  <r>
    <x v="12"/>
    <s v="Equinox EV"/>
    <n v="2025"/>
    <x v="0"/>
    <n v="49790.46"/>
    <n v="91.9"/>
    <n v="322"/>
    <n v="180"/>
    <s v="SUV"/>
    <n v="5"/>
    <x v="2"/>
    <n v="29595"/>
    <n v="3.76"/>
    <n v="1473548663.7"/>
  </r>
  <r>
    <x v="2"/>
    <s v="Model S"/>
    <n v="2025"/>
    <x v="4"/>
    <n v="135056.97"/>
    <n v="63"/>
    <n v="231"/>
    <n v="135"/>
    <s v="SUV"/>
    <n v="5"/>
    <x v="1"/>
    <n v="107596"/>
    <n v="3.88"/>
    <n v="14531589744.120001"/>
  </r>
  <r>
    <x v="2"/>
    <s v="Model 3"/>
    <n v="2025"/>
    <x v="2"/>
    <n v="50205.39"/>
    <n v="40.299999999999997"/>
    <n v="150"/>
    <n v="169"/>
    <s v="Van"/>
    <n v="3"/>
    <x v="2"/>
    <n v="169041"/>
    <n v="3.2"/>
    <n v="8486769330.9899998"/>
  </r>
  <r>
    <x v="3"/>
    <s v="Max"/>
    <n v="2025"/>
    <x v="2"/>
    <n v="24481.15"/>
    <n v="41.9"/>
    <n v="150"/>
    <n v="137"/>
    <s v="Sedan"/>
    <n v="3"/>
    <x v="3"/>
    <n v="176238"/>
    <n v="3.06"/>
    <n v="4314508913.6999998"/>
  </r>
  <r>
    <x v="2"/>
    <s v="Cybertruck"/>
    <n v="2025"/>
    <x v="2"/>
    <n v="88007.74"/>
    <n v="64.2"/>
    <n v="223"/>
    <n v="171"/>
    <s v="Truck"/>
    <n v="4"/>
    <x v="0"/>
    <n v="102752"/>
    <n v="3.5"/>
    <n v="9042971300.4800014"/>
  </r>
  <r>
    <x v="8"/>
    <s v="Explorer EV"/>
    <n v="2025"/>
    <x v="1"/>
    <n v="75193.899999999994"/>
    <n v="76.099999999999994"/>
    <n v="227"/>
    <n v="193"/>
    <s v="Sedan"/>
    <n v="4"/>
    <x v="0"/>
    <n v="31804"/>
    <n v="3.45"/>
    <n v="2391466795.5999999"/>
  </r>
  <r>
    <x v="5"/>
    <s v="Niro EV"/>
    <n v="2025"/>
    <x v="1"/>
    <n v="111745.56"/>
    <n v="82.5"/>
    <n v="289"/>
    <n v="183"/>
    <s v="Truck"/>
    <n v="4"/>
    <x v="1"/>
    <n v="96875"/>
    <n v="3.43"/>
    <n v="10825351125"/>
  </r>
  <r>
    <x v="9"/>
    <s v="i5"/>
    <n v="2025"/>
    <x v="3"/>
    <n v="69328.91"/>
    <n v="57.6"/>
    <n v="225"/>
    <n v="142"/>
    <s v="SUV"/>
    <n v="5"/>
    <x v="0"/>
    <n v="73975"/>
    <n v="3.26"/>
    <n v="5128606117.25"/>
  </r>
  <r>
    <x v="3"/>
    <s v="Seagull"/>
    <n v="2025"/>
    <x v="0"/>
    <n v="79832.09"/>
    <n v="92"/>
    <n v="328"/>
    <n v="171"/>
    <s v="SUV"/>
    <n v="5"/>
    <x v="0"/>
    <n v="242291"/>
    <n v="3.55"/>
    <n v="19342596918.189999"/>
  </r>
  <r>
    <x v="5"/>
    <s v="EV6"/>
    <n v="2025"/>
    <x v="4"/>
    <n v="61993.33"/>
    <n v="49.9"/>
    <n v="183"/>
    <n v="168"/>
    <s v="Sedan"/>
    <n v="4"/>
    <x v="2"/>
    <n v="65237"/>
    <n v="3.14"/>
    <n v="4044258869.21"/>
  </r>
  <r>
    <x v="12"/>
    <s v="Blazer EV"/>
    <n v="2025"/>
    <x v="0"/>
    <n v="34424.61"/>
    <n v="103.6"/>
    <n v="370"/>
    <n v="163"/>
    <s v="Sedan"/>
    <n v="4"/>
    <x v="3"/>
    <n v="20827"/>
    <n v="3.59"/>
    <n v="716961352.47000003"/>
  </r>
  <r>
    <x v="6"/>
    <s v="Kona Electric"/>
    <n v="2025"/>
    <x v="3"/>
    <n v="53515.28"/>
    <n v="50.9"/>
    <n v="176"/>
    <n v="147"/>
    <s v="Hatchback"/>
    <n v="5"/>
    <x v="2"/>
    <n v="93480"/>
    <n v="3.41"/>
    <n v="5002608374.3999996"/>
  </r>
  <r>
    <x v="0"/>
    <s v="bZ4X"/>
    <n v="2025"/>
    <x v="3"/>
    <n v="46568.71"/>
    <n v="69.2"/>
    <n v="216"/>
    <n v="165"/>
    <s v="SUV"/>
    <n v="5"/>
    <x v="2"/>
    <n v="1982"/>
    <n v="3.52"/>
    <n v="92299183.219999999"/>
  </r>
  <r>
    <x v="2"/>
    <s v="Model X"/>
    <n v="2025"/>
    <x v="2"/>
    <n v="95625.9"/>
    <n v="64.099999999999994"/>
    <n v="229"/>
    <n v="138"/>
    <s v="Coupe"/>
    <n v="5"/>
    <x v="0"/>
    <n v="233990"/>
    <n v="3.63"/>
    <n v="22375504341"/>
  </r>
  <r>
    <x v="7"/>
    <s v="ID. Buzz"/>
    <n v="2025"/>
    <x v="3"/>
    <n v="48208.86"/>
    <n v="79"/>
    <n v="288"/>
    <n v="152"/>
    <s v="Sedan"/>
    <n v="5"/>
    <x v="2"/>
    <n v="272524"/>
    <n v="3.48"/>
    <n v="13138071362.639999"/>
  </r>
  <r>
    <x v="7"/>
    <s v="ID.4"/>
    <n v="2025"/>
    <x v="3"/>
    <n v="76084.88"/>
    <n v="51.2"/>
    <n v="165"/>
    <n v="149"/>
    <s v="Hatchback"/>
    <n v="4"/>
    <x v="0"/>
    <n v="264457"/>
    <n v="3.12"/>
    <n v="20121179110.16"/>
  </r>
  <r>
    <x v="5"/>
    <s v="EV9"/>
    <n v="2025"/>
    <x v="0"/>
    <n v="39329.81"/>
    <n v="94"/>
    <n v="300"/>
    <n v="189"/>
    <s v="SUV"/>
    <n v="5"/>
    <x v="2"/>
    <n v="139592"/>
    <n v="3.62"/>
    <n v="5490126837.5199995"/>
  </r>
  <r>
    <x v="6"/>
    <s v="Kona Electric"/>
    <n v="2025"/>
    <x v="1"/>
    <n v="83020.490000000005"/>
    <n v="119.5"/>
    <n v="412"/>
    <n v="188"/>
    <s v="Sedan"/>
    <n v="4"/>
    <x v="0"/>
    <n v="65013"/>
    <n v="3.72"/>
    <n v="5397411116.3699999"/>
  </r>
  <r>
    <x v="12"/>
    <s v="Bolt EV"/>
    <n v="2025"/>
    <x v="0"/>
    <n v="37683.39"/>
    <n v="98.3"/>
    <n v="363"/>
    <n v="166"/>
    <s v="Truck"/>
    <n v="4"/>
    <x v="2"/>
    <n v="20559"/>
    <n v="3.37"/>
    <n v="774732815.00999999"/>
  </r>
  <r>
    <x v="2"/>
    <s v="Model Y"/>
    <n v="2025"/>
    <x v="4"/>
    <n v="40474.28"/>
    <n v="53.8"/>
    <n v="163"/>
    <n v="148"/>
    <s v="SUV"/>
    <n v="4"/>
    <x v="2"/>
    <n v="484636"/>
    <n v="3.69"/>
    <n v="19615293162.079998"/>
  </r>
  <r>
    <x v="12"/>
    <s v="Bolt EUV"/>
    <n v="2025"/>
    <x v="4"/>
    <n v="47998.86"/>
    <n v="60.9"/>
    <n v="202"/>
    <n v="159"/>
    <s v="Van"/>
    <n v="5"/>
    <x v="2"/>
    <n v="2175"/>
    <n v="3.23"/>
    <n v="104397520.5"/>
  </r>
  <r>
    <x v="3"/>
    <s v="Qin"/>
    <n v="2025"/>
    <x v="4"/>
    <n v="101756.01"/>
    <n v="70.7"/>
    <n v="259"/>
    <n v="139"/>
    <s v="Coupe"/>
    <n v="5"/>
    <x v="1"/>
    <n v="207780"/>
    <n v="3.62"/>
    <n v="21142863757.799999"/>
  </r>
  <r>
    <x v="11"/>
    <s v="R3"/>
    <n v="2025"/>
    <x v="3"/>
    <n v="79722.649999999994"/>
    <n v="80.900000000000006"/>
    <n v="261"/>
    <n v="173"/>
    <s v="SUV"/>
    <n v="5"/>
    <x v="0"/>
    <n v="28225"/>
    <n v="3.26"/>
    <n v="2250171796.25"/>
  </r>
  <r>
    <x v="6"/>
    <s v="Ioniq 5"/>
    <n v="2025"/>
    <x v="4"/>
    <n v="65433.15"/>
    <n v="41.9"/>
    <n v="150"/>
    <n v="179"/>
    <s v="Sedan"/>
    <n v="5"/>
    <x v="0"/>
    <n v="78985"/>
    <n v="3.32"/>
    <n v="5168237352.75"/>
  </r>
  <r>
    <x v="7"/>
    <s v="ID.5"/>
    <n v="2025"/>
    <x v="3"/>
    <n v="60858.6"/>
    <n v="63.9"/>
    <n v="242"/>
    <n v="165"/>
    <s v="Sedan"/>
    <n v="4"/>
    <x v="2"/>
    <n v="280770"/>
    <n v="3.65"/>
    <n v="17087269122"/>
  </r>
  <r>
    <x v="13"/>
    <s v="EQG"/>
    <n v="2025"/>
    <x v="4"/>
    <n v="128362.44"/>
    <n v="46.9"/>
    <n v="168"/>
    <n v="141"/>
    <s v="Coupe"/>
    <n v="4"/>
    <x v="1"/>
    <n v="79528"/>
    <n v="3.66"/>
    <n v="10208408128.32"/>
  </r>
  <r>
    <x v="2"/>
    <s v="Model 3"/>
    <n v="2025"/>
    <x v="3"/>
    <n v="103423.57"/>
    <n v="67.2"/>
    <n v="226"/>
    <n v="149"/>
    <s v="Hatchback"/>
    <n v="5"/>
    <x v="1"/>
    <n v="136780"/>
    <n v="3.7"/>
    <n v="14146275904.6"/>
  </r>
  <r>
    <x v="7"/>
    <s v="ID.3"/>
    <n v="2025"/>
    <x v="0"/>
    <n v="46681.91"/>
    <n v="83.1"/>
    <n v="285"/>
    <n v="181"/>
    <s v="Coupe"/>
    <n v="5"/>
    <x v="2"/>
    <n v="243592"/>
    <n v="3.37"/>
    <n v="11371339820.720001"/>
  </r>
  <r>
    <x v="2"/>
    <s v="Model Y"/>
    <n v="2025"/>
    <x v="2"/>
    <n v="38868.67"/>
    <n v="48"/>
    <n v="150"/>
    <n v="171"/>
    <s v="Coupe"/>
    <n v="4"/>
    <x v="2"/>
    <n v="420151"/>
    <n v="3.64"/>
    <n v="16330710569.17"/>
  </r>
  <r>
    <x v="3"/>
    <s v="Seagull"/>
    <n v="2025"/>
    <x v="3"/>
    <n v="53845.68"/>
    <n v="43.7"/>
    <n v="161"/>
    <n v="125"/>
    <s v="Hatchback"/>
    <n v="4"/>
    <x v="2"/>
    <n v="196975"/>
    <n v="3.39"/>
    <n v="10606252818"/>
  </r>
  <r>
    <x v="13"/>
    <s v="EQG"/>
    <n v="2025"/>
    <x v="4"/>
    <n v="153235.91"/>
    <n v="48.7"/>
    <n v="182"/>
    <n v="133"/>
    <s v="Sedan"/>
    <n v="5"/>
    <x v="1"/>
    <n v="44720"/>
    <n v="3.56"/>
    <n v="6852709895.1999998"/>
  </r>
  <r>
    <x v="2"/>
    <s v="Model X"/>
    <n v="2025"/>
    <x v="4"/>
    <n v="60275.05"/>
    <n v="61.4"/>
    <n v="220"/>
    <n v="143"/>
    <s v="SUV"/>
    <n v="4"/>
    <x v="2"/>
    <n v="226355"/>
    <n v="3.72"/>
    <n v="13643558942.75"/>
  </r>
  <r>
    <x v="13"/>
    <s v="EQC"/>
    <n v="2025"/>
    <x v="4"/>
    <n v="202973.51"/>
    <n v="74.099999999999994"/>
    <n v="259"/>
    <n v="152"/>
    <s v="Sedan"/>
    <n v="5"/>
    <x v="1"/>
    <n v="22987"/>
    <n v="3.81"/>
    <n v="4665752074.3699999"/>
  </r>
  <r>
    <x v="8"/>
    <s v="Explorer EV"/>
    <n v="2025"/>
    <x v="0"/>
    <n v="69671.759999999995"/>
    <n v="106.4"/>
    <n v="373"/>
    <n v="161"/>
    <s v="Coupe"/>
    <n v="5"/>
    <x v="0"/>
    <n v="49288"/>
    <n v="3.95"/>
    <n v="3433981706.8799996"/>
  </r>
  <r>
    <x v="6"/>
    <s v="Ioniq 5"/>
    <n v="2025"/>
    <x v="3"/>
    <n v="63434.69"/>
    <n v="78"/>
    <n v="279"/>
    <n v="124"/>
    <s v="Truck"/>
    <n v="5"/>
    <x v="2"/>
    <n v="133046"/>
    <n v="3.73"/>
    <n v="8439731765.7400007"/>
  </r>
  <r>
    <x v="7"/>
    <s v="ID.5"/>
    <n v="2025"/>
    <x v="0"/>
    <n v="101757.37"/>
    <n v="83.1"/>
    <n v="278"/>
    <n v="176"/>
    <s v="Sedan"/>
    <n v="4"/>
    <x v="1"/>
    <n v="269645"/>
    <n v="3.59"/>
    <n v="27438366033.649998"/>
  </r>
  <r>
    <x v="0"/>
    <s v="bZ4X"/>
    <n v="2025"/>
    <x v="3"/>
    <n v="48846.720000000001"/>
    <n v="75.400000000000006"/>
    <n v="274"/>
    <n v="159"/>
    <s v="Coupe"/>
    <n v="5"/>
    <x v="2"/>
    <n v="21759"/>
    <n v="3.51"/>
    <n v="1062855780.48"/>
  </r>
  <r>
    <x v="2"/>
    <s v="Model 3"/>
    <n v="2025"/>
    <x v="1"/>
    <n v="133323.67000000001"/>
    <n v="89.5"/>
    <n v="316"/>
    <n v="200"/>
    <s v="Hatchback"/>
    <n v="4"/>
    <x v="1"/>
    <n v="119703"/>
    <n v="4.0199999999999996"/>
    <n v="15959243270.010002"/>
  </r>
  <r>
    <x v="9"/>
    <s v="i3"/>
    <n v="2025"/>
    <x v="3"/>
    <n v="61490.61"/>
    <n v="40.299999999999997"/>
    <n v="150"/>
    <n v="144"/>
    <s v="Coupe"/>
    <n v="4"/>
    <x v="2"/>
    <n v="75130"/>
    <n v="3.39"/>
    <n v="4619789529.3000002"/>
  </r>
  <r>
    <x v="9"/>
    <s v="i3"/>
    <n v="2025"/>
    <x v="4"/>
    <n v="113220.74"/>
    <n v="50.2"/>
    <n v="167"/>
    <n v="146"/>
    <s v="Truck"/>
    <n v="3"/>
    <x v="1"/>
    <n v="36980"/>
    <n v="3.17"/>
    <n v="4186902965.2000003"/>
  </r>
  <r>
    <x v="2"/>
    <s v="Model X"/>
    <n v="2025"/>
    <x v="3"/>
    <n v="86049.94"/>
    <n v="67.900000000000006"/>
    <n v="210"/>
    <n v="146"/>
    <s v="Hatchback"/>
    <n v="5"/>
    <x v="0"/>
    <n v="244820"/>
    <n v="3.64"/>
    <n v="21066746310.799999"/>
  </r>
  <r>
    <x v="17"/>
    <s v="C40 Recharge"/>
    <n v="2025"/>
    <x v="2"/>
    <n v="87551.42"/>
    <n v="42.1"/>
    <n v="150"/>
    <n v="156"/>
    <s v="Truck"/>
    <n v="4"/>
    <x v="0"/>
    <n v="28712"/>
    <n v="3"/>
    <n v="2513776371.04"/>
  </r>
  <r>
    <x v="2"/>
    <s v="Model X"/>
    <n v="2025"/>
    <x v="3"/>
    <n v="108924.8"/>
    <n v="75"/>
    <n v="251"/>
    <n v="171"/>
    <s v="Hatchback"/>
    <n v="5"/>
    <x v="1"/>
    <n v="104109"/>
    <n v="3.74"/>
    <n v="11340052003.200001"/>
  </r>
  <r>
    <x v="2"/>
    <s v="Model 3"/>
    <n v="2025"/>
    <x v="2"/>
    <n v="91015.05"/>
    <n v="61.8"/>
    <n v="227"/>
    <n v="141"/>
    <s v="SUV"/>
    <n v="5"/>
    <x v="0"/>
    <n v="229357"/>
    <n v="3.56"/>
    <n v="20874938822.850002"/>
  </r>
  <r>
    <x v="12"/>
    <s v="Bolt EUV"/>
    <n v="2025"/>
    <x v="1"/>
    <n v="44784.34"/>
    <n v="93.2"/>
    <n v="321"/>
    <n v="182"/>
    <s v="Hatchback"/>
    <n v="5"/>
    <x v="2"/>
    <n v="7434"/>
    <n v="3.72"/>
    <n v="332926783.56"/>
  </r>
  <r>
    <x v="2"/>
    <s v="Model 3"/>
    <n v="2025"/>
    <x v="0"/>
    <n v="84994.49"/>
    <n v="96.6"/>
    <n v="315"/>
    <n v="161"/>
    <s v="Sedan"/>
    <n v="4"/>
    <x v="0"/>
    <n v="246722"/>
    <n v="3.99"/>
    <n v="20970010561.780003"/>
  </r>
  <r>
    <x v="9"/>
    <s v="i4"/>
    <n v="2025"/>
    <x v="0"/>
    <n v="88308.2"/>
    <n v="95.5"/>
    <n v="308"/>
    <n v="174"/>
    <s v="Hatchback"/>
    <n v="4"/>
    <x v="0"/>
    <n v="31503"/>
    <n v="3.49"/>
    <n v="2781973224.5999999"/>
  </r>
  <r>
    <x v="7"/>
    <s v="ID.5"/>
    <n v="2025"/>
    <x v="2"/>
    <n v="76426.720000000001"/>
    <n v="83.1"/>
    <n v="339"/>
    <n v="155"/>
    <s v="Van"/>
    <n v="4"/>
    <x v="0"/>
    <n v="248734"/>
    <n v="3.73"/>
    <n v="19009923772.48"/>
  </r>
  <r>
    <x v="13"/>
    <s v="EQG"/>
    <n v="2025"/>
    <x v="0"/>
    <n v="111628.51"/>
    <n v="84.7"/>
    <n v="274"/>
    <n v="166"/>
    <s v="SUV"/>
    <n v="4"/>
    <x v="1"/>
    <n v="76984"/>
    <n v="3.74"/>
    <n v="8593609213.8400002"/>
  </r>
  <r>
    <x v="8"/>
    <s v="F-150 Lightning"/>
    <n v="2025"/>
    <x v="2"/>
    <n v="34802.06"/>
    <n v="47.6"/>
    <n v="150"/>
    <n v="146"/>
    <s v="Truck"/>
    <n v="4"/>
    <x v="3"/>
    <n v="51835"/>
    <n v="3.13"/>
    <n v="1803964780.0999999"/>
  </r>
  <r>
    <x v="6"/>
    <s v="Kona Electric"/>
    <n v="2025"/>
    <x v="0"/>
    <n v="43459.69"/>
    <n v="83.7"/>
    <n v="302"/>
    <n v="192"/>
    <s v="Truck"/>
    <n v="5"/>
    <x v="2"/>
    <n v="114002"/>
    <n v="3.56"/>
    <n v="4954491579.3800001"/>
  </r>
  <r>
    <x v="19"/>
    <s v="Gravity"/>
    <n v="2025"/>
    <x v="1"/>
    <n v="166388.92000000001"/>
    <n v="75.900000000000006"/>
    <n v="281"/>
    <n v="195"/>
    <s v="Van"/>
    <n v="5"/>
    <x v="1"/>
    <n v="27265"/>
    <n v="3.3"/>
    <n v="4536593903.8000002"/>
  </r>
  <r>
    <x v="2"/>
    <s v="Model S"/>
    <n v="2025"/>
    <x v="2"/>
    <n v="30387.16"/>
    <n v="46.7"/>
    <n v="183"/>
    <n v="130"/>
    <s v="Hatchback"/>
    <n v="5"/>
    <x v="3"/>
    <n v="225676"/>
    <n v="3.51"/>
    <n v="6857652720.1599998"/>
  </r>
  <r>
    <x v="6"/>
    <s v="Ioniq"/>
    <n v="2025"/>
    <x v="4"/>
    <n v="78178.94"/>
    <n v="79.400000000000006"/>
    <n v="290"/>
    <n v="169"/>
    <s v="SUV"/>
    <n v="5"/>
    <x v="0"/>
    <n v="93827"/>
    <n v="3.71"/>
    <n v="7335295403.3800001"/>
  </r>
  <r>
    <x v="7"/>
    <s v="ID.5"/>
    <n v="2025"/>
    <x v="2"/>
    <n v="32608.87"/>
    <n v="54"/>
    <n v="178"/>
    <n v="169"/>
    <s v="Truck"/>
    <n v="3"/>
    <x v="3"/>
    <n v="223686"/>
    <n v="3.31"/>
    <n v="7294147694.8199997"/>
  </r>
  <r>
    <x v="4"/>
    <s v="Q6 e-tron"/>
    <n v="2025"/>
    <x v="3"/>
    <n v="97077.65"/>
    <n v="52.8"/>
    <n v="197"/>
    <n v="132"/>
    <s v="Hatchback"/>
    <n v="5"/>
    <x v="0"/>
    <n v="69050"/>
    <n v="3.19"/>
    <n v="6703211732.5"/>
  </r>
  <r>
    <x v="0"/>
    <s v="bZ4X"/>
    <n v="2025"/>
    <x v="0"/>
    <n v="75339.45"/>
    <n v="86.8"/>
    <n v="325"/>
    <n v="184"/>
    <s v="Hatchback"/>
    <n v="5"/>
    <x v="0"/>
    <n v="12682"/>
    <n v="3.5"/>
    <n v="955454904.89999998"/>
  </r>
  <r>
    <x v="8"/>
    <s v="Mustang Mach-E"/>
    <n v="2025"/>
    <x v="1"/>
    <n v="72824.56"/>
    <n v="94.6"/>
    <n v="347"/>
    <n v="180"/>
    <s v="Van"/>
    <n v="3"/>
    <x v="0"/>
    <n v="45964"/>
    <n v="3.7"/>
    <n v="3347308075.8399997"/>
  </r>
  <r>
    <x v="3"/>
    <s v="Atto 3"/>
    <n v="2025"/>
    <x v="0"/>
    <n v="26097.55"/>
    <n v="99"/>
    <n v="367"/>
    <n v="176"/>
    <s v="Truck"/>
    <n v="5"/>
    <x v="3"/>
    <n v="233286"/>
    <n v="3.51"/>
    <n v="6088193049.3000002"/>
  </r>
  <r>
    <x v="4"/>
    <s v="Q4 e-tron"/>
    <n v="2025"/>
    <x v="3"/>
    <n v="63113.08"/>
    <n v="44"/>
    <n v="150"/>
    <n v="146"/>
    <s v="Van"/>
    <n v="4"/>
    <x v="2"/>
    <n v="79880"/>
    <n v="3.21"/>
    <n v="5041472830.4000006"/>
  </r>
  <r>
    <x v="4"/>
    <s v="Q4 e-tron"/>
    <n v="2025"/>
    <x v="4"/>
    <n v="154475.14000000001"/>
    <n v="69.7"/>
    <n v="246"/>
    <n v="161"/>
    <s v="Sedan"/>
    <n v="5"/>
    <x v="1"/>
    <n v="20728"/>
    <n v="3.43"/>
    <n v="3201960701.9200001"/>
  </r>
  <r>
    <x v="2"/>
    <s v="Model Y"/>
    <n v="2025"/>
    <x v="1"/>
    <n v="51114.48"/>
    <n v="78.3"/>
    <n v="274"/>
    <n v="190"/>
    <s v="SUV"/>
    <n v="5"/>
    <x v="2"/>
    <n v="484952"/>
    <n v="4.03"/>
    <n v="24788069304.960003"/>
  </r>
  <r>
    <x v="2"/>
    <s v="Model 3"/>
    <n v="2025"/>
    <x v="2"/>
    <n v="70038.710000000006"/>
    <n v="65.7"/>
    <n v="235"/>
    <n v="149"/>
    <s v="Sedan"/>
    <n v="5"/>
    <x v="0"/>
    <n v="164008"/>
    <n v="3.74"/>
    <n v="11486908749.68"/>
  </r>
  <r>
    <x v="3"/>
    <s v="Qin"/>
    <n v="2025"/>
    <x v="3"/>
    <n v="52251.33"/>
    <n v="63.4"/>
    <n v="238"/>
    <n v="161"/>
    <s v="Van"/>
    <n v="5"/>
    <x v="2"/>
    <n v="174435"/>
    <n v="3.19"/>
    <n v="9114460748.5500011"/>
  </r>
  <r>
    <x v="8"/>
    <s v="Explorer EV"/>
    <n v="2025"/>
    <x v="2"/>
    <n v="67752.89"/>
    <n v="58.7"/>
    <n v="237"/>
    <n v="162"/>
    <s v="Truck"/>
    <n v="5"/>
    <x v="0"/>
    <n v="21665"/>
    <n v="3.61"/>
    <n v="1467866361.8499999"/>
  </r>
  <r>
    <x v="9"/>
    <s v="i5"/>
    <n v="2025"/>
    <x v="2"/>
    <n v="48714.2"/>
    <n v="45.4"/>
    <n v="161"/>
    <n v="136"/>
    <s v="Van"/>
    <n v="4"/>
    <x v="2"/>
    <n v="75073"/>
    <n v="3.18"/>
    <n v="3657121136.5999999"/>
  </r>
  <r>
    <x v="2"/>
    <s v="Model Y"/>
    <n v="2025"/>
    <x v="0"/>
    <n v="68461.67"/>
    <n v="80.8"/>
    <n v="305"/>
    <n v="183"/>
    <s v="Coupe"/>
    <n v="4"/>
    <x v="0"/>
    <n v="443244"/>
    <n v="3.91"/>
    <n v="30345224457.48"/>
  </r>
  <r>
    <x v="9"/>
    <s v="iX"/>
    <n v="2025"/>
    <x v="3"/>
    <n v="66272.639999999999"/>
    <n v="70.2"/>
    <n v="263"/>
    <n v="144"/>
    <s v="Sedan"/>
    <n v="4"/>
    <x v="0"/>
    <n v="66889"/>
    <n v="3.62"/>
    <n v="4432910616.96"/>
  </r>
  <r>
    <x v="8"/>
    <s v="F-150 Lightning"/>
    <n v="2025"/>
    <x v="3"/>
    <n v="68957.58"/>
    <n v="70.099999999999994"/>
    <n v="262"/>
    <n v="142"/>
    <s v="Truck"/>
    <n v="5"/>
    <x v="0"/>
    <n v="69276"/>
    <n v="3.36"/>
    <n v="4777105312.0799999"/>
  </r>
  <r>
    <x v="2"/>
    <s v="Model Y"/>
    <n v="2025"/>
    <x v="2"/>
    <n v="114587.9"/>
    <n v="67.3"/>
    <n v="242"/>
    <n v="120"/>
    <s v="Coupe"/>
    <n v="3"/>
    <x v="1"/>
    <n v="458139"/>
    <n v="3.77"/>
    <n v="52497185918.099998"/>
  </r>
  <r>
    <x v="1"/>
    <s v="Ocean"/>
    <n v="2025"/>
    <x v="4"/>
    <n v="54042"/>
    <n v="69.8"/>
    <n v="254"/>
    <n v="157"/>
    <s v="Truck"/>
    <n v="4"/>
    <x v="2"/>
    <n v="17793"/>
    <n v="3.42"/>
    <n v="961569306"/>
  </r>
  <r>
    <x v="3"/>
    <s v="Atto 3"/>
    <n v="2025"/>
    <x v="4"/>
    <n v="34873.269999999997"/>
    <n v="63.6"/>
    <n v="236"/>
    <n v="149"/>
    <s v="Coupe"/>
    <n v="4"/>
    <x v="3"/>
    <n v="145087"/>
    <n v="3.26"/>
    <n v="5059658124.4899998"/>
  </r>
  <r>
    <x v="8"/>
    <s v="Explorer EV"/>
    <n v="2025"/>
    <x v="3"/>
    <n v="47275.39"/>
    <n v="64.900000000000006"/>
    <n v="242"/>
    <n v="166"/>
    <s v="Coupe"/>
    <n v="3"/>
    <x v="2"/>
    <n v="20597"/>
    <n v="3.51"/>
    <n v="973731207.83000004"/>
  </r>
  <r>
    <x v="7"/>
    <s v="ID.5"/>
    <n v="2025"/>
    <x v="0"/>
    <n v="95115.92"/>
    <n v="83"/>
    <n v="275"/>
    <n v="170"/>
    <s v="Sedan"/>
    <n v="3"/>
    <x v="0"/>
    <n v="223250"/>
    <n v="3.54"/>
    <n v="21234629140"/>
  </r>
  <r>
    <x v="3"/>
    <s v="Qin"/>
    <n v="2025"/>
    <x v="4"/>
    <n v="33846.449999999997"/>
    <n v="52.4"/>
    <n v="171"/>
    <n v="138"/>
    <s v="Truck"/>
    <n v="5"/>
    <x v="3"/>
    <n v="220677"/>
    <n v="3.2"/>
    <n v="7469133046.6499996"/>
  </r>
  <r>
    <x v="2"/>
    <s v="Cybertruck"/>
    <n v="2025"/>
    <x v="4"/>
    <n v="98891.22"/>
    <n v="78.900000000000006"/>
    <n v="301"/>
    <n v="143"/>
    <s v="Truck"/>
    <n v="4"/>
    <x v="0"/>
    <n v="113008"/>
    <n v="3.85"/>
    <n v="11175498989.76"/>
  </r>
  <r>
    <x v="2"/>
    <s v="Model 3"/>
    <n v="2025"/>
    <x v="4"/>
    <n v="129475.2"/>
    <n v="46.6"/>
    <n v="150"/>
    <n v="144"/>
    <s v="SUV"/>
    <n v="4"/>
    <x v="1"/>
    <n v="225901"/>
    <n v="3.6"/>
    <n v="29248577155.200001"/>
  </r>
  <r>
    <x v="5"/>
    <s v="Picanto EV"/>
    <n v="2025"/>
    <x v="4"/>
    <n v="80721.440000000002"/>
    <n v="72.900000000000006"/>
    <n v="256"/>
    <n v="144"/>
    <s v="Hatchback"/>
    <n v="3"/>
    <x v="0"/>
    <n v="130227"/>
    <n v="3.54"/>
    <n v="10512110966.880001"/>
  </r>
  <r>
    <x v="2"/>
    <s v="Model Y"/>
    <n v="2025"/>
    <x v="0"/>
    <n v="113868.37"/>
    <n v="86.6"/>
    <n v="301"/>
    <n v="185"/>
    <s v="Sedan"/>
    <n v="4"/>
    <x v="1"/>
    <n v="455459"/>
    <n v="3.98"/>
    <n v="51862373931.829994"/>
  </r>
  <r>
    <x v="11"/>
    <s v="R3"/>
    <n v="2025"/>
    <x v="2"/>
    <n v="78088.2"/>
    <n v="42.4"/>
    <n v="150"/>
    <n v="161"/>
    <s v="Hatchback"/>
    <n v="3"/>
    <x v="0"/>
    <n v="26875"/>
    <n v="3.25"/>
    <n v="2098620375"/>
  </r>
  <r>
    <x v="3"/>
    <s v="Qin"/>
    <n v="2025"/>
    <x v="1"/>
    <n v="101418.24000000001"/>
    <n v="74.3"/>
    <n v="239"/>
    <n v="200"/>
    <s v="Hatchback"/>
    <n v="3"/>
    <x v="1"/>
    <n v="115025"/>
    <n v="3.58"/>
    <n v="11665633056"/>
  </r>
  <r>
    <x v="7"/>
    <s v="ID.3"/>
    <n v="2025"/>
    <x v="2"/>
    <n v="66620.77"/>
    <n v="53.1"/>
    <n v="196"/>
    <n v="132"/>
    <s v="Coupe"/>
    <n v="5"/>
    <x v="0"/>
    <n v="206717"/>
    <n v="3.56"/>
    <n v="13771645712.09"/>
  </r>
  <r>
    <x v="5"/>
    <s v="Niro EV"/>
    <n v="2025"/>
    <x v="1"/>
    <n v="110498.55"/>
    <n v="107.7"/>
    <n v="407"/>
    <n v="200"/>
    <s v="SUV"/>
    <n v="4"/>
    <x v="1"/>
    <n v="55383"/>
    <n v="3.92"/>
    <n v="6119741194.6500006"/>
  </r>
  <r>
    <x v="14"/>
    <s v="EL8"/>
    <n v="2025"/>
    <x v="4"/>
    <n v="104953.65"/>
    <n v="69"/>
    <n v="237"/>
    <n v="132"/>
    <s v="Sedan"/>
    <n v="5"/>
    <x v="1"/>
    <n v="26944"/>
    <n v="3.47"/>
    <n v="2827871145.5999999"/>
  </r>
  <r>
    <x v="2"/>
    <s v="Model S"/>
    <n v="2025"/>
    <x v="0"/>
    <n v="120338.19"/>
    <n v="101.1"/>
    <n v="324"/>
    <n v="178"/>
    <s v="Truck"/>
    <n v="4"/>
    <x v="1"/>
    <n v="236717"/>
    <n v="4.0599999999999996"/>
    <n v="28486095322.23"/>
  </r>
  <r>
    <x v="2"/>
    <s v="Model Y"/>
    <n v="2025"/>
    <x v="0"/>
    <n v="147345.82"/>
    <n v="89.5"/>
    <n v="311"/>
    <n v="191"/>
    <s v="Van"/>
    <n v="5"/>
    <x v="1"/>
    <n v="458246"/>
    <n v="3.66"/>
    <n v="67520632631.720001"/>
  </r>
  <r>
    <x v="4"/>
    <s v="e-tron GT"/>
    <n v="2025"/>
    <x v="2"/>
    <n v="69716.210000000006"/>
    <n v="72.8"/>
    <n v="250"/>
    <n v="145"/>
    <s v="SUV"/>
    <n v="5"/>
    <x v="0"/>
    <n v="21802"/>
    <n v="3.43"/>
    <n v="1519952810.4200001"/>
  </r>
  <r>
    <x v="9"/>
    <s v="i7"/>
    <n v="2025"/>
    <x v="4"/>
    <n v="88626.17"/>
    <n v="42.7"/>
    <n v="150"/>
    <n v="129"/>
    <s v="Coupe"/>
    <n v="4"/>
    <x v="0"/>
    <n v="40644"/>
    <n v="3.5"/>
    <n v="3602122053.48"/>
  </r>
  <r>
    <x v="12"/>
    <s v="Equinox EV"/>
    <n v="2025"/>
    <x v="0"/>
    <n v="58372.94"/>
    <n v="95.2"/>
    <n v="341"/>
    <n v="159"/>
    <s v="SUV"/>
    <n v="5"/>
    <x v="2"/>
    <n v="5246"/>
    <n v="3.78"/>
    <n v="306224443.24000001"/>
  </r>
  <r>
    <x v="6"/>
    <s v="Ioniq 5"/>
    <n v="2025"/>
    <x v="4"/>
    <n v="64470.9"/>
    <n v="46.6"/>
    <n v="166"/>
    <n v="172"/>
    <s v="Sedan"/>
    <n v="4"/>
    <x v="2"/>
    <n v="90740"/>
    <n v="3.34"/>
    <n v="5850089466"/>
  </r>
  <r>
    <x v="12"/>
    <s v="Silverado EV"/>
    <n v="2025"/>
    <x v="4"/>
    <n v="70759.08"/>
    <n v="83.3"/>
    <n v="278"/>
    <n v="157"/>
    <s v="Coupe"/>
    <n v="4"/>
    <x v="0"/>
    <n v="11923"/>
    <n v="3.61"/>
    <n v="843660510.84000003"/>
  </r>
  <r>
    <x v="8"/>
    <s v="Explorer EV"/>
    <n v="2025"/>
    <x v="3"/>
    <n v="57566.92"/>
    <n v="54.3"/>
    <n v="184"/>
    <n v="140"/>
    <s v="SUV"/>
    <n v="4"/>
    <x v="2"/>
    <n v="64630"/>
    <n v="3.23"/>
    <n v="3720550039.5999999"/>
  </r>
  <r>
    <x v="6"/>
    <s v="Ioniq 5"/>
    <n v="2025"/>
    <x v="3"/>
    <n v="37110.33"/>
    <n v="75.5"/>
    <n v="266"/>
    <n v="130"/>
    <s v="Hatchback"/>
    <n v="5"/>
    <x v="2"/>
    <n v="143597"/>
    <n v="3.54"/>
    <n v="5328932057.0100002"/>
  </r>
  <r>
    <x v="13"/>
    <s v="EQE"/>
    <n v="2025"/>
    <x v="1"/>
    <n v="103655.43"/>
    <n v="79.599999999999994"/>
    <n v="307"/>
    <n v="197"/>
    <s v="Van"/>
    <n v="4"/>
    <x v="1"/>
    <n v="54248"/>
    <n v="3.94"/>
    <n v="5623099766.6399994"/>
  </r>
  <r>
    <x v="5"/>
    <s v="Picanto EV"/>
    <n v="2025"/>
    <x v="2"/>
    <n v="28245.98"/>
    <n v="68.8"/>
    <n v="222"/>
    <n v="171"/>
    <s v="Sedan"/>
    <n v="4"/>
    <x v="3"/>
    <n v="75515"/>
    <n v="3.26"/>
    <n v="2132995179.7"/>
  </r>
  <r>
    <x v="5"/>
    <s v="Niro EV"/>
    <n v="2025"/>
    <x v="2"/>
    <n v="55056.42"/>
    <n v="81"/>
    <n v="274"/>
    <n v="160"/>
    <s v="Coupe"/>
    <n v="4"/>
    <x v="2"/>
    <n v="118841"/>
    <n v="3.38"/>
    <n v="6542960009.2200003"/>
  </r>
  <r>
    <x v="9"/>
    <s v="iX"/>
    <n v="2025"/>
    <x v="2"/>
    <n v="76098.899999999994"/>
    <n v="67.8"/>
    <n v="221"/>
    <n v="150"/>
    <s v="SUV"/>
    <n v="5"/>
    <x v="0"/>
    <n v="36766"/>
    <n v="3.35"/>
    <n v="2797852157.3999996"/>
  </r>
  <r>
    <x v="2"/>
    <s v="Cybertruck"/>
    <n v="2025"/>
    <x v="2"/>
    <n v="55743.68"/>
    <n v="46.8"/>
    <n v="183"/>
    <n v="168"/>
    <s v="Truck"/>
    <n v="4"/>
    <x v="2"/>
    <n v="237895"/>
    <n v="3.33"/>
    <n v="13261142753.6"/>
  </r>
  <r>
    <x v="6"/>
    <s v="i30"/>
    <n v="2025"/>
    <x v="1"/>
    <n v="72352.97"/>
    <n v="86.6"/>
    <n v="289"/>
    <n v="200"/>
    <s v="Van"/>
    <n v="3"/>
    <x v="0"/>
    <n v="107166"/>
    <n v="3.51"/>
    <n v="7753778383.0200005"/>
  </r>
  <r>
    <x v="3"/>
    <s v="Dolphin"/>
    <n v="2025"/>
    <x v="2"/>
    <n v="64952.61"/>
    <n v="79.2"/>
    <n v="299"/>
    <n v="144"/>
    <s v="Coupe"/>
    <n v="5"/>
    <x v="2"/>
    <n v="246706"/>
    <n v="3.79"/>
    <n v="16024198602.66"/>
  </r>
  <r>
    <x v="2"/>
    <s v="Model 3"/>
    <n v="2025"/>
    <x v="4"/>
    <n v="109716.37"/>
    <n v="72.900000000000006"/>
    <n v="254"/>
    <n v="140"/>
    <s v="Truck"/>
    <n v="5"/>
    <x v="1"/>
    <n v="176733"/>
    <n v="3.77"/>
    <n v="19390503219.209999"/>
  </r>
  <r>
    <x v="3"/>
    <s v="Leaf 50X"/>
    <n v="2025"/>
    <x v="0"/>
    <n v="51480.21"/>
    <n v="84.7"/>
    <n v="320"/>
    <n v="158"/>
    <s v="Hatchback"/>
    <n v="5"/>
    <x v="2"/>
    <n v="132415"/>
    <n v="3.44"/>
    <n v="6816752007.1499996"/>
  </r>
  <r>
    <x v="7"/>
    <s v="ID.3"/>
    <n v="2025"/>
    <x v="3"/>
    <n v="53934.12"/>
    <n v="54.5"/>
    <n v="187"/>
    <n v="143"/>
    <s v="Sedan"/>
    <n v="5"/>
    <x v="2"/>
    <n v="220093"/>
    <n v="3.36"/>
    <n v="11870522273.16"/>
  </r>
  <r>
    <x v="2"/>
    <s v="Cybertruck"/>
    <n v="2025"/>
    <x v="4"/>
    <n v="113505.79"/>
    <n v="80.7"/>
    <n v="286"/>
    <n v="155"/>
    <s v="Truck"/>
    <n v="4"/>
    <x v="1"/>
    <n v="162101"/>
    <n v="3.9"/>
    <n v="18399402064.789997"/>
  </r>
  <r>
    <x v="2"/>
    <s v="Cybertruck"/>
    <n v="2025"/>
    <x v="0"/>
    <n v="118632.47"/>
    <n v="86.9"/>
    <n v="300"/>
    <n v="168"/>
    <s v="Truck"/>
    <n v="5"/>
    <x v="1"/>
    <n v="209669"/>
    <n v="3.98"/>
    <n v="24873551352.43"/>
  </r>
  <r>
    <x v="2"/>
    <s v="Model S"/>
    <n v="2025"/>
    <x v="2"/>
    <n v="66113.759999999995"/>
    <n v="42.6"/>
    <n v="168"/>
    <n v="137"/>
    <s v="Sedan"/>
    <n v="4"/>
    <x v="0"/>
    <n v="185813"/>
    <n v="3.27"/>
    <n v="12284796086.879999"/>
  </r>
  <r>
    <x v="2"/>
    <s v="Model S"/>
    <n v="2025"/>
    <x v="1"/>
    <n v="169177.37"/>
    <n v="89.9"/>
    <n v="303"/>
    <n v="200"/>
    <s v="SUV"/>
    <n v="4"/>
    <x v="1"/>
    <n v="130032"/>
    <n v="3.68"/>
    <n v="21998471775.84"/>
  </r>
  <r>
    <x v="3"/>
    <s v="Atto 3"/>
    <n v="2025"/>
    <x v="2"/>
    <n v="39603.870000000003"/>
    <n v="75.099999999999994"/>
    <n v="266"/>
    <n v="158"/>
    <s v="Van"/>
    <n v="5"/>
    <x v="2"/>
    <n v="195375"/>
    <n v="3.46"/>
    <n v="7737606101.250001"/>
  </r>
  <r>
    <x v="2"/>
    <s v="Model 3"/>
    <n v="2025"/>
    <x v="3"/>
    <n v="27829.58"/>
    <n v="72.900000000000006"/>
    <n v="249"/>
    <n v="177"/>
    <s v="Van"/>
    <n v="4"/>
    <x v="3"/>
    <n v="110913"/>
    <n v="3.78"/>
    <n v="3086662206.54"/>
  </r>
  <r>
    <x v="9"/>
    <s v="i3"/>
    <n v="2025"/>
    <x v="3"/>
    <n v="104401.84"/>
    <n v="73.3"/>
    <n v="250"/>
    <n v="178"/>
    <s v="Coupe"/>
    <n v="5"/>
    <x v="1"/>
    <n v="64517"/>
    <n v="3.56"/>
    <n v="6735693511.2799997"/>
  </r>
  <r>
    <x v="8"/>
    <s v="F-150 Lightning"/>
    <n v="2025"/>
    <x v="1"/>
    <n v="55789.82"/>
    <n v="103.1"/>
    <n v="355"/>
    <n v="200"/>
    <s v="Truck"/>
    <n v="3"/>
    <x v="2"/>
    <n v="58686"/>
    <n v="4"/>
    <n v="3274081376.52"/>
  </r>
  <r>
    <x v="5"/>
    <s v="Picanto EV"/>
    <n v="2025"/>
    <x v="2"/>
    <n v="48934.98"/>
    <n v="67"/>
    <n v="228"/>
    <n v="154"/>
    <s v="Coupe"/>
    <n v="5"/>
    <x v="2"/>
    <n v="106640"/>
    <n v="3.38"/>
    <n v="5218426267.2000008"/>
  </r>
  <r>
    <x v="5"/>
    <s v="Sportage EV"/>
    <n v="2025"/>
    <x v="4"/>
    <n v="89200.56"/>
    <n v="62.2"/>
    <n v="211"/>
    <n v="149"/>
    <s v="SUV"/>
    <n v="4"/>
    <x v="0"/>
    <n v="55676"/>
    <n v="3"/>
    <n v="4966330378.5599995"/>
  </r>
  <r>
    <x v="9"/>
    <s v="iX"/>
    <n v="2025"/>
    <x v="0"/>
    <n v="133417.07"/>
    <n v="99.6"/>
    <n v="348"/>
    <n v="178"/>
    <s v="Van"/>
    <n v="4"/>
    <x v="1"/>
    <n v="53580"/>
    <n v="3.85"/>
    <n v="7148486610.6000004"/>
  </r>
  <r>
    <x v="8"/>
    <s v="Explorer EV"/>
    <n v="2025"/>
    <x v="1"/>
    <n v="63490.76"/>
    <n v="108"/>
    <n v="370"/>
    <n v="196"/>
    <s v="Sedan"/>
    <n v="4"/>
    <x v="2"/>
    <n v="37708"/>
    <n v="3.81"/>
    <n v="2394109578.0799999"/>
  </r>
  <r>
    <x v="3"/>
    <s v="Leaf 50X"/>
    <n v="2025"/>
    <x v="4"/>
    <n v="109495.59"/>
    <n v="62.3"/>
    <n v="209"/>
    <n v="147"/>
    <s v="Hatchback"/>
    <n v="4"/>
    <x v="1"/>
    <n v="180168"/>
    <n v="3.53"/>
    <n v="19727601459.119999"/>
  </r>
  <r>
    <x v="12"/>
    <s v="Silverado EV"/>
    <n v="2025"/>
    <x v="2"/>
    <n v="62818"/>
    <n v="73.599999999999994"/>
    <n v="282"/>
    <n v="140"/>
    <s v="Hatchback"/>
    <n v="5"/>
    <x v="2"/>
    <n v="4921"/>
    <n v="3.66"/>
    <n v="309127378"/>
  </r>
  <r>
    <x v="7"/>
    <s v="ID.3"/>
    <n v="2025"/>
    <x v="1"/>
    <n v="46781.599999999999"/>
    <n v="118.1"/>
    <n v="405"/>
    <n v="200"/>
    <s v="Truck"/>
    <n v="5"/>
    <x v="2"/>
    <n v="268903"/>
    <n v="3.86"/>
    <n v="12579712584.799999"/>
  </r>
  <r>
    <x v="5"/>
    <s v="EV6"/>
    <n v="2025"/>
    <x v="1"/>
    <n v="117355.84"/>
    <n v="92.1"/>
    <n v="333"/>
    <n v="191"/>
    <s v="Coupe"/>
    <n v="4"/>
    <x v="1"/>
    <n v="136386"/>
    <n v="3.73"/>
    <n v="16005693594.24"/>
  </r>
  <r>
    <x v="16"/>
    <s v="SU7"/>
    <n v="2025"/>
    <x v="2"/>
    <n v="55836.28"/>
    <n v="53.9"/>
    <n v="182"/>
    <n v="137"/>
    <s v="SUV"/>
    <n v="4"/>
    <x v="2"/>
    <n v="22178"/>
    <n v="3.55"/>
    <n v="1238337017.8399999"/>
  </r>
  <r>
    <x v="11"/>
    <s v="R2"/>
    <n v="2025"/>
    <x v="0"/>
    <n v="102186.85"/>
    <n v="81"/>
    <n v="292"/>
    <n v="180"/>
    <s v="Hatchback"/>
    <n v="5"/>
    <x v="1"/>
    <n v="2112"/>
    <n v="3.37"/>
    <n v="215818627.20000002"/>
  </r>
  <r>
    <x v="9"/>
    <s v="i4"/>
    <n v="2025"/>
    <x v="0"/>
    <n v="101731.56"/>
    <n v="98.6"/>
    <n v="360"/>
    <n v="183"/>
    <s v="Truck"/>
    <n v="4"/>
    <x v="1"/>
    <n v="41594"/>
    <n v="3.71"/>
    <n v="4231422506.6399999"/>
  </r>
  <r>
    <x v="8"/>
    <s v="F-150 Lightning"/>
    <n v="2025"/>
    <x v="4"/>
    <n v="53246.45"/>
    <n v="42.9"/>
    <n v="171"/>
    <n v="137"/>
    <s v="Truck"/>
    <n v="4"/>
    <x v="2"/>
    <n v="30016"/>
    <n v="3.29"/>
    <n v="1598245443.1999998"/>
  </r>
  <r>
    <x v="2"/>
    <s v="Model S"/>
    <n v="2025"/>
    <x v="4"/>
    <n v="176582.51"/>
    <n v="50.4"/>
    <n v="188"/>
    <n v="153"/>
    <s v="SUV"/>
    <n v="4"/>
    <x v="1"/>
    <n v="199834"/>
    <n v="3.74"/>
    <n v="35287189303.340004"/>
  </r>
  <r>
    <x v="7"/>
    <s v="ID. Aero"/>
    <n v="2025"/>
    <x v="1"/>
    <n v="86735.2"/>
    <n v="77.5"/>
    <n v="296"/>
    <n v="188"/>
    <s v="Van"/>
    <n v="5"/>
    <x v="0"/>
    <n v="261533"/>
    <n v="3.15"/>
    <n v="22684117061.599998"/>
  </r>
  <r>
    <x v="2"/>
    <s v="Cybertruck"/>
    <n v="2025"/>
    <x v="2"/>
    <n v="98106.32"/>
    <n v="49.7"/>
    <n v="172"/>
    <n v="143"/>
    <s v="Truck"/>
    <n v="4"/>
    <x v="0"/>
    <n v="221459"/>
    <n v="3.6"/>
    <n v="21726527520.880001"/>
  </r>
  <r>
    <x v="13"/>
    <s v="GLE EV"/>
    <n v="2025"/>
    <x v="4"/>
    <n v="92407.64"/>
    <n v="58"/>
    <n v="199"/>
    <n v="167"/>
    <s v="Sedan"/>
    <n v="4"/>
    <x v="0"/>
    <n v="22464"/>
    <n v="3.52"/>
    <n v="2075845224.96"/>
  </r>
  <r>
    <x v="6"/>
    <s v="Kona Electric"/>
    <n v="2025"/>
    <x v="0"/>
    <n v="92989.48"/>
    <n v="91"/>
    <n v="315"/>
    <n v="166"/>
    <s v="SUV"/>
    <n v="5"/>
    <x v="0"/>
    <n v="132728"/>
    <n v="3.62"/>
    <n v="12342307701.439999"/>
  </r>
  <r>
    <x v="13"/>
    <s v="EQG"/>
    <n v="2025"/>
    <x v="0"/>
    <n v="102050.83"/>
    <n v="92.4"/>
    <n v="312"/>
    <n v="178"/>
    <s v="Coupe"/>
    <n v="5"/>
    <x v="1"/>
    <n v="26785"/>
    <n v="3.93"/>
    <n v="2733431481.5500002"/>
  </r>
  <r>
    <x v="8"/>
    <s v="Mustang Mach-E"/>
    <n v="2025"/>
    <x v="0"/>
    <n v="62237.09"/>
    <n v="86.7"/>
    <n v="299"/>
    <n v="166"/>
    <s v="Sedan"/>
    <n v="5"/>
    <x v="2"/>
    <n v="34572"/>
    <n v="3.49"/>
    <n v="2151660675.48"/>
  </r>
  <r>
    <x v="2"/>
    <s v="Cybertruck"/>
    <n v="2025"/>
    <x v="0"/>
    <n v="45726.22"/>
    <n v="92.1"/>
    <n v="327"/>
    <n v="161"/>
    <s v="Truck"/>
    <n v="5"/>
    <x v="2"/>
    <n v="240212"/>
    <n v="3.99"/>
    <n v="10983986758.639999"/>
  </r>
  <r>
    <x v="2"/>
    <s v="Model Y"/>
    <n v="2025"/>
    <x v="0"/>
    <n v="107944.96000000001"/>
    <n v="81"/>
    <n v="289"/>
    <n v="162"/>
    <s v="Hatchback"/>
    <n v="4"/>
    <x v="1"/>
    <n v="410789"/>
    <n v="3.91"/>
    <n v="44342602173.440002"/>
  </r>
  <r>
    <x v="8"/>
    <s v="E-Transit"/>
    <n v="2025"/>
    <x v="2"/>
    <n v="61660.35"/>
    <n v="67.900000000000006"/>
    <n v="221"/>
    <n v="167"/>
    <s v="Coupe"/>
    <n v="4"/>
    <x v="2"/>
    <n v="27087"/>
    <n v="3.6"/>
    <n v="1670193900.45"/>
  </r>
  <r>
    <x v="2"/>
    <s v="Model 3"/>
    <n v="2025"/>
    <x v="3"/>
    <n v="72436.36"/>
    <n v="83"/>
    <n v="289"/>
    <n v="147"/>
    <s v="Van"/>
    <n v="3"/>
    <x v="0"/>
    <n v="139369"/>
    <n v="3.74"/>
    <n v="10095383056.84"/>
  </r>
  <r>
    <x v="5"/>
    <s v="EV9"/>
    <n v="2025"/>
    <x v="0"/>
    <n v="49012.19"/>
    <n v="102.8"/>
    <n v="368"/>
    <n v="185"/>
    <s v="SUV"/>
    <n v="5"/>
    <x v="2"/>
    <n v="114969"/>
    <n v="3.93"/>
    <n v="5634882472.1100006"/>
  </r>
  <r>
    <x v="2"/>
    <s v="Model 3"/>
    <n v="2025"/>
    <x v="0"/>
    <n v="49281.26"/>
    <n v="90.6"/>
    <n v="325"/>
    <n v="167"/>
    <s v="Truck"/>
    <n v="3"/>
    <x v="2"/>
    <n v="224804"/>
    <n v="4.0999999999999996"/>
    <n v="11078624373.040001"/>
  </r>
  <r>
    <x v="3"/>
    <s v="Qin"/>
    <n v="2025"/>
    <x v="4"/>
    <n v="47547.88"/>
    <n v="67.400000000000006"/>
    <n v="246"/>
    <n v="156"/>
    <s v="Coupe"/>
    <n v="4"/>
    <x v="2"/>
    <n v="214113"/>
    <n v="3.41"/>
    <n v="10180619230.439999"/>
  </r>
  <r>
    <x v="2"/>
    <s v="Model S"/>
    <n v="2026"/>
    <x v="0"/>
    <n v="134165.81"/>
    <n v="103.2"/>
    <n v="347"/>
    <n v="187"/>
    <s v="Sedan"/>
    <n v="4"/>
    <x v="1"/>
    <n v="211478"/>
    <n v="3.78"/>
    <n v="28373117167.18"/>
  </r>
  <r>
    <x v="7"/>
    <s v="ID. Aero"/>
    <n v="2026"/>
    <x v="3"/>
    <n v="59824.88"/>
    <n v="70.900000000000006"/>
    <n v="263"/>
    <n v="167"/>
    <s v="Sedan"/>
    <n v="3"/>
    <x v="2"/>
    <n v="293709"/>
    <n v="3.28"/>
    <n v="17571105679.919998"/>
  </r>
  <r>
    <x v="1"/>
    <s v="Ronin"/>
    <n v="2026"/>
    <x v="2"/>
    <n v="50395.94"/>
    <n v="63.9"/>
    <n v="243"/>
    <n v="147"/>
    <s v="Sedan"/>
    <n v="5"/>
    <x v="2"/>
    <n v="11950"/>
    <n v="3.48"/>
    <n v="602231483"/>
  </r>
  <r>
    <x v="8"/>
    <s v="F-150 Lightning"/>
    <n v="2026"/>
    <x v="2"/>
    <n v="52266.720000000001"/>
    <n v="73.400000000000006"/>
    <n v="268"/>
    <n v="137"/>
    <s v="Truck"/>
    <n v="5"/>
    <x v="2"/>
    <n v="62843"/>
    <n v="3.72"/>
    <n v="3284597484.96"/>
  </r>
  <r>
    <x v="3"/>
    <s v="Max"/>
    <n v="2026"/>
    <x v="1"/>
    <n v="101561.3"/>
    <n v="101.6"/>
    <n v="329"/>
    <n v="200"/>
    <s v="Truck"/>
    <n v="3"/>
    <x v="1"/>
    <n v="216998"/>
    <n v="3.69"/>
    <n v="22038598977.400002"/>
  </r>
  <r>
    <x v="12"/>
    <s v="Bolt EUV"/>
    <n v="2026"/>
    <x v="2"/>
    <n v="63696.78"/>
    <n v="78"/>
    <n v="262"/>
    <n v="136"/>
    <s v="Truck"/>
    <n v="5"/>
    <x v="2"/>
    <n v="8032"/>
    <n v="3.56"/>
    <n v="511612536.95999998"/>
  </r>
  <r>
    <x v="12"/>
    <s v="Bolt EUV"/>
    <n v="2026"/>
    <x v="3"/>
    <n v="71136.28"/>
    <n v="49.6"/>
    <n v="171"/>
    <n v="142"/>
    <s v="Hatchback"/>
    <n v="5"/>
    <x v="0"/>
    <n v="27175"/>
    <n v="3.31"/>
    <n v="1933128409"/>
  </r>
  <r>
    <x v="2"/>
    <s v="Model 3"/>
    <n v="2026"/>
    <x v="2"/>
    <n v="36489.360000000001"/>
    <n v="45.5"/>
    <n v="150"/>
    <n v="131"/>
    <s v="Van"/>
    <n v="3"/>
    <x v="2"/>
    <n v="214895"/>
    <n v="3.58"/>
    <n v="7841381017.1999998"/>
  </r>
  <r>
    <x v="2"/>
    <s v="Model Y"/>
    <n v="2026"/>
    <x v="3"/>
    <n v="96644.91"/>
    <n v="76.400000000000006"/>
    <n v="244"/>
    <n v="164"/>
    <s v="Sedan"/>
    <n v="5"/>
    <x v="0"/>
    <n v="408778"/>
    <n v="4.03"/>
    <n v="39506313019.980003"/>
  </r>
  <r>
    <x v="13"/>
    <s v="GLE EV"/>
    <n v="2026"/>
    <x v="3"/>
    <n v="68994.81"/>
    <n v="48.5"/>
    <n v="168"/>
    <n v="157"/>
    <s v="Van"/>
    <n v="5"/>
    <x v="0"/>
    <n v="79213"/>
    <n v="3.77"/>
    <n v="5465285884.5299997"/>
  </r>
  <r>
    <x v="8"/>
    <s v="F-150 Lightning"/>
    <n v="2026"/>
    <x v="3"/>
    <n v="51712.72"/>
    <n v="44.2"/>
    <n v="150"/>
    <n v="160"/>
    <s v="Truck"/>
    <n v="4"/>
    <x v="2"/>
    <n v="26384"/>
    <n v="3.09"/>
    <n v="1364388404.48"/>
  </r>
  <r>
    <x v="4"/>
    <s v="e-tron GT"/>
    <n v="2026"/>
    <x v="1"/>
    <n v="126813.57"/>
    <n v="114.9"/>
    <n v="393"/>
    <n v="190"/>
    <s v="Sedan"/>
    <n v="5"/>
    <x v="1"/>
    <n v="35466"/>
    <n v="3.84"/>
    <n v="4497570073.6199999"/>
  </r>
  <r>
    <x v="3"/>
    <s v="Atto 3"/>
    <n v="2026"/>
    <x v="4"/>
    <n v="102365.27"/>
    <n v="40.6"/>
    <n v="150"/>
    <n v="182"/>
    <s v="Sedan"/>
    <n v="4"/>
    <x v="1"/>
    <n v="112568"/>
    <n v="3.22"/>
    <n v="11523053713.360001"/>
  </r>
  <r>
    <x v="8"/>
    <s v="E-Transit"/>
    <n v="2026"/>
    <x v="1"/>
    <n v="52666.03"/>
    <n v="83.7"/>
    <n v="310"/>
    <n v="197"/>
    <s v="SUV"/>
    <n v="5"/>
    <x v="2"/>
    <n v="76169"/>
    <n v="3.67"/>
    <n v="4011518839.0699997"/>
  </r>
  <r>
    <x v="12"/>
    <s v="Bolt EUV"/>
    <n v="2026"/>
    <x v="0"/>
    <n v="70455.09"/>
    <n v="97.8"/>
    <n v="367"/>
    <n v="173"/>
    <s v="Truck"/>
    <n v="4"/>
    <x v="0"/>
    <n v="1598"/>
    <n v="3.6"/>
    <n v="112587233.81999999"/>
  </r>
  <r>
    <x v="2"/>
    <s v="Cybertruck"/>
    <n v="2026"/>
    <x v="2"/>
    <n v="50614.31"/>
    <n v="85"/>
    <n v="304"/>
    <n v="152"/>
    <s v="Truck"/>
    <n v="5"/>
    <x v="2"/>
    <n v="175527"/>
    <n v="4.0199999999999996"/>
    <n v="8884177991.3699989"/>
  </r>
  <r>
    <x v="4"/>
    <s v="Q4 e-tron"/>
    <n v="2026"/>
    <x v="0"/>
    <n v="94110.46"/>
    <n v="90.4"/>
    <n v="323"/>
    <n v="188"/>
    <s v="Sedan"/>
    <n v="4"/>
    <x v="0"/>
    <n v="38660"/>
    <n v="3.57"/>
    <n v="3638310383.6000004"/>
  </r>
  <r>
    <x v="12"/>
    <s v="Silverado EV"/>
    <n v="2026"/>
    <x v="1"/>
    <n v="65284.93"/>
    <n v="116.3"/>
    <n v="439"/>
    <n v="186"/>
    <s v="Coupe"/>
    <n v="4"/>
    <x v="0"/>
    <n v="25704"/>
    <n v="4.1900000000000004"/>
    <n v="1678083840.72"/>
  </r>
  <r>
    <x v="9"/>
    <s v="i4"/>
    <n v="2026"/>
    <x v="1"/>
    <n v="133852.24"/>
    <n v="84.9"/>
    <n v="318"/>
    <n v="200"/>
    <s v="Truck"/>
    <n v="4"/>
    <x v="1"/>
    <n v="50521"/>
    <n v="3.46"/>
    <n v="6762349017.04"/>
  </r>
  <r>
    <x v="2"/>
    <s v="Model Y"/>
    <n v="2026"/>
    <x v="3"/>
    <n v="78088.259999999995"/>
    <n v="70.2"/>
    <n v="245"/>
    <n v="130"/>
    <s v="Sedan"/>
    <n v="5"/>
    <x v="0"/>
    <n v="489120"/>
    <n v="3.77"/>
    <n v="38194529731.199997"/>
  </r>
  <r>
    <x v="2"/>
    <s v="Model 3"/>
    <n v="2026"/>
    <x v="2"/>
    <n v="80808.44"/>
    <n v="42.4"/>
    <n v="154"/>
    <n v="147"/>
    <s v="Coupe"/>
    <n v="5"/>
    <x v="0"/>
    <n v="234368"/>
    <n v="3.52"/>
    <n v="18938912465.920002"/>
  </r>
  <r>
    <x v="7"/>
    <s v="ID. Buzz"/>
    <n v="2026"/>
    <x v="3"/>
    <n v="43538.73"/>
    <n v="62.3"/>
    <n v="231"/>
    <n v="165"/>
    <s v="Van"/>
    <n v="4"/>
    <x v="2"/>
    <n v="228329"/>
    <n v="3.2"/>
    <n v="9941154682.1700001"/>
  </r>
  <r>
    <x v="19"/>
    <s v="Air"/>
    <n v="2026"/>
    <x v="3"/>
    <n v="199365.9"/>
    <n v="57.8"/>
    <n v="235"/>
    <n v="138"/>
    <s v="Coupe"/>
    <n v="4"/>
    <x v="1"/>
    <n v="26890"/>
    <n v="3.19"/>
    <n v="5360949051"/>
  </r>
  <r>
    <x v="5"/>
    <s v="Niro EV"/>
    <n v="2026"/>
    <x v="4"/>
    <n v="98299.99"/>
    <n v="73.400000000000006"/>
    <n v="245"/>
    <n v="165"/>
    <s v="Coupe"/>
    <n v="5"/>
    <x v="0"/>
    <n v="126328"/>
    <n v="3.5"/>
    <n v="12418041136.720001"/>
  </r>
  <r>
    <x v="13"/>
    <s v="EQE"/>
    <n v="2026"/>
    <x v="2"/>
    <n v="59152.02"/>
    <n v="43.6"/>
    <n v="162"/>
    <n v="170"/>
    <s v="SUV"/>
    <n v="4"/>
    <x v="2"/>
    <n v="57795"/>
    <n v="3.37"/>
    <n v="3418690995.8999996"/>
  </r>
  <r>
    <x v="12"/>
    <s v="Equinox EV"/>
    <n v="2026"/>
    <x v="1"/>
    <n v="42539.360000000001"/>
    <n v="109.6"/>
    <n v="371"/>
    <n v="200"/>
    <s v="SUV"/>
    <n v="5"/>
    <x v="2"/>
    <n v="18263"/>
    <n v="3.65"/>
    <n v="776896331.68000007"/>
  </r>
  <r>
    <x v="6"/>
    <s v="Ioniq 5"/>
    <n v="2026"/>
    <x v="4"/>
    <n v="86930.64"/>
    <n v="49.4"/>
    <n v="177"/>
    <n v="171"/>
    <s v="Sedan"/>
    <n v="4"/>
    <x v="0"/>
    <n v="147601"/>
    <n v="3.5"/>
    <n v="12831049394.639999"/>
  </r>
  <r>
    <x v="7"/>
    <s v="ID. Buzz"/>
    <n v="2026"/>
    <x v="3"/>
    <n v="39803.56"/>
    <n v="46.8"/>
    <n v="168"/>
    <n v="156"/>
    <s v="Truck"/>
    <n v="3"/>
    <x v="2"/>
    <n v="248701"/>
    <n v="3.08"/>
    <n v="9899185175.5599995"/>
  </r>
  <r>
    <x v="7"/>
    <s v="ID.4"/>
    <n v="2026"/>
    <x v="3"/>
    <n v="86543.35"/>
    <n v="56.3"/>
    <n v="193"/>
    <n v="152"/>
    <s v="Hatchback"/>
    <n v="4"/>
    <x v="0"/>
    <n v="282690"/>
    <n v="3.24"/>
    <n v="24464939611.5"/>
  </r>
  <r>
    <x v="9"/>
    <s v="i4"/>
    <n v="2026"/>
    <x v="3"/>
    <n v="72989.13"/>
    <n v="82"/>
    <n v="298"/>
    <n v="146"/>
    <s v="Hatchback"/>
    <n v="5"/>
    <x v="0"/>
    <n v="49770"/>
    <n v="3.42"/>
    <n v="3632669000.1000004"/>
  </r>
  <r>
    <x v="2"/>
    <s v="Model X"/>
    <n v="2026"/>
    <x v="0"/>
    <n v="142726.14000000001"/>
    <n v="94.6"/>
    <n v="318"/>
    <n v="176"/>
    <s v="Coupe"/>
    <n v="4"/>
    <x v="1"/>
    <n v="176985"/>
    <n v="4.2300000000000004"/>
    <n v="25260385887.900002"/>
  </r>
  <r>
    <x v="5"/>
    <s v="EV9"/>
    <n v="2026"/>
    <x v="2"/>
    <n v="62907.99"/>
    <n v="56"/>
    <n v="184"/>
    <n v="142"/>
    <s v="SUV"/>
    <n v="5"/>
    <x v="2"/>
    <n v="93165"/>
    <n v="3.26"/>
    <n v="5860822888.3499994"/>
  </r>
  <r>
    <x v="2"/>
    <s v="Model 3"/>
    <n v="2026"/>
    <x v="0"/>
    <n v="153057.04"/>
    <n v="85.2"/>
    <n v="285"/>
    <n v="186"/>
    <s v="Coupe"/>
    <n v="5"/>
    <x v="1"/>
    <n v="178740"/>
    <n v="4.0599999999999996"/>
    <n v="27357415329.600002"/>
  </r>
  <r>
    <x v="3"/>
    <s v="Dolphin"/>
    <n v="2026"/>
    <x v="3"/>
    <n v="82657.259999999995"/>
    <n v="83.9"/>
    <n v="294"/>
    <n v="153"/>
    <s v="Van"/>
    <n v="5"/>
    <x v="0"/>
    <n v="156944"/>
    <n v="3.54"/>
    <n v="12972561013.439999"/>
  </r>
  <r>
    <x v="9"/>
    <s v="i4"/>
    <n v="2026"/>
    <x v="3"/>
    <n v="90499.68"/>
    <n v="42.2"/>
    <n v="167"/>
    <n v="132"/>
    <s v="Coupe"/>
    <n v="3"/>
    <x v="0"/>
    <n v="72987"/>
    <n v="3.29"/>
    <n v="6605300144.1599998"/>
  </r>
  <r>
    <x v="13"/>
    <s v="EQC"/>
    <n v="2026"/>
    <x v="1"/>
    <n v="108052.79"/>
    <n v="111.2"/>
    <n v="390"/>
    <n v="196"/>
    <s v="Hatchback"/>
    <n v="5"/>
    <x v="1"/>
    <n v="49733"/>
    <n v="4.0199999999999996"/>
    <n v="5373789405.0699997"/>
  </r>
  <r>
    <x v="3"/>
    <s v="Leaf 50X"/>
    <n v="2026"/>
    <x v="4"/>
    <n v="60331.49"/>
    <n v="43.6"/>
    <n v="175"/>
    <n v="136"/>
    <s v="Coupe"/>
    <n v="4"/>
    <x v="2"/>
    <n v="145412"/>
    <n v="3.34"/>
    <n v="8772922623.8799992"/>
  </r>
  <r>
    <x v="9"/>
    <s v="iX"/>
    <n v="2026"/>
    <x v="3"/>
    <n v="111475.63"/>
    <n v="44.2"/>
    <n v="150"/>
    <n v="159"/>
    <s v="Van"/>
    <n v="4"/>
    <x v="1"/>
    <n v="22266"/>
    <n v="3.33"/>
    <n v="2482116377.5799999"/>
  </r>
  <r>
    <x v="3"/>
    <s v="Atto 3"/>
    <n v="2026"/>
    <x v="0"/>
    <n v="67426.929999999993"/>
    <n v="98.7"/>
    <n v="353"/>
    <n v="162"/>
    <s v="Sedan"/>
    <n v="4"/>
    <x v="0"/>
    <n v="102350"/>
    <n v="3.66"/>
    <n v="6901146285.499999"/>
  </r>
  <r>
    <x v="8"/>
    <s v="E-Transit"/>
    <n v="2026"/>
    <x v="1"/>
    <n v="48841.01"/>
    <n v="87.7"/>
    <n v="333"/>
    <n v="180"/>
    <s v="Hatchback"/>
    <n v="4"/>
    <x v="2"/>
    <n v="32288"/>
    <n v="3.72"/>
    <n v="1576978530.8800001"/>
  </r>
  <r>
    <x v="5"/>
    <s v="Niro EV"/>
    <n v="2026"/>
    <x v="3"/>
    <n v="72349.570000000007"/>
    <n v="59.3"/>
    <n v="198"/>
    <n v="149"/>
    <s v="SUV"/>
    <n v="4"/>
    <x v="0"/>
    <n v="69075"/>
    <n v="3.22"/>
    <n v="4997546547.750001"/>
  </r>
  <r>
    <x v="8"/>
    <s v="Explorer EV"/>
    <n v="2026"/>
    <x v="3"/>
    <n v="69136.539999999994"/>
    <n v="53.2"/>
    <n v="193"/>
    <n v="161"/>
    <s v="SUV"/>
    <n v="3"/>
    <x v="0"/>
    <n v="61663"/>
    <n v="3.2"/>
    <n v="4263166466.0199995"/>
  </r>
  <r>
    <x v="15"/>
    <s v="Taycan"/>
    <n v="2026"/>
    <x v="0"/>
    <n v="220736.96"/>
    <n v="82.6"/>
    <n v="288"/>
    <n v="161"/>
    <s v="SUV"/>
    <n v="5"/>
    <x v="1"/>
    <n v="5345"/>
    <n v="3.64"/>
    <n v="1179839051.2"/>
  </r>
  <r>
    <x v="7"/>
    <s v="ID. Aero"/>
    <n v="2026"/>
    <x v="3"/>
    <n v="36003.86"/>
    <n v="51.5"/>
    <n v="216"/>
    <n v="170"/>
    <s v="Hatchback"/>
    <n v="5"/>
    <x v="2"/>
    <n v="241049"/>
    <n v="3.54"/>
    <n v="8678694449.1399994"/>
  </r>
  <r>
    <x v="2"/>
    <s v="Model Y"/>
    <n v="2026"/>
    <x v="3"/>
    <n v="40006.71"/>
    <n v="63.9"/>
    <n v="241"/>
    <n v="131"/>
    <s v="Truck"/>
    <n v="4"/>
    <x v="2"/>
    <n v="488644"/>
    <n v="3.74"/>
    <n v="19549038801.239998"/>
  </r>
  <r>
    <x v="2"/>
    <s v="Model Y"/>
    <n v="2026"/>
    <x v="2"/>
    <n v="41355.449999999997"/>
    <n v="69.599999999999994"/>
    <n v="247"/>
    <n v="165"/>
    <s v="Van"/>
    <n v="4"/>
    <x v="2"/>
    <n v="407336"/>
    <n v="3.8"/>
    <n v="16845563581.199999"/>
  </r>
  <r>
    <x v="2"/>
    <s v="Model S"/>
    <n v="2026"/>
    <x v="2"/>
    <n v="88832.48"/>
    <n v="49.6"/>
    <n v="157"/>
    <n v="138"/>
    <s v="Coupe"/>
    <n v="5"/>
    <x v="0"/>
    <n v="238605"/>
    <n v="3.46"/>
    <n v="21195873890.399998"/>
  </r>
  <r>
    <x v="4"/>
    <s v="Q4 e-tron"/>
    <n v="2026"/>
    <x v="0"/>
    <n v="71435.350000000006"/>
    <n v="106"/>
    <n v="377"/>
    <n v="176"/>
    <s v="Hatchback"/>
    <n v="3"/>
    <x v="0"/>
    <n v="45647"/>
    <n v="3.96"/>
    <n v="3260809421.4500003"/>
  </r>
  <r>
    <x v="7"/>
    <s v="ID.3"/>
    <n v="2026"/>
    <x v="0"/>
    <n v="92636.43"/>
    <n v="109.7"/>
    <n v="373"/>
    <n v="188"/>
    <s v="Truck"/>
    <n v="5"/>
    <x v="0"/>
    <n v="243081"/>
    <n v="3.92"/>
    <n v="22518156040.829998"/>
  </r>
  <r>
    <x v="2"/>
    <s v="Model X"/>
    <n v="2026"/>
    <x v="1"/>
    <n v="167028.1"/>
    <n v="106.1"/>
    <n v="356"/>
    <n v="186"/>
    <s v="SUV"/>
    <n v="4"/>
    <x v="1"/>
    <n v="191484"/>
    <n v="4.17"/>
    <n v="31983208700.400002"/>
  </r>
  <r>
    <x v="13"/>
    <s v="EQC"/>
    <n v="2026"/>
    <x v="2"/>
    <n v="137679.26999999999"/>
    <n v="71.2"/>
    <n v="244"/>
    <n v="136"/>
    <s v="Coupe"/>
    <n v="5"/>
    <x v="1"/>
    <n v="34790"/>
    <n v="3.64"/>
    <n v="4789861803.2999992"/>
  </r>
  <r>
    <x v="7"/>
    <s v="ID. Buzz"/>
    <n v="2026"/>
    <x v="2"/>
    <n v="46634.879999999997"/>
    <n v="48.4"/>
    <n v="169"/>
    <n v="137"/>
    <s v="Van"/>
    <n v="4"/>
    <x v="2"/>
    <n v="203221"/>
    <n v="3.33"/>
    <n v="9477186948.4799995"/>
  </r>
  <r>
    <x v="13"/>
    <s v="EQG"/>
    <n v="2026"/>
    <x v="4"/>
    <n v="115211.58"/>
    <n v="57.3"/>
    <n v="174"/>
    <n v="161"/>
    <s v="Sedan"/>
    <n v="4"/>
    <x v="1"/>
    <n v="42340"/>
    <n v="3.43"/>
    <n v="4878058297.1999998"/>
  </r>
  <r>
    <x v="7"/>
    <s v="ID.4"/>
    <n v="2026"/>
    <x v="3"/>
    <n v="44501.34"/>
    <n v="41.7"/>
    <n v="150"/>
    <n v="135"/>
    <s v="Coupe"/>
    <n v="5"/>
    <x v="2"/>
    <n v="220387"/>
    <n v="3.14"/>
    <n v="9807516818.5799999"/>
  </r>
  <r>
    <x v="8"/>
    <s v="Mustang Mach-E"/>
    <n v="2026"/>
    <x v="0"/>
    <n v="53193.55"/>
    <n v="98"/>
    <n v="364"/>
    <n v="173"/>
    <s v="Van"/>
    <n v="4"/>
    <x v="2"/>
    <n v="23578"/>
    <n v="3.93"/>
    <n v="1254197521.9000001"/>
  </r>
  <r>
    <x v="18"/>
    <s v="e:Ny1"/>
    <n v="2026"/>
    <x v="1"/>
    <n v="51309.25"/>
    <n v="118.5"/>
    <n v="410"/>
    <n v="200"/>
    <s v="Sedan"/>
    <n v="5"/>
    <x v="2"/>
    <n v="6885"/>
    <n v="3.78"/>
    <n v="353264186.25"/>
  </r>
  <r>
    <x v="9"/>
    <s v="i7"/>
    <n v="2026"/>
    <x v="2"/>
    <n v="48107.44"/>
    <n v="41.6"/>
    <n v="150"/>
    <n v="169"/>
    <s v="SUV"/>
    <n v="4"/>
    <x v="2"/>
    <n v="49300"/>
    <n v="3.02"/>
    <n v="2371696792"/>
  </r>
  <r>
    <x v="9"/>
    <s v="i7"/>
    <n v="2026"/>
    <x v="1"/>
    <n v="116974.41"/>
    <n v="71.900000000000006"/>
    <n v="251"/>
    <n v="190"/>
    <s v="Truck"/>
    <n v="5"/>
    <x v="1"/>
    <n v="50944"/>
    <n v="3.38"/>
    <n v="5959144343.04"/>
  </r>
  <r>
    <x v="6"/>
    <s v="Ioniq"/>
    <n v="2026"/>
    <x v="0"/>
    <n v="78614.710000000006"/>
    <n v="78"/>
    <n v="278"/>
    <n v="159"/>
    <s v="Truck"/>
    <n v="5"/>
    <x v="0"/>
    <n v="126223"/>
    <n v="3.68"/>
    <n v="9922984540.3299999"/>
  </r>
  <r>
    <x v="13"/>
    <s v="GLE EV"/>
    <n v="2026"/>
    <x v="3"/>
    <n v="135101.31"/>
    <n v="74.2"/>
    <n v="242"/>
    <n v="181"/>
    <s v="SUV"/>
    <n v="4"/>
    <x v="1"/>
    <n v="54508"/>
    <n v="3.82"/>
    <n v="7364102205.4799995"/>
  </r>
  <r>
    <x v="3"/>
    <s v="Max"/>
    <n v="2026"/>
    <x v="1"/>
    <n v="90766.48"/>
    <n v="91"/>
    <n v="318"/>
    <n v="200"/>
    <s v="Sedan"/>
    <n v="4"/>
    <x v="0"/>
    <n v="205278"/>
    <n v="3.53"/>
    <n v="18632361481.439999"/>
  </r>
  <r>
    <x v="2"/>
    <s v="Model Y"/>
    <n v="2026"/>
    <x v="2"/>
    <n v="111102.01"/>
    <n v="57.5"/>
    <n v="194"/>
    <n v="140"/>
    <s v="Sedan"/>
    <n v="5"/>
    <x v="1"/>
    <n v="457566"/>
    <n v="3.79"/>
    <n v="50836502307.659996"/>
  </r>
  <r>
    <x v="2"/>
    <s v="Cybertruck"/>
    <n v="2026"/>
    <x v="2"/>
    <n v="121350.3"/>
    <n v="82.3"/>
    <n v="289"/>
    <n v="130"/>
    <s v="Truck"/>
    <n v="5"/>
    <x v="1"/>
    <n v="144677"/>
    <n v="3.86"/>
    <n v="17556597353.100002"/>
  </r>
  <r>
    <x v="5"/>
    <s v="EV9"/>
    <n v="2026"/>
    <x v="0"/>
    <n v="37918.559999999998"/>
    <n v="79.900000000000006"/>
    <n v="304"/>
    <n v="182"/>
    <s v="SUV"/>
    <n v="5"/>
    <x v="2"/>
    <n v="92798"/>
    <n v="3.66"/>
    <n v="3518766530.8799996"/>
  </r>
  <r>
    <x v="3"/>
    <s v="Dolphin"/>
    <n v="2026"/>
    <x v="2"/>
    <n v="33590.410000000003"/>
    <n v="74.099999999999994"/>
    <n v="252"/>
    <n v="140"/>
    <s v="Truck"/>
    <n v="4"/>
    <x v="3"/>
    <n v="225478"/>
    <n v="3.58"/>
    <n v="7573898465.9800005"/>
  </r>
  <r>
    <x v="3"/>
    <s v="Seagull"/>
    <n v="2026"/>
    <x v="3"/>
    <n v="75687.78"/>
    <n v="57.9"/>
    <n v="223"/>
    <n v="136"/>
    <s v="Sedan"/>
    <n v="3"/>
    <x v="0"/>
    <n v="230330"/>
    <n v="3.4"/>
    <n v="17433166367.400002"/>
  </r>
  <r>
    <x v="6"/>
    <s v="Ioniq 6"/>
    <n v="2026"/>
    <x v="0"/>
    <n v="93179.93"/>
    <n v="102.1"/>
    <n v="351"/>
    <n v="181"/>
    <s v="Sedan"/>
    <n v="4"/>
    <x v="0"/>
    <n v="64997"/>
    <n v="3.42"/>
    <n v="6056415910.2099991"/>
  </r>
  <r>
    <x v="2"/>
    <s v="Model S"/>
    <n v="2026"/>
    <x v="0"/>
    <n v="125990.82"/>
    <n v="75.3"/>
    <n v="272"/>
    <n v="171"/>
    <s v="Hatchback"/>
    <n v="5"/>
    <x v="1"/>
    <n v="200607"/>
    <n v="3.97"/>
    <n v="25274640427.740002"/>
  </r>
  <r>
    <x v="3"/>
    <s v="Max"/>
    <n v="2026"/>
    <x v="3"/>
    <n v="42445.79"/>
    <n v="53"/>
    <n v="173"/>
    <n v="167"/>
    <s v="Coupe"/>
    <n v="4"/>
    <x v="2"/>
    <n v="217748"/>
    <n v="3.05"/>
    <n v="9242485880.9200001"/>
  </r>
  <r>
    <x v="8"/>
    <s v="Explorer EV"/>
    <n v="2026"/>
    <x v="2"/>
    <n v="55828.42"/>
    <n v="47.5"/>
    <n v="163"/>
    <n v="167"/>
    <s v="Hatchback"/>
    <n v="5"/>
    <x v="2"/>
    <n v="64449"/>
    <n v="3.39"/>
    <n v="3598085840.5799999"/>
  </r>
  <r>
    <x v="7"/>
    <s v="ID.3"/>
    <n v="2026"/>
    <x v="3"/>
    <n v="36867.620000000003"/>
    <n v="42"/>
    <n v="175"/>
    <n v="148"/>
    <s v="Van"/>
    <n v="5"/>
    <x v="2"/>
    <n v="299992"/>
    <n v="3.38"/>
    <n v="11059991059.040001"/>
  </r>
  <r>
    <x v="12"/>
    <s v="Blazer EV"/>
    <n v="2026"/>
    <x v="3"/>
    <n v="47749.35"/>
    <n v="64.3"/>
    <n v="253"/>
    <n v="170"/>
    <s v="Truck"/>
    <n v="5"/>
    <x v="2"/>
    <n v="11602"/>
    <n v="3.26"/>
    <n v="553987958.69999993"/>
  </r>
  <r>
    <x v="9"/>
    <s v="iX"/>
    <n v="2026"/>
    <x v="3"/>
    <n v="111337.67"/>
    <n v="83.1"/>
    <n v="295"/>
    <n v="167"/>
    <s v="Van"/>
    <n v="4"/>
    <x v="1"/>
    <n v="20689"/>
    <n v="3.65"/>
    <n v="2303465054.6300001"/>
  </r>
  <r>
    <x v="2"/>
    <s v="Model Y"/>
    <n v="2026"/>
    <x v="2"/>
    <n v="113350.86"/>
    <n v="73.5"/>
    <n v="268"/>
    <n v="155"/>
    <s v="Sedan"/>
    <n v="5"/>
    <x v="1"/>
    <n v="463970"/>
    <n v="3.62"/>
    <n v="52591398514.199997"/>
  </r>
  <r>
    <x v="7"/>
    <s v="ID.3"/>
    <n v="2026"/>
    <x v="0"/>
    <n v="57231.82"/>
    <n v="83.1"/>
    <n v="283"/>
    <n v="170"/>
    <s v="Van"/>
    <n v="4"/>
    <x v="2"/>
    <n v="290062"/>
    <n v="3.77"/>
    <n v="16600776172.84"/>
  </r>
  <r>
    <x v="5"/>
    <s v="Picanto EV"/>
    <n v="2026"/>
    <x v="0"/>
    <n v="38689.25"/>
    <n v="93"/>
    <n v="330"/>
    <n v="173"/>
    <s v="SUV"/>
    <n v="3"/>
    <x v="2"/>
    <n v="112175"/>
    <n v="3.57"/>
    <n v="4339966618.75"/>
  </r>
  <r>
    <x v="2"/>
    <s v="Model 3"/>
    <n v="2026"/>
    <x v="3"/>
    <n v="127646.69"/>
    <n v="65.599999999999994"/>
    <n v="239"/>
    <n v="154"/>
    <s v="SUV"/>
    <n v="4"/>
    <x v="1"/>
    <n v="120535"/>
    <n v="3.74"/>
    <n v="15385893779.15"/>
  </r>
  <r>
    <x v="17"/>
    <s v="C40 Recharge"/>
    <n v="2026"/>
    <x v="0"/>
    <n v="68234.87"/>
    <n v="75.5"/>
    <n v="251"/>
    <n v="165"/>
    <s v="SUV"/>
    <n v="4"/>
    <x v="0"/>
    <n v="22605"/>
    <n v="3.33"/>
    <n v="1542449236.3499999"/>
  </r>
  <r>
    <x v="11"/>
    <s v="R1S"/>
    <n v="2026"/>
    <x v="3"/>
    <n v="87078.44"/>
    <n v="72.099999999999994"/>
    <n v="262"/>
    <n v="150"/>
    <s v="Coupe"/>
    <n v="5"/>
    <x v="0"/>
    <n v="21561"/>
    <n v="3.72"/>
    <n v="1877498244.8400002"/>
  </r>
  <r>
    <x v="1"/>
    <s v="Ronin"/>
    <n v="2026"/>
    <x v="2"/>
    <n v="89077.35"/>
    <n v="81.7"/>
    <n v="286"/>
    <n v="155"/>
    <s v="Coupe"/>
    <n v="4"/>
    <x v="0"/>
    <n v="28442"/>
    <n v="3.61"/>
    <n v="2533537988.7000003"/>
  </r>
  <r>
    <x v="2"/>
    <s v="Cybertruck"/>
    <n v="2026"/>
    <x v="2"/>
    <n v="101101.42"/>
    <n v="71.8"/>
    <n v="255"/>
    <n v="163"/>
    <s v="Truck"/>
    <n v="3"/>
    <x v="1"/>
    <n v="118722"/>
    <n v="3.89"/>
    <n v="12002962785.24"/>
  </r>
  <r>
    <x v="5"/>
    <s v="EV6"/>
    <n v="2026"/>
    <x v="2"/>
    <n v="65902.95"/>
    <n v="59.6"/>
    <n v="203"/>
    <n v="132"/>
    <s v="Sedan"/>
    <n v="4"/>
    <x v="0"/>
    <n v="95119"/>
    <n v="3.3"/>
    <n v="6268622701.0500002"/>
  </r>
  <r>
    <x v="9"/>
    <s v="i3"/>
    <n v="2026"/>
    <x v="3"/>
    <n v="62674.5"/>
    <n v="70.599999999999994"/>
    <n v="211"/>
    <n v="160"/>
    <s v="Coupe"/>
    <n v="3"/>
    <x v="2"/>
    <n v="61611"/>
    <n v="3.24"/>
    <n v="3861438619.5"/>
  </r>
  <r>
    <x v="7"/>
    <s v="ID. Buzz"/>
    <n v="2026"/>
    <x v="4"/>
    <n v="50055.73"/>
    <n v="71.2"/>
    <n v="256"/>
    <n v="140"/>
    <s v="Hatchback"/>
    <n v="5"/>
    <x v="2"/>
    <n v="296123"/>
    <n v="3.65"/>
    <n v="14822652934.790001"/>
  </r>
  <r>
    <x v="4"/>
    <s v="e-tron GT"/>
    <n v="2026"/>
    <x v="4"/>
    <n v="101046.9"/>
    <n v="80.3"/>
    <n v="301"/>
    <n v="174"/>
    <s v="SUV"/>
    <n v="4"/>
    <x v="1"/>
    <n v="68624"/>
    <n v="3.78"/>
    <n v="6934242465.5999994"/>
  </r>
  <r>
    <x v="3"/>
    <s v="Max"/>
    <n v="2026"/>
    <x v="0"/>
    <n v="92693.85"/>
    <n v="89.9"/>
    <n v="310"/>
    <n v="159"/>
    <s v="Truck"/>
    <n v="5"/>
    <x v="0"/>
    <n v="133159"/>
    <n v="3.42"/>
    <n v="12343020372.150002"/>
  </r>
  <r>
    <x v="3"/>
    <s v="Atto 3"/>
    <n v="2026"/>
    <x v="1"/>
    <n v="110109.78"/>
    <n v="119.3"/>
    <n v="403"/>
    <n v="200"/>
    <s v="Van"/>
    <n v="4"/>
    <x v="1"/>
    <n v="116675"/>
    <n v="4.1900000000000004"/>
    <n v="12847058581.5"/>
  </r>
  <r>
    <x v="12"/>
    <s v="Equinox EV"/>
    <n v="2026"/>
    <x v="4"/>
    <n v="81491.33"/>
    <n v="73.3"/>
    <n v="257"/>
    <n v="145"/>
    <s v="SUV"/>
    <n v="3"/>
    <x v="0"/>
    <n v="15310"/>
    <n v="3.75"/>
    <n v="1247632262.3"/>
  </r>
  <r>
    <x v="3"/>
    <s v="Atto 3"/>
    <n v="2026"/>
    <x v="0"/>
    <n v="104593.9"/>
    <n v="89.1"/>
    <n v="296"/>
    <n v="172"/>
    <s v="Van"/>
    <n v="5"/>
    <x v="1"/>
    <n v="219672"/>
    <n v="3.59"/>
    <n v="22976351200.799999"/>
  </r>
  <r>
    <x v="8"/>
    <s v="F-150 Lightning"/>
    <n v="2026"/>
    <x v="4"/>
    <n v="95704.24"/>
    <n v="84.6"/>
    <n v="300"/>
    <n v="176"/>
    <s v="Truck"/>
    <n v="5"/>
    <x v="0"/>
    <n v="70819"/>
    <n v="3.48"/>
    <n v="6777678572.5600004"/>
  </r>
  <r>
    <x v="5"/>
    <s v="EV6"/>
    <n v="2026"/>
    <x v="4"/>
    <n v="81787.56"/>
    <n v="61.8"/>
    <n v="200"/>
    <n v="173"/>
    <s v="Coupe"/>
    <n v="3"/>
    <x v="0"/>
    <n v="103637"/>
    <n v="3.28"/>
    <n v="8476217355.7199993"/>
  </r>
  <r>
    <x v="3"/>
    <s v="Max"/>
    <n v="2026"/>
    <x v="3"/>
    <n v="76922.710000000006"/>
    <n v="71.2"/>
    <n v="254"/>
    <n v="139"/>
    <s v="Truck"/>
    <n v="5"/>
    <x v="0"/>
    <n v="121433"/>
    <n v="3.41"/>
    <n v="9340955443.4300003"/>
  </r>
  <r>
    <x v="2"/>
    <s v="Model Y"/>
    <n v="2026"/>
    <x v="3"/>
    <n v="131838.32999999999"/>
    <n v="68.900000000000006"/>
    <n v="241"/>
    <n v="152"/>
    <s v="Sedan"/>
    <n v="5"/>
    <x v="1"/>
    <n v="410211"/>
    <n v="3.81"/>
    <n v="54081533187.629997"/>
  </r>
  <r>
    <x v="6"/>
    <s v="Ioniq 5"/>
    <n v="2026"/>
    <x v="3"/>
    <n v="60217.03"/>
    <n v="73.900000000000006"/>
    <n v="251"/>
    <n v="159"/>
    <s v="SUV"/>
    <n v="4"/>
    <x v="2"/>
    <n v="83698"/>
    <n v="3.17"/>
    <n v="5040044976.9399996"/>
  </r>
  <r>
    <x v="5"/>
    <s v="Sportage EV"/>
    <n v="2026"/>
    <x v="2"/>
    <n v="72429.61"/>
    <n v="64.2"/>
    <n v="178"/>
    <n v="153"/>
    <s v="SUV"/>
    <n v="5"/>
    <x v="0"/>
    <n v="52716"/>
    <n v="3"/>
    <n v="3818199320.7600002"/>
  </r>
  <r>
    <x v="11"/>
    <s v="R2"/>
    <n v="2026"/>
    <x v="0"/>
    <n v="98562.96"/>
    <n v="97.1"/>
    <n v="316"/>
    <n v="160"/>
    <s v="SUV"/>
    <n v="3"/>
    <x v="0"/>
    <n v="20133"/>
    <n v="3.71"/>
    <n v="1984368073.6800001"/>
  </r>
  <r>
    <x v="13"/>
    <s v="EQC"/>
    <n v="2026"/>
    <x v="4"/>
    <n v="151394.73000000001"/>
    <n v="70.8"/>
    <n v="264"/>
    <n v="153"/>
    <s v="Van"/>
    <n v="5"/>
    <x v="1"/>
    <n v="37405"/>
    <n v="3.71"/>
    <n v="5662919875.6500006"/>
  </r>
  <r>
    <x v="7"/>
    <s v="ID. Buzz"/>
    <n v="2026"/>
    <x v="0"/>
    <n v="42399.68"/>
    <n v="101.9"/>
    <n v="356"/>
    <n v="186"/>
    <s v="Hatchback"/>
    <n v="4"/>
    <x v="2"/>
    <n v="252676"/>
    <n v="3.68"/>
    <n v="10713381543.68"/>
  </r>
  <r>
    <x v="3"/>
    <s v="Atto 3"/>
    <n v="2026"/>
    <x v="1"/>
    <n v="31933.47"/>
    <n v="119.9"/>
    <n v="430"/>
    <n v="200"/>
    <s v="Coupe"/>
    <n v="3"/>
    <x v="3"/>
    <n v="219100"/>
    <n v="4.1900000000000004"/>
    <n v="6996623277"/>
  </r>
  <r>
    <x v="7"/>
    <s v="ID.3"/>
    <n v="2026"/>
    <x v="3"/>
    <n v="33483.919999999998"/>
    <n v="82.6"/>
    <n v="293"/>
    <n v="160"/>
    <s v="Truck"/>
    <n v="5"/>
    <x v="3"/>
    <n v="207337"/>
    <n v="3.62"/>
    <n v="6942455521.04"/>
  </r>
  <r>
    <x v="11"/>
    <s v="R1S"/>
    <n v="2026"/>
    <x v="4"/>
    <n v="110739.07"/>
    <n v="48.4"/>
    <n v="163"/>
    <n v="146"/>
    <s v="Sedan"/>
    <n v="5"/>
    <x v="1"/>
    <n v="26386"/>
    <n v="3.24"/>
    <n v="2921961101.02"/>
  </r>
  <r>
    <x v="4"/>
    <s v="Q4 e-tron"/>
    <n v="2026"/>
    <x v="1"/>
    <n v="163470.92000000001"/>
    <n v="73.400000000000006"/>
    <n v="267"/>
    <n v="196"/>
    <s v="Sedan"/>
    <n v="5"/>
    <x v="1"/>
    <n v="31112"/>
    <n v="3.43"/>
    <n v="5085907263.04"/>
  </r>
  <r>
    <x v="5"/>
    <s v="Niro EV"/>
    <n v="2026"/>
    <x v="1"/>
    <n v="110515.91"/>
    <n v="78.099999999999994"/>
    <n v="283"/>
    <n v="200"/>
    <s v="Coupe"/>
    <n v="5"/>
    <x v="1"/>
    <n v="62032"/>
    <n v="3.56"/>
    <n v="6855522929.1199999"/>
  </r>
  <r>
    <x v="7"/>
    <s v="ID.3"/>
    <n v="2026"/>
    <x v="2"/>
    <n v="56734.76"/>
    <n v="49.7"/>
    <n v="207"/>
    <n v="168"/>
    <s v="Hatchback"/>
    <n v="4"/>
    <x v="2"/>
    <n v="257294"/>
    <n v="3.13"/>
    <n v="14597513339.440001"/>
  </r>
  <r>
    <x v="9"/>
    <s v="i7"/>
    <n v="2026"/>
    <x v="4"/>
    <n v="125746.52"/>
    <n v="63.5"/>
    <n v="224"/>
    <n v="168"/>
    <s v="Hatchback"/>
    <n v="3"/>
    <x v="1"/>
    <n v="62950"/>
    <n v="3.45"/>
    <n v="7915743434"/>
  </r>
  <r>
    <x v="3"/>
    <s v="Yuan Plus"/>
    <n v="2026"/>
    <x v="2"/>
    <n v="71806.41"/>
    <n v="73"/>
    <n v="253"/>
    <n v="163"/>
    <s v="Sedan"/>
    <n v="4"/>
    <x v="0"/>
    <n v="163682"/>
    <n v="3.35"/>
    <n v="11753416801.620001"/>
  </r>
  <r>
    <x v="4"/>
    <s v="Q4 e-tron"/>
    <n v="2026"/>
    <x v="0"/>
    <n v="145965.35999999999"/>
    <n v="78.2"/>
    <n v="269"/>
    <n v="173"/>
    <s v="Coupe"/>
    <n v="4"/>
    <x v="1"/>
    <n v="21092"/>
    <n v="3.74"/>
    <n v="3078701373.1199999"/>
  </r>
  <r>
    <x v="2"/>
    <s v="Model 3"/>
    <n v="2026"/>
    <x v="1"/>
    <n v="147080.28"/>
    <n v="107.7"/>
    <n v="395"/>
    <n v="195"/>
    <s v="Sedan"/>
    <n v="5"/>
    <x v="1"/>
    <n v="199927"/>
    <n v="4.26"/>
    <n v="29405319139.560001"/>
  </r>
  <r>
    <x v="5"/>
    <s v="EV9"/>
    <n v="2026"/>
    <x v="1"/>
    <n v="78041.17"/>
    <n v="113.5"/>
    <n v="407"/>
    <n v="185"/>
    <s v="SUV"/>
    <n v="5"/>
    <x v="0"/>
    <n v="103428"/>
    <n v="3.83"/>
    <n v="8071642130.7600002"/>
  </r>
  <r>
    <x v="3"/>
    <s v="Seagull"/>
    <n v="2026"/>
    <x v="1"/>
    <n v="95761.12"/>
    <n v="80.599999999999994"/>
    <n v="277"/>
    <n v="181"/>
    <s v="Coupe"/>
    <n v="4"/>
    <x v="0"/>
    <n v="171938"/>
    <n v="3.56"/>
    <n v="16464975450.559999"/>
  </r>
  <r>
    <x v="5"/>
    <s v="Niro EV"/>
    <n v="2026"/>
    <x v="1"/>
    <n v="91033.29"/>
    <n v="72.5"/>
    <n v="267"/>
    <n v="194"/>
    <s v="Van"/>
    <n v="4"/>
    <x v="0"/>
    <n v="54833"/>
    <n v="3.25"/>
    <n v="4991628390.5699997"/>
  </r>
  <r>
    <x v="8"/>
    <s v="Explorer EV"/>
    <n v="2026"/>
    <x v="4"/>
    <n v="97985.03"/>
    <n v="84.1"/>
    <n v="304"/>
    <n v="167"/>
    <s v="Sedan"/>
    <n v="5"/>
    <x v="0"/>
    <n v="45069"/>
    <n v="3.49"/>
    <n v="4416087317.0699997"/>
  </r>
  <r>
    <x v="3"/>
    <s v="Dolphin"/>
    <n v="2026"/>
    <x v="0"/>
    <n v="49411.4"/>
    <n v="105.1"/>
    <n v="362"/>
    <n v="181"/>
    <s v="SUV"/>
    <n v="4"/>
    <x v="2"/>
    <n v="124104"/>
    <n v="3.7"/>
    <n v="6132152385.6000004"/>
  </r>
  <r>
    <x v="9"/>
    <s v="i3"/>
    <n v="2026"/>
    <x v="1"/>
    <n v="148406.75"/>
    <n v="116.4"/>
    <n v="409"/>
    <n v="187"/>
    <s v="Hatchback"/>
    <n v="4"/>
    <x v="1"/>
    <n v="27898"/>
    <n v="3.83"/>
    <n v="4140251511.5"/>
  </r>
  <r>
    <x v="13"/>
    <s v="EQG"/>
    <n v="2026"/>
    <x v="2"/>
    <n v="129546.31"/>
    <n v="72"/>
    <n v="248"/>
    <n v="174"/>
    <s v="Truck"/>
    <n v="4"/>
    <x v="1"/>
    <n v="57503"/>
    <n v="3.59"/>
    <n v="7449301463.9300003"/>
  </r>
  <r>
    <x v="13"/>
    <s v="EQE"/>
    <n v="2026"/>
    <x v="1"/>
    <n v="148924.89000000001"/>
    <n v="98.3"/>
    <n v="357"/>
    <n v="196"/>
    <s v="SUV"/>
    <n v="4"/>
    <x v="1"/>
    <n v="66282"/>
    <n v="3.8"/>
    <n v="9871039558.9800014"/>
  </r>
  <r>
    <x v="7"/>
    <s v="ID. Aero"/>
    <n v="2026"/>
    <x v="3"/>
    <n v="86339.6"/>
    <n v="57.8"/>
    <n v="217"/>
    <n v="145"/>
    <s v="Sedan"/>
    <n v="5"/>
    <x v="0"/>
    <n v="279621"/>
    <n v="3.38"/>
    <n v="24142365291.600002"/>
  </r>
  <r>
    <x v="2"/>
    <s v="Model S"/>
    <n v="2026"/>
    <x v="1"/>
    <n v="120990.97"/>
    <n v="76.900000000000006"/>
    <n v="272"/>
    <n v="200"/>
    <s v="Truck"/>
    <n v="4"/>
    <x v="1"/>
    <n v="177875"/>
    <n v="3.74"/>
    <n v="21521268788.75"/>
  </r>
  <r>
    <x v="8"/>
    <s v="Mustang Mach-E"/>
    <n v="2026"/>
    <x v="4"/>
    <n v="56792.12"/>
    <n v="67.2"/>
    <n v="207"/>
    <n v="135"/>
    <s v="SUV"/>
    <n v="4"/>
    <x v="2"/>
    <n v="31784"/>
    <n v="3.24"/>
    <n v="1805080742.0800002"/>
  </r>
  <r>
    <x v="7"/>
    <s v="ID. Aero"/>
    <n v="2026"/>
    <x v="3"/>
    <n v="69769.06"/>
    <n v="45"/>
    <n v="150"/>
    <n v="140"/>
    <s v="Hatchback"/>
    <n v="4"/>
    <x v="0"/>
    <n v="251078"/>
    <n v="3"/>
    <n v="17517476046.68"/>
  </r>
  <r>
    <x v="3"/>
    <s v="Yuan Plus"/>
    <n v="2026"/>
    <x v="3"/>
    <n v="35604.120000000003"/>
    <n v="69.8"/>
    <n v="235"/>
    <n v="174"/>
    <s v="Truck"/>
    <n v="5"/>
    <x v="2"/>
    <n v="210674"/>
    <n v="3.59"/>
    <n v="7500862376.8800001"/>
  </r>
  <r>
    <x v="5"/>
    <s v="Picanto EV"/>
    <n v="2026"/>
    <x v="0"/>
    <n v="70115.710000000006"/>
    <n v="95.5"/>
    <n v="342"/>
    <n v="168"/>
    <s v="Sedan"/>
    <n v="5"/>
    <x v="0"/>
    <n v="82992"/>
    <n v="3.83"/>
    <n v="5819043004.3200006"/>
  </r>
  <r>
    <x v="7"/>
    <s v="ID. Buzz"/>
    <n v="2026"/>
    <x v="2"/>
    <n v="70180.350000000006"/>
    <n v="48.8"/>
    <n v="170"/>
    <n v="159"/>
    <s v="Truck"/>
    <n v="4"/>
    <x v="0"/>
    <n v="220918"/>
    <n v="3.38"/>
    <n v="15504102561.300001"/>
  </r>
  <r>
    <x v="11"/>
    <s v="R3"/>
    <n v="2026"/>
    <x v="1"/>
    <n v="113739.43"/>
    <n v="106.9"/>
    <n v="358"/>
    <n v="200"/>
    <s v="Coupe"/>
    <n v="4"/>
    <x v="1"/>
    <n v="22439"/>
    <n v="3.75"/>
    <n v="2552199069.77"/>
  </r>
  <r>
    <x v="0"/>
    <s v="bZ4X"/>
    <n v="2026"/>
    <x v="0"/>
    <n v="89238.61"/>
    <n v="105.2"/>
    <n v="336"/>
    <n v="178"/>
    <s v="Hatchback"/>
    <n v="5"/>
    <x v="0"/>
    <n v="3195"/>
    <n v="3.98"/>
    <n v="285117358.94999999"/>
  </r>
  <r>
    <x v="13"/>
    <s v="EQS"/>
    <n v="2026"/>
    <x v="4"/>
    <n v="108752.82"/>
    <n v="76.2"/>
    <n v="250"/>
    <n v="144"/>
    <s v="SUV"/>
    <n v="4"/>
    <x v="1"/>
    <n v="65854"/>
    <n v="3.7"/>
    <n v="7161808208.2800007"/>
  </r>
  <r>
    <x v="4"/>
    <s v="e-tron"/>
    <n v="2026"/>
    <x v="1"/>
    <n v="104966.05"/>
    <n v="96.6"/>
    <n v="360"/>
    <n v="200"/>
    <s v="Sedan"/>
    <n v="4"/>
    <x v="1"/>
    <n v="20618"/>
    <n v="3.66"/>
    <n v="2164190018.9000001"/>
  </r>
  <r>
    <x v="6"/>
    <s v="Ioniq 6"/>
    <n v="2026"/>
    <x v="4"/>
    <n v="43930.22"/>
    <n v="71.2"/>
    <n v="285"/>
    <n v="141"/>
    <s v="SUV"/>
    <n v="4"/>
    <x v="2"/>
    <n v="60140"/>
    <n v="3.56"/>
    <n v="2641963430.8000002"/>
  </r>
  <r>
    <x v="5"/>
    <s v="EV9"/>
    <n v="2026"/>
    <x v="0"/>
    <n v="68589.740000000005"/>
    <n v="83.3"/>
    <n v="269"/>
    <n v="185"/>
    <s v="SUV"/>
    <n v="5"/>
    <x v="0"/>
    <n v="136116"/>
    <n v="3.29"/>
    <n v="9336161049.8400002"/>
  </r>
  <r>
    <x v="6"/>
    <s v="Ioniq 6"/>
    <n v="2026"/>
    <x v="4"/>
    <n v="56433"/>
    <n v="62.7"/>
    <n v="241"/>
    <n v="161"/>
    <s v="Truck"/>
    <n v="4"/>
    <x v="2"/>
    <n v="82791"/>
    <n v="3.39"/>
    <n v="4672144503"/>
  </r>
  <r>
    <x v="3"/>
    <s v="Atto 3"/>
    <n v="2026"/>
    <x v="0"/>
    <n v="27583.09"/>
    <n v="88.1"/>
    <n v="308"/>
    <n v="181"/>
    <s v="Truck"/>
    <n v="5"/>
    <x v="3"/>
    <n v="122434"/>
    <n v="3.77"/>
    <n v="3377108041.0599999"/>
  </r>
  <r>
    <x v="2"/>
    <s v="Model S"/>
    <n v="2026"/>
    <x v="2"/>
    <n v="58826.879999999997"/>
    <n v="44.1"/>
    <n v="150"/>
    <n v="133"/>
    <s v="Sedan"/>
    <n v="4"/>
    <x v="2"/>
    <n v="198300"/>
    <n v="3.51"/>
    <n v="11665370304"/>
  </r>
  <r>
    <x v="1"/>
    <s v="Ronin"/>
    <n v="2026"/>
    <x v="3"/>
    <n v="93652.94"/>
    <n v="54.5"/>
    <n v="193"/>
    <n v="177"/>
    <s v="Sedan"/>
    <n v="3"/>
    <x v="0"/>
    <n v="24709"/>
    <n v="3.26"/>
    <n v="2314070494.46"/>
  </r>
  <r>
    <x v="2"/>
    <s v="Model 3"/>
    <n v="2026"/>
    <x v="1"/>
    <n v="112274.6"/>
    <n v="73.599999999999994"/>
    <n v="242"/>
    <n v="190"/>
    <s v="Hatchback"/>
    <n v="4"/>
    <x v="1"/>
    <n v="193133"/>
    <n v="3.85"/>
    <n v="21683930321.799999"/>
  </r>
  <r>
    <x v="3"/>
    <s v="Qin"/>
    <n v="2026"/>
    <x v="2"/>
    <n v="45158.26"/>
    <n v="84"/>
    <n v="315"/>
    <n v="140"/>
    <s v="SUV"/>
    <n v="5"/>
    <x v="2"/>
    <n v="119766"/>
    <n v="3.6"/>
    <n v="5408424167.1599998"/>
  </r>
  <r>
    <x v="9"/>
    <s v="i4"/>
    <n v="2026"/>
    <x v="4"/>
    <n v="103491.15"/>
    <n v="48.4"/>
    <n v="152"/>
    <n v="147"/>
    <s v="Sedan"/>
    <n v="5"/>
    <x v="1"/>
    <n v="42817"/>
    <n v="3.39"/>
    <n v="4431180569.5500002"/>
  </r>
  <r>
    <x v="5"/>
    <s v="Niro EV"/>
    <n v="2026"/>
    <x v="0"/>
    <n v="67363.850000000006"/>
    <n v="101"/>
    <n v="376"/>
    <n v="160"/>
    <s v="SUV"/>
    <n v="3"/>
    <x v="0"/>
    <n v="128059"/>
    <n v="3.95"/>
    <n v="8626547267.1500015"/>
  </r>
  <r>
    <x v="12"/>
    <s v="Silverado EV"/>
    <n v="2026"/>
    <x v="4"/>
    <n v="68395.009999999995"/>
    <n v="46"/>
    <n v="165"/>
    <n v="146"/>
    <s v="Coupe"/>
    <n v="4"/>
    <x v="0"/>
    <n v="27929"/>
    <n v="3"/>
    <n v="1910204234.29"/>
  </r>
  <r>
    <x v="4"/>
    <s v="e-tron"/>
    <n v="2026"/>
    <x v="2"/>
    <n v="97863.03"/>
    <n v="41.7"/>
    <n v="166"/>
    <n v="145"/>
    <s v="Coupe"/>
    <n v="5"/>
    <x v="0"/>
    <n v="24216"/>
    <n v="3.41"/>
    <n v="2369851134.48"/>
  </r>
  <r>
    <x v="5"/>
    <s v="Picanto EV"/>
    <n v="2026"/>
    <x v="4"/>
    <n v="97174.66"/>
    <n v="65.2"/>
    <n v="227"/>
    <n v="140"/>
    <s v="Truck"/>
    <n v="4"/>
    <x v="0"/>
    <n v="93712"/>
    <n v="3.12"/>
    <n v="9106431737.9200001"/>
  </r>
  <r>
    <x v="9"/>
    <s v="iX"/>
    <n v="2026"/>
    <x v="0"/>
    <n v="81773.509999999995"/>
    <n v="75.7"/>
    <n v="277"/>
    <n v="182"/>
    <s v="Truck"/>
    <n v="5"/>
    <x v="0"/>
    <n v="38573"/>
    <n v="3.54"/>
    <n v="3154249601.23"/>
  </r>
  <r>
    <x v="13"/>
    <s v="EQG"/>
    <n v="2026"/>
    <x v="0"/>
    <n v="124673.1"/>
    <n v="100.9"/>
    <n v="347"/>
    <n v="173"/>
    <s v="SUV"/>
    <n v="5"/>
    <x v="1"/>
    <n v="24079"/>
    <n v="4"/>
    <n v="3002003574.9000001"/>
  </r>
  <r>
    <x v="12"/>
    <s v="Bolt EV"/>
    <n v="2026"/>
    <x v="4"/>
    <n v="67711.199999999997"/>
    <n v="41.3"/>
    <n v="150"/>
    <n v="155"/>
    <s v="Van"/>
    <n v="5"/>
    <x v="0"/>
    <n v="15428"/>
    <n v="3.23"/>
    <n v="1044648393.5999999"/>
  </r>
  <r>
    <x v="2"/>
    <s v="Model Y"/>
    <n v="2026"/>
    <x v="0"/>
    <n v="83728.44"/>
    <n v="82.6"/>
    <n v="280"/>
    <n v="180"/>
    <s v="Hatchback"/>
    <n v="4"/>
    <x v="0"/>
    <n v="490450"/>
    <n v="3.83"/>
    <n v="41064613398"/>
  </r>
  <r>
    <x v="6"/>
    <s v="Kona Electric"/>
    <n v="2026"/>
    <x v="1"/>
    <n v="77799.73"/>
    <n v="108"/>
    <n v="367"/>
    <n v="200"/>
    <s v="Hatchback"/>
    <n v="4"/>
    <x v="0"/>
    <n v="58908"/>
    <n v="3.8"/>
    <n v="4583026494.8400002"/>
  </r>
  <r>
    <x v="3"/>
    <s v="Atto 3"/>
    <n v="2026"/>
    <x v="4"/>
    <n v="87619.97"/>
    <n v="76.3"/>
    <n v="270"/>
    <n v="163"/>
    <s v="Hatchback"/>
    <n v="4"/>
    <x v="0"/>
    <n v="118872"/>
    <n v="3.49"/>
    <n v="10415561073.84"/>
  </r>
  <r>
    <x v="2"/>
    <s v="Model Y"/>
    <n v="2026"/>
    <x v="4"/>
    <n v="55363.64"/>
    <n v="49.7"/>
    <n v="197"/>
    <n v="138"/>
    <s v="SUV"/>
    <n v="4"/>
    <x v="2"/>
    <n v="467657"/>
    <n v="3.42"/>
    <n v="25891193791.48"/>
  </r>
  <r>
    <x v="13"/>
    <s v="EQC"/>
    <n v="2026"/>
    <x v="0"/>
    <n v="122737.35"/>
    <n v="76.099999999999994"/>
    <n v="281"/>
    <n v="174"/>
    <s v="SUV"/>
    <n v="5"/>
    <x v="1"/>
    <n v="45500"/>
    <n v="3.92"/>
    <n v="5584549425"/>
  </r>
  <r>
    <x v="12"/>
    <s v="Silverado EV"/>
    <n v="2026"/>
    <x v="0"/>
    <n v="75057.34"/>
    <n v="81.400000000000006"/>
    <n v="277"/>
    <n v="178"/>
    <s v="Truck"/>
    <n v="3"/>
    <x v="0"/>
    <n v="18197"/>
    <n v="3.62"/>
    <n v="1365818415.98"/>
  </r>
  <r>
    <x v="5"/>
    <s v="Picanto EV"/>
    <n v="2026"/>
    <x v="3"/>
    <n v="54591.6"/>
    <n v="68.599999999999994"/>
    <n v="257"/>
    <n v="158"/>
    <s v="Van"/>
    <n v="4"/>
    <x v="2"/>
    <n v="84955"/>
    <n v="3.44"/>
    <n v="4637829378"/>
  </r>
  <r>
    <x v="6"/>
    <s v="Kona Electric"/>
    <n v="2026"/>
    <x v="3"/>
    <n v="45692.14"/>
    <n v="83.7"/>
    <n v="288"/>
    <n v="154"/>
    <s v="Coupe"/>
    <n v="5"/>
    <x v="2"/>
    <n v="89861"/>
    <n v="3.5"/>
    <n v="4105941392.54"/>
  </r>
  <r>
    <x v="2"/>
    <s v="Model 3"/>
    <n v="2026"/>
    <x v="0"/>
    <n v="146733.12"/>
    <n v="98.1"/>
    <n v="336"/>
    <n v="173"/>
    <s v="Truck"/>
    <n v="5"/>
    <x v="1"/>
    <n v="162803"/>
    <n v="4.05"/>
    <n v="23888592135.360001"/>
  </r>
  <r>
    <x v="7"/>
    <s v="ID. Aero"/>
    <n v="2026"/>
    <x v="1"/>
    <n v="102827.77"/>
    <n v="98.2"/>
    <n v="350"/>
    <n v="196"/>
    <s v="Truck"/>
    <n v="5"/>
    <x v="1"/>
    <n v="238315"/>
    <n v="3.78"/>
    <n v="24505400007.549999"/>
  </r>
  <r>
    <x v="3"/>
    <s v="Yuan Plus"/>
    <n v="2026"/>
    <x v="0"/>
    <n v="32377.24"/>
    <n v="104"/>
    <n v="378"/>
    <n v="184"/>
    <s v="Coupe"/>
    <n v="4"/>
    <x v="3"/>
    <n v="164156"/>
    <n v="3.81"/>
    <n v="5314918209.4400005"/>
  </r>
  <r>
    <x v="8"/>
    <s v="Explorer EV"/>
    <n v="2026"/>
    <x v="2"/>
    <n v="61243.81"/>
    <n v="76.7"/>
    <n v="281"/>
    <n v="163"/>
    <s v="Sedan"/>
    <n v="4"/>
    <x v="2"/>
    <n v="57282"/>
    <n v="3.51"/>
    <n v="3508167924.4200001"/>
  </r>
  <r>
    <x v="2"/>
    <s v="Cybertruck"/>
    <n v="2026"/>
    <x v="3"/>
    <n v="80796.91"/>
    <n v="64.599999999999994"/>
    <n v="239"/>
    <n v="148"/>
    <s v="Truck"/>
    <n v="4"/>
    <x v="0"/>
    <n v="212130"/>
    <n v="3.66"/>
    <n v="17139448518.300001"/>
  </r>
  <r>
    <x v="19"/>
    <s v="Air"/>
    <n v="2026"/>
    <x v="2"/>
    <n v="137880.07999999999"/>
    <n v="41.3"/>
    <n v="150"/>
    <n v="127"/>
    <s v="Truck"/>
    <n v="5"/>
    <x v="1"/>
    <n v="21377"/>
    <n v="3.21"/>
    <n v="2947462470.1599998"/>
  </r>
  <r>
    <x v="9"/>
    <s v="i7"/>
    <n v="2026"/>
    <x v="4"/>
    <n v="125637.29"/>
    <n v="67.5"/>
    <n v="240"/>
    <n v="151"/>
    <s v="Hatchback"/>
    <n v="5"/>
    <x v="1"/>
    <n v="47587"/>
    <n v="3.56"/>
    <n v="5978701719.2299995"/>
  </r>
  <r>
    <x v="3"/>
    <s v="Leaf 50X"/>
    <n v="2026"/>
    <x v="0"/>
    <n v="101979.86"/>
    <n v="105.4"/>
    <n v="376"/>
    <n v="183"/>
    <s v="Van"/>
    <n v="4"/>
    <x v="1"/>
    <n v="128300"/>
    <n v="3.96"/>
    <n v="13084016038"/>
  </r>
  <r>
    <x v="13"/>
    <s v="GLE EV"/>
    <n v="2026"/>
    <x v="1"/>
    <n v="104553.67"/>
    <n v="111.7"/>
    <n v="412"/>
    <n v="192"/>
    <s v="Hatchback"/>
    <n v="4"/>
    <x v="1"/>
    <n v="68955"/>
    <n v="4.3899999999999997"/>
    <n v="7209498314.8499994"/>
  </r>
  <r>
    <x v="3"/>
    <s v="Qin"/>
    <n v="2026"/>
    <x v="1"/>
    <n v="112008.03"/>
    <n v="112.5"/>
    <n v="389"/>
    <n v="200"/>
    <s v="SUV"/>
    <n v="3"/>
    <x v="1"/>
    <n v="201649"/>
    <n v="3.59"/>
    <n v="22586307241.470001"/>
  </r>
  <r>
    <x v="12"/>
    <s v="Bolt EUV"/>
    <n v="2026"/>
    <x v="4"/>
    <n v="52994.74"/>
    <n v="63.4"/>
    <n v="206"/>
    <n v="130"/>
    <s v="Truck"/>
    <n v="5"/>
    <x v="2"/>
    <n v="5490"/>
    <n v="3.27"/>
    <n v="290941122.59999996"/>
  </r>
  <r>
    <x v="1"/>
    <s v="Ocean"/>
    <n v="2026"/>
    <x v="3"/>
    <n v="67825.009999999995"/>
    <n v="82.9"/>
    <n v="297"/>
    <n v="160"/>
    <s v="Sedan"/>
    <n v="5"/>
    <x v="0"/>
    <n v="26063"/>
    <n v="3.56"/>
    <n v="1767723235.6299999"/>
  </r>
  <r>
    <x v="6"/>
    <s v="Kona Electric"/>
    <n v="2026"/>
    <x v="3"/>
    <n v="68247.960000000006"/>
    <n v="73.099999999999994"/>
    <n v="240"/>
    <n v="151"/>
    <s v="Hatchback"/>
    <n v="5"/>
    <x v="0"/>
    <n v="75804"/>
    <n v="3.31"/>
    <n v="5173468359.8400002"/>
  </r>
  <r>
    <x v="13"/>
    <s v="EQC"/>
    <n v="2026"/>
    <x v="1"/>
    <n v="185592.86"/>
    <n v="107.8"/>
    <n v="359"/>
    <n v="192"/>
    <s v="Coupe"/>
    <n v="4"/>
    <x v="1"/>
    <n v="51560"/>
    <n v="3.97"/>
    <n v="9569167861.5999985"/>
  </r>
  <r>
    <x v="7"/>
    <s v="ID.4"/>
    <n v="2026"/>
    <x v="2"/>
    <n v="49575.71"/>
    <n v="47.3"/>
    <n v="158"/>
    <n v="141"/>
    <s v="Sedan"/>
    <n v="4"/>
    <x v="2"/>
    <n v="295672"/>
    <n v="3.23"/>
    <n v="14658149327.119999"/>
  </r>
  <r>
    <x v="12"/>
    <s v="Silverado EV"/>
    <n v="2026"/>
    <x v="3"/>
    <n v="64854.51"/>
    <n v="76"/>
    <n v="264"/>
    <n v="158"/>
    <s v="Van"/>
    <n v="4"/>
    <x v="2"/>
    <n v="16372"/>
    <n v="3.34"/>
    <n v="1061798037.72"/>
  </r>
  <r>
    <x v="6"/>
    <s v="Kona Electric"/>
    <n v="2026"/>
    <x v="4"/>
    <n v="78808.06"/>
    <n v="83.8"/>
    <n v="310"/>
    <n v="163"/>
    <s v="Truck"/>
    <n v="4"/>
    <x v="0"/>
    <n v="79142"/>
    <n v="3.33"/>
    <n v="6237027484.5199995"/>
  </r>
  <r>
    <x v="13"/>
    <s v="EQC"/>
    <n v="2026"/>
    <x v="4"/>
    <n v="89766.7"/>
    <n v="44.8"/>
    <n v="150"/>
    <n v="131"/>
    <s v="Sedan"/>
    <n v="4"/>
    <x v="0"/>
    <n v="44745"/>
    <n v="3.43"/>
    <n v="4016610991.5"/>
  </r>
  <r>
    <x v="3"/>
    <s v="Dolphin"/>
    <n v="2026"/>
    <x v="2"/>
    <n v="27881.47"/>
    <n v="60.3"/>
    <n v="202"/>
    <n v="169"/>
    <s v="Van"/>
    <n v="4"/>
    <x v="3"/>
    <n v="131662"/>
    <n v="3.35"/>
    <n v="3670930103.1400003"/>
  </r>
  <r>
    <x v="7"/>
    <s v="ID. Buzz"/>
    <n v="2026"/>
    <x v="2"/>
    <n v="77633.039999999994"/>
    <n v="74"/>
    <n v="273"/>
    <n v="165"/>
    <s v="Truck"/>
    <n v="5"/>
    <x v="0"/>
    <n v="203039"/>
    <n v="3.53"/>
    <n v="15762534808.559999"/>
  </r>
  <r>
    <x v="2"/>
    <s v="Model X"/>
    <n v="2026"/>
    <x v="2"/>
    <n v="27570.57"/>
    <n v="44.6"/>
    <n v="153"/>
    <n v="137"/>
    <s v="Coupe"/>
    <n v="5"/>
    <x v="3"/>
    <n v="203167"/>
    <n v="3.2"/>
    <n v="5601429995.1899996"/>
  </r>
  <r>
    <x v="0"/>
    <s v="bZ4X"/>
    <n v="2026"/>
    <x v="1"/>
    <n v="108712.63"/>
    <n v="111.4"/>
    <n v="366"/>
    <n v="195"/>
    <s v="Sedan"/>
    <n v="4"/>
    <x v="1"/>
    <n v="12763"/>
    <n v="3.93"/>
    <n v="1387499296.6900001"/>
  </r>
  <r>
    <x v="9"/>
    <s v="i7"/>
    <n v="2026"/>
    <x v="1"/>
    <n v="96474.96"/>
    <n v="76.8"/>
    <n v="250"/>
    <n v="200"/>
    <s v="Van"/>
    <n v="5"/>
    <x v="0"/>
    <n v="54809"/>
    <n v="3.45"/>
    <n v="5287696082.6400003"/>
  </r>
  <r>
    <x v="19"/>
    <s v="Air"/>
    <n v="2026"/>
    <x v="4"/>
    <n v="225594.15"/>
    <n v="63.1"/>
    <n v="216"/>
    <n v="125"/>
    <s v="Van"/>
    <n v="5"/>
    <x v="1"/>
    <n v="21994"/>
    <n v="3.37"/>
    <n v="4961717735.0999994"/>
  </r>
  <r>
    <x v="8"/>
    <s v="F-150 Lightning"/>
    <n v="2026"/>
    <x v="4"/>
    <n v="73146.64"/>
    <n v="40.1"/>
    <n v="150"/>
    <n v="157"/>
    <s v="Truck"/>
    <n v="5"/>
    <x v="0"/>
    <n v="26454"/>
    <n v="3.22"/>
    <n v="1935021214.5599999"/>
  </r>
  <r>
    <x v="5"/>
    <s v="EV9"/>
    <n v="2026"/>
    <x v="3"/>
    <n v="52324.87"/>
    <n v="44.4"/>
    <n v="154"/>
    <n v="158"/>
    <s v="SUV"/>
    <n v="5"/>
    <x v="2"/>
    <n v="142095"/>
    <n v="3.03"/>
    <n v="7435102402.6500006"/>
  </r>
  <r>
    <x v="13"/>
    <s v="GLE EV"/>
    <n v="2026"/>
    <x v="0"/>
    <n v="89516.61"/>
    <n v="78.7"/>
    <n v="296"/>
    <n v="185"/>
    <s v="Van"/>
    <n v="4"/>
    <x v="0"/>
    <n v="50182"/>
    <n v="4.07"/>
    <n v="4492122523.0200005"/>
  </r>
  <r>
    <x v="6"/>
    <s v="Ioniq 5"/>
    <n v="2026"/>
    <x v="1"/>
    <n v="46435.85"/>
    <n v="100.4"/>
    <n v="359"/>
    <n v="189"/>
    <s v="SUV"/>
    <n v="4"/>
    <x v="2"/>
    <n v="73520"/>
    <n v="3.68"/>
    <n v="3413963692"/>
  </r>
  <r>
    <x v="2"/>
    <s v="Model X"/>
    <n v="2026"/>
    <x v="4"/>
    <n v="88927.83"/>
    <n v="60.1"/>
    <n v="213"/>
    <n v="143"/>
    <s v="SUV"/>
    <n v="4"/>
    <x v="0"/>
    <n v="116766"/>
    <n v="3.76"/>
    <n v="10383746997.780001"/>
  </r>
  <r>
    <x v="0"/>
    <s v="bZ Compact SUV"/>
    <n v="2026"/>
    <x v="0"/>
    <n v="86892.09"/>
    <n v="84.1"/>
    <n v="298"/>
    <n v="186"/>
    <s v="SUV"/>
    <n v="4"/>
    <x v="0"/>
    <n v="27998"/>
    <n v="3.62"/>
    <n v="2432804735.8199997"/>
  </r>
  <r>
    <x v="0"/>
    <s v="bZ4X"/>
    <n v="2026"/>
    <x v="4"/>
    <n v="73010.399999999994"/>
    <n v="55.3"/>
    <n v="213"/>
    <n v="152"/>
    <s v="Sedan"/>
    <n v="4"/>
    <x v="0"/>
    <n v="9198"/>
    <n v="3.03"/>
    <n v="671549659.19999993"/>
  </r>
  <r>
    <x v="5"/>
    <s v="Picanto EV"/>
    <n v="2026"/>
    <x v="0"/>
    <n v="53569.81"/>
    <n v="105.4"/>
    <n v="370"/>
    <n v="168"/>
    <s v="Coupe"/>
    <n v="5"/>
    <x v="2"/>
    <n v="112650"/>
    <n v="3.77"/>
    <n v="6034639096.5"/>
  </r>
  <r>
    <x v="8"/>
    <s v="Mustang Mach-E"/>
    <n v="2026"/>
    <x v="2"/>
    <n v="43574.22"/>
    <n v="67.2"/>
    <n v="237"/>
    <n v="159"/>
    <s v="SUV"/>
    <n v="5"/>
    <x v="2"/>
    <n v="55997"/>
    <n v="3.06"/>
    <n v="2440025597.3400002"/>
  </r>
  <r>
    <x v="5"/>
    <s v="EV6"/>
    <n v="2026"/>
    <x v="4"/>
    <n v="95775.65"/>
    <n v="51.6"/>
    <n v="194"/>
    <n v="155"/>
    <s v="Van"/>
    <n v="5"/>
    <x v="0"/>
    <n v="81075"/>
    <n v="3.4"/>
    <n v="7765010823.75"/>
  </r>
  <r>
    <x v="3"/>
    <s v="Qin"/>
    <n v="2026"/>
    <x v="4"/>
    <n v="79542.78"/>
    <n v="81.099999999999994"/>
    <n v="295"/>
    <n v="137"/>
    <s v="Van"/>
    <n v="5"/>
    <x v="0"/>
    <n v="153987"/>
    <n v="3.28"/>
    <n v="12248554063.860001"/>
  </r>
  <r>
    <x v="17"/>
    <s v="XC40 Recharge"/>
    <n v="2026"/>
    <x v="1"/>
    <n v="111533.26"/>
    <n v="116.5"/>
    <n v="422"/>
    <n v="200"/>
    <s v="SUV"/>
    <n v="4"/>
    <x v="1"/>
    <n v="29548"/>
    <n v="3.71"/>
    <n v="3295584766.48"/>
  </r>
  <r>
    <x v="2"/>
    <s v="Model S"/>
    <n v="2026"/>
    <x v="3"/>
    <n v="81673.279999999999"/>
    <n v="69.3"/>
    <n v="252"/>
    <n v="153"/>
    <s v="SUV"/>
    <n v="4"/>
    <x v="0"/>
    <n v="117880"/>
    <n v="3.75"/>
    <n v="9627646246.3999996"/>
  </r>
  <r>
    <x v="2"/>
    <s v="Cybertruck"/>
    <n v="2026"/>
    <x v="2"/>
    <n v="55329.7"/>
    <n v="56.6"/>
    <n v="217"/>
    <n v="151"/>
    <s v="Truck"/>
    <n v="4"/>
    <x v="2"/>
    <n v="211999"/>
    <n v="3.34"/>
    <n v="11729841070.299999"/>
  </r>
  <r>
    <x v="4"/>
    <s v="Q6 e-tron"/>
    <n v="2026"/>
    <x v="1"/>
    <n v="79000.66"/>
    <n v="102.5"/>
    <n v="355"/>
    <n v="200"/>
    <s v="Coupe"/>
    <n v="5"/>
    <x v="0"/>
    <n v="72672"/>
    <n v="4.03"/>
    <n v="5741135963.5200005"/>
  </r>
  <r>
    <x v="3"/>
    <s v="Yuan Plus"/>
    <n v="2026"/>
    <x v="3"/>
    <n v="90374.6"/>
    <n v="57.6"/>
    <n v="191"/>
    <n v="145"/>
    <s v="Hatchback"/>
    <n v="5"/>
    <x v="4"/>
    <s v="Premium"/>
    <n v="232416"/>
    <n v="3.5"/>
  </r>
  <r>
    <x v="2"/>
    <s v="Model S"/>
    <n v="2026"/>
    <x v="0"/>
    <n v="127635.34"/>
    <n v="105.5"/>
    <n v="384"/>
    <n v="176"/>
    <s v="SUV"/>
    <n v="5"/>
    <x v="5"/>
    <s v="Luxury"/>
    <n v="158325"/>
    <n v="4.24"/>
  </r>
  <r>
    <x v="6"/>
    <s v="Ioniq 5"/>
    <n v="2026"/>
    <x v="3"/>
    <n v="59666.31"/>
    <n v="75.5"/>
    <n v="262"/>
    <n v="147"/>
    <s v="Sedan"/>
    <n v="4"/>
    <x v="6"/>
    <s v="Mid-range"/>
    <n v="130091"/>
    <n v="3.79"/>
  </r>
  <r>
    <x v="3"/>
    <s v="Yuan Plus"/>
    <n v="2026"/>
    <x v="0"/>
    <n v="92189.49"/>
    <n v="91.2"/>
    <n v="317"/>
    <n v="188"/>
    <s v="Coupe"/>
    <n v="4"/>
    <x v="4"/>
    <s v="Premium"/>
    <n v="158795"/>
    <n v="3.92"/>
  </r>
  <r>
    <x v="5"/>
    <s v="Niro EV"/>
    <n v="2026"/>
    <x v="1"/>
    <n v="71757.16"/>
    <n v="96"/>
    <n v="336"/>
    <n v="181"/>
    <s v="Truck"/>
    <n v="5"/>
    <x v="6"/>
    <s v="Premium"/>
    <n v="123775"/>
    <n v="3.66"/>
  </r>
  <r>
    <x v="3"/>
    <s v="Max"/>
    <n v="2026"/>
    <x v="1"/>
    <n v="71385.39"/>
    <n v="109.6"/>
    <n v="380"/>
    <n v="193"/>
    <s v="Coupe"/>
    <n v="4"/>
    <x v="4"/>
    <s v="Premium"/>
    <n v="234079"/>
    <n v="3.75"/>
  </r>
  <r>
    <x v="2"/>
    <s v="Model S"/>
    <n v="2026"/>
    <x v="1"/>
    <n v="173601"/>
    <n v="82"/>
    <n v="301"/>
    <n v="184"/>
    <s v="Truck"/>
    <n v="4"/>
    <x v="5"/>
    <s v="Luxury"/>
    <n v="192234"/>
    <n v="3.86"/>
  </r>
  <r>
    <x v="2"/>
    <s v="Model S"/>
    <n v="2026"/>
    <x v="1"/>
    <n v="120237.63"/>
    <n v="106.4"/>
    <n v="374"/>
    <n v="197"/>
    <s v="Van"/>
    <n v="3"/>
    <x v="5"/>
    <s v="Luxury"/>
    <n v="139118"/>
    <n v="4.3600000000000003"/>
  </r>
  <r>
    <x v="6"/>
    <s v="i30"/>
    <n v="2026"/>
    <x v="4"/>
    <n v="95007.35"/>
    <n v="71.5"/>
    <n v="249"/>
    <n v="152"/>
    <s v="Hatchback"/>
    <n v="3"/>
    <x v="6"/>
    <s v="Premium"/>
    <n v="111030"/>
    <n v="3.22"/>
  </r>
  <r>
    <x v="2"/>
    <s v="Model Y"/>
    <n v="2026"/>
    <x v="3"/>
    <n v="53435.31"/>
    <n v="80.3"/>
    <n v="259"/>
    <n v="162"/>
    <s v="Hatchback"/>
    <n v="4"/>
    <x v="5"/>
    <s v="Mid-range"/>
    <n v="467122"/>
    <n v="3.87"/>
  </r>
  <r>
    <x v="12"/>
    <s v="Bolt EUV"/>
    <n v="2026"/>
    <x v="0"/>
    <n v="54836.04"/>
    <n v="109.7"/>
    <n v="385"/>
    <n v="183"/>
    <s v="Hatchback"/>
    <n v="5"/>
    <x v="5"/>
    <s v="Mid-range"/>
    <n v="17331"/>
    <n v="3.77"/>
  </r>
  <r>
    <x v="3"/>
    <s v="Dolphin"/>
    <n v="2026"/>
    <x v="1"/>
    <n v="31398.12"/>
    <n v="100.6"/>
    <n v="352"/>
    <n v="200"/>
    <s v="Hatchback"/>
    <n v="5"/>
    <x v="4"/>
    <s v="Budget"/>
    <n v="240918"/>
    <n v="3.58"/>
  </r>
  <r>
    <x v="3"/>
    <s v="Yuan Plus"/>
    <n v="2026"/>
    <x v="4"/>
    <n v="58741.09"/>
    <n v="43.2"/>
    <n v="166"/>
    <n v="171"/>
    <s v="Sedan"/>
    <n v="5"/>
    <x v="4"/>
    <s v="Mid-range"/>
    <n v="193352"/>
    <n v="3.21"/>
  </r>
  <r>
    <x v="5"/>
    <s v="Niro EV"/>
    <n v="2026"/>
    <x v="1"/>
    <n v="89456.85"/>
    <n v="106.6"/>
    <n v="392"/>
    <n v="199"/>
    <s v="Van"/>
    <n v="4"/>
    <x v="6"/>
    <s v="Premium"/>
    <n v="55244"/>
    <n v="3.99"/>
  </r>
  <r>
    <x v="2"/>
    <s v="Model 3"/>
    <n v="2026"/>
    <x v="4"/>
    <n v="123396.13"/>
    <n v="65.5"/>
    <n v="201"/>
    <n v="135"/>
    <s v="Coupe"/>
    <n v="4"/>
    <x v="5"/>
    <s v="Luxury"/>
    <n v="179193"/>
    <n v="3.78"/>
  </r>
  <r>
    <x v="6"/>
    <s v="Kona Electric"/>
    <n v="2026"/>
    <x v="3"/>
    <n v="40896.410000000003"/>
    <n v="84.8"/>
    <n v="286"/>
    <n v="148"/>
    <s v="Truck"/>
    <n v="4"/>
    <x v="6"/>
    <s v="Mid-range"/>
    <n v="60452"/>
    <n v="3.61"/>
  </r>
  <r>
    <x v="7"/>
    <s v="ID.5"/>
    <n v="2026"/>
    <x v="1"/>
    <n v="72231.360000000001"/>
    <n v="115"/>
    <n v="387"/>
    <n v="200"/>
    <s v="Sedan"/>
    <n v="4"/>
    <x v="7"/>
    <s v="Premium"/>
    <n v="241869"/>
    <n v="4.05"/>
  </r>
  <r>
    <x v="2"/>
    <s v="Model S"/>
    <n v="2026"/>
    <x v="2"/>
    <n v="119620.48"/>
    <n v="41.3"/>
    <n v="150"/>
    <n v="162"/>
    <s v="Van"/>
    <n v="4"/>
    <x v="5"/>
    <s v="Luxury"/>
    <n v="186324"/>
    <n v="3.52"/>
  </r>
  <r>
    <x v="6"/>
    <s v="i30"/>
    <n v="2026"/>
    <x v="4"/>
    <n v="83199.83"/>
    <n v="49.6"/>
    <n v="161"/>
    <n v="135"/>
    <s v="Sedan"/>
    <n v="3"/>
    <x v="6"/>
    <s v="Premium"/>
    <n v="92496"/>
    <n v="3.22"/>
  </r>
  <r>
    <x v="12"/>
    <s v="Equinox EV"/>
    <n v="2026"/>
    <x v="1"/>
    <n v="71801.02"/>
    <n v="84.4"/>
    <n v="304"/>
    <n v="200"/>
    <s v="SUV"/>
    <n v="4"/>
    <x v="5"/>
    <s v="Premium"/>
    <n v="4745"/>
    <n v="3.45"/>
  </r>
  <r>
    <x v="2"/>
    <s v="Cybertruck"/>
    <n v="2026"/>
    <x v="3"/>
    <n v="39888.42"/>
    <n v="83.1"/>
    <n v="277"/>
    <n v="136"/>
    <s v="Truck"/>
    <n v="4"/>
    <x v="5"/>
    <s v="Mid-range"/>
    <n v="224642"/>
    <n v="3.64"/>
  </r>
  <r>
    <x v="2"/>
    <s v="Model X"/>
    <n v="2026"/>
    <x v="2"/>
    <n v="31180.54"/>
    <n v="72.3"/>
    <n v="241"/>
    <n v="142"/>
    <s v="Van"/>
    <n v="4"/>
    <x v="5"/>
    <s v="Budget"/>
    <n v="143060"/>
    <n v="3.87"/>
  </r>
  <r>
    <x v="9"/>
    <s v="i5"/>
    <n v="2026"/>
    <x v="0"/>
    <n v="125686.6"/>
    <n v="91.1"/>
    <n v="335"/>
    <n v="160"/>
    <s v="Truck"/>
    <n v="5"/>
    <x v="7"/>
    <s v="Luxury"/>
    <n v="50691"/>
    <n v="3.66"/>
  </r>
  <r>
    <x v="8"/>
    <s v="Mustang Mach-E"/>
    <n v="2026"/>
    <x v="0"/>
    <n v="61924.92"/>
    <n v="108.2"/>
    <n v="354"/>
    <n v="168"/>
    <s v="Van"/>
    <n v="4"/>
    <x v="5"/>
    <s v="Mid-range"/>
    <n v="37462"/>
    <n v="3.75"/>
  </r>
  <r>
    <x v="5"/>
    <s v="Sportage EV"/>
    <n v="2026"/>
    <x v="3"/>
    <n v="75695.59"/>
    <n v="58.1"/>
    <n v="208"/>
    <n v="151"/>
    <s v="SUV"/>
    <n v="4"/>
    <x v="6"/>
    <s v="Premium"/>
    <n v="99994"/>
    <n v="3.36"/>
  </r>
  <r>
    <x v="12"/>
    <s v="Bolt EUV"/>
    <n v="2026"/>
    <x v="4"/>
    <n v="71451.17"/>
    <n v="77"/>
    <n v="267"/>
    <n v="130"/>
    <s v="Van"/>
    <n v="5"/>
    <x v="5"/>
    <s v="Premium"/>
    <n v="1367"/>
    <n v="3.49"/>
  </r>
  <r>
    <x v="7"/>
    <s v="ID.3"/>
    <n v="2026"/>
    <x v="1"/>
    <n v="77434.92"/>
    <n v="112.5"/>
    <n v="381"/>
    <n v="195"/>
    <s v="Sedan"/>
    <n v="5"/>
    <x v="7"/>
    <s v="Premium"/>
    <n v="250773"/>
    <n v="3.82"/>
  </r>
  <r>
    <x v="2"/>
    <s v="Model Y"/>
    <n v="2026"/>
    <x v="0"/>
    <n v="43501.07"/>
    <n v="92.1"/>
    <n v="328"/>
    <n v="177"/>
    <s v="Hatchback"/>
    <n v="4"/>
    <x v="5"/>
    <s v="Mid-range"/>
    <n v="417203"/>
    <n v="3.88"/>
  </r>
  <r>
    <x v="8"/>
    <s v="Explorer EV"/>
    <n v="2026"/>
    <x v="4"/>
    <n v="99667.98"/>
    <n v="62.4"/>
    <n v="220"/>
    <n v="163"/>
    <s v="Sedan"/>
    <n v="5"/>
    <x v="5"/>
    <s v="Premium"/>
    <n v="21835"/>
    <n v="3.4"/>
  </r>
  <r>
    <x v="5"/>
    <s v="EV6"/>
    <n v="2026"/>
    <x v="1"/>
    <n v="46823.3"/>
    <n v="98.4"/>
    <n v="366"/>
    <n v="198"/>
    <s v="Sedan"/>
    <n v="3"/>
    <x v="6"/>
    <s v="Mid-range"/>
    <n v="141318"/>
    <n v="3.75"/>
  </r>
  <r>
    <x v="2"/>
    <s v="Cybertruck"/>
    <n v="2026"/>
    <x v="1"/>
    <n v="70200.56"/>
    <n v="85"/>
    <n v="286"/>
    <n v="189"/>
    <s v="Truck"/>
    <n v="5"/>
    <x v="5"/>
    <s v="Premium"/>
    <n v="166507"/>
    <n v="3.89"/>
  </r>
  <r>
    <x v="13"/>
    <s v="EQE"/>
    <n v="2026"/>
    <x v="4"/>
    <n v="93286.78"/>
    <n v="82.1"/>
    <n v="282"/>
    <n v="136"/>
    <s v="Hatchback"/>
    <n v="3"/>
    <x v="7"/>
    <s v="Premium"/>
    <n v="49781"/>
    <n v="3.74"/>
  </r>
  <r>
    <x v="6"/>
    <s v="Ioniq"/>
    <n v="2026"/>
    <x v="3"/>
    <n v="37257.29"/>
    <n v="52.5"/>
    <n v="164"/>
    <n v="160"/>
    <s v="SUV"/>
    <n v="3"/>
    <x v="6"/>
    <s v="Mid-range"/>
    <n v="64933"/>
    <n v="3.24"/>
  </r>
  <r>
    <x v="7"/>
    <s v="ID. Aero"/>
    <n v="2026"/>
    <x v="2"/>
    <n v="69452.44"/>
    <n v="63.6"/>
    <n v="224"/>
    <n v="148"/>
    <s v="Van"/>
    <n v="4"/>
    <x v="7"/>
    <s v="Premium"/>
    <n v="260693"/>
    <n v="3.66"/>
  </r>
  <r>
    <x v="2"/>
    <s v="Model S"/>
    <n v="2026"/>
    <x v="2"/>
    <n v="119417.95"/>
    <n v="65.3"/>
    <n v="248"/>
    <n v="145"/>
    <s v="Sedan"/>
    <n v="5"/>
    <x v="5"/>
    <s v="Luxury"/>
    <n v="170811"/>
    <n v="3.7"/>
  </r>
  <r>
    <x v="2"/>
    <s v="Model X"/>
    <n v="2026"/>
    <x v="4"/>
    <n v="139665.73000000001"/>
    <n v="70.7"/>
    <n v="248"/>
    <n v="175"/>
    <s v="Coupe"/>
    <n v="3"/>
    <x v="5"/>
    <s v="Luxury"/>
    <n v="165373"/>
    <n v="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E0F0CC-C77C-43AC-9C07-0CB958184D28}" name="PivotTable14"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I40:J46" firstHeaderRow="1" firstDataRow="1" firstDataCol="1"/>
  <pivotFields count="14">
    <pivotField axis="axisRow" showAll="0" measureFilter="1">
      <items count="21">
        <item x="4"/>
        <item x="9"/>
        <item x="3"/>
        <item x="1"/>
        <item x="8"/>
        <item x="12"/>
        <item x="18"/>
        <item x="6"/>
        <item x="5"/>
        <item x="19"/>
        <item x="13"/>
        <item x="14"/>
        <item x="10"/>
        <item x="15"/>
        <item x="11"/>
        <item x="2"/>
        <item x="0"/>
        <item x="7"/>
        <item x="17"/>
        <item x="16"/>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0"/>
  </rowFields>
  <rowItems count="6">
    <i>
      <x v="6"/>
    </i>
    <i>
      <x v="10"/>
    </i>
    <i>
      <x v="13"/>
    </i>
    <i>
      <x v="14"/>
    </i>
    <i>
      <x v="16"/>
    </i>
    <i t="grand">
      <x/>
    </i>
  </rowItems>
  <colItems count="1">
    <i/>
  </colItems>
  <dataFields count="1">
    <dataField name="Average of battery_capacity_kwh" fld="5" subtotal="average" baseField="0" baseItem="0" numFmtId="2"/>
  </dataFields>
  <formats count="1">
    <format dxfId="1">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AC0CF5-BDA0-4A64-8FED-02ECE6A38678}"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50:B56" firstHeaderRow="1" firstDataRow="1" firstDataCol="1"/>
  <pivotFields count="16">
    <pivotField axis="axisRow" showAll="0" measureFilter="1">
      <items count="22">
        <item x="4"/>
        <item x="9"/>
        <item x="3"/>
        <item x="1"/>
        <item x="8"/>
        <item x="12"/>
        <item x="18"/>
        <item x="6"/>
        <item x="5"/>
        <item x="19"/>
        <item x="13"/>
        <item x="14"/>
        <item x="10"/>
        <item x="15"/>
        <item x="11"/>
        <item x="2"/>
        <item x="0"/>
        <item x="7"/>
        <item x="17"/>
        <item x="16"/>
        <item x="20"/>
        <item t="default"/>
      </items>
    </pivotField>
    <pivotField showAll="0">
      <items count="78">
        <item x="18"/>
        <item x="70"/>
        <item x="69"/>
        <item x="71"/>
        <item x="6"/>
        <item x="52"/>
        <item x="36"/>
        <item x="45"/>
        <item x="0"/>
        <item x="47"/>
        <item x="65"/>
        <item x="31"/>
        <item x="8"/>
        <item x="62"/>
        <item x="75"/>
        <item x="66"/>
        <item x="54"/>
        <item x="41"/>
        <item x="59"/>
        <item x="33"/>
        <item x="57"/>
        <item x="64"/>
        <item x="46"/>
        <item x="68"/>
        <item x="72"/>
        <item x="21"/>
        <item x="40"/>
        <item x="32"/>
        <item x="23"/>
        <item x="22"/>
        <item x="34"/>
        <item x="12"/>
        <item x="48"/>
        <item x="74"/>
        <item x="39"/>
        <item x="53"/>
        <item x="55"/>
        <item x="16"/>
        <item x="19"/>
        <item x="10"/>
        <item x="28"/>
        <item x="27"/>
        <item x="24"/>
        <item x="44"/>
        <item x="20"/>
        <item x="9"/>
        <item x="63"/>
        <item x="38"/>
        <item x="50"/>
        <item x="37"/>
        <item x="43"/>
        <item x="3"/>
        <item x="17"/>
        <item x="2"/>
        <item x="35"/>
        <item x="5"/>
        <item x="60"/>
        <item x="7"/>
        <item x="51"/>
        <item x="13"/>
        <item x="61"/>
        <item x="4"/>
        <item x="14"/>
        <item x="56"/>
        <item x="26"/>
        <item x="25"/>
        <item x="30"/>
        <item x="1"/>
        <item x="11"/>
        <item x="29"/>
        <item x="15"/>
        <item x="49"/>
        <item x="67"/>
        <item x="73"/>
        <item x="58"/>
        <item x="42"/>
        <item x="7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43" showAll="0"/>
  </pivotFields>
  <rowFields count="1">
    <field x="0"/>
  </rowFields>
  <rowItems count="6">
    <i>
      <x v="6"/>
    </i>
    <i>
      <x v="8"/>
    </i>
    <i>
      <x v="14"/>
    </i>
    <i>
      <x v="18"/>
    </i>
    <i>
      <x v="19"/>
    </i>
    <i t="grand">
      <x/>
    </i>
  </rowItems>
  <colItems count="1">
    <i/>
  </colItems>
  <dataFields count="1">
    <dataField name="Average of top_speed_mph" fld="7" subtotal="average" baseField="0" baseItem="0"/>
  </dataFields>
  <formats count="2">
    <format dxfId="3">
      <pivotArea collapsedLevelsAreSubtotals="1" fieldPosition="0">
        <references count="1">
          <reference field="0" count="20">
            <x v="0"/>
            <x v="1"/>
            <x v="2"/>
            <x v="3"/>
            <x v="4"/>
            <x v="5"/>
            <x v="6"/>
            <x v="7"/>
            <x v="8"/>
            <x v="9"/>
            <x v="10"/>
            <x v="11"/>
            <x v="12"/>
            <x v="13"/>
            <x v="14"/>
            <x v="15"/>
            <x v="16"/>
            <x v="17"/>
            <x v="18"/>
            <x v="19"/>
          </reference>
        </references>
      </pivotArea>
    </format>
    <format dxfId="2">
      <pivotArea grandRow="1" outline="0" collapsedLevelsAreSubtotals="1" fieldPosition="0"/>
    </format>
  </formats>
  <chartFormats count="2">
    <chartFormat chart="8" format="80" series="1">
      <pivotArea type="data" outline="0" fieldPosition="0">
        <references count="1">
          <reference field="4294967294" count="1" selected="0">
            <x v="0"/>
          </reference>
        </references>
      </pivotArea>
    </chartFormat>
    <chartFormat chart="10" format="7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6:B41"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dataField="1" showAll="0"/>
    <pivotField showAll="0"/>
  </pivotFields>
  <rowFields count="1">
    <field x="20"/>
  </rowFields>
  <rowItems count="5">
    <i>
      <x/>
    </i>
    <i>
      <x v="1"/>
    </i>
    <i>
      <x v="2"/>
    </i>
    <i>
      <x v="3"/>
    </i>
    <i t="grand">
      <x/>
    </i>
  </rowItems>
  <colItems count="1">
    <i/>
  </colItems>
  <dataFields count="1">
    <dataField name="Average of customer_rating" fld="22" subtotal="average" baseField="2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0935F4-AC00-408B-90DA-7C2EA4346A8F}" name="PivotTable1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I4:J13" firstHeaderRow="1" firstDataRow="1" firstDataCol="1"/>
  <pivotFields count="14">
    <pivotField showAll="0">
      <items count="22">
        <item x="4"/>
        <item x="9"/>
        <item x="3"/>
        <item x="1"/>
        <item x="8"/>
        <item x="12"/>
        <item x="18"/>
        <item x="6"/>
        <item x="5"/>
        <item x="19"/>
        <item x="13"/>
        <item x="14"/>
        <item x="10"/>
        <item x="15"/>
        <item x="11"/>
        <item x="2"/>
        <item x="0"/>
        <item x="7"/>
        <item x="17"/>
        <item x="16"/>
        <item x="20"/>
        <item t="default"/>
      </items>
    </pivotField>
    <pivotField showAll="0"/>
    <pivotField axis="axisRow" showAll="0">
      <items count="9">
        <item x="0"/>
        <item x="1"/>
        <item x="2"/>
        <item x="3"/>
        <item x="4"/>
        <item x="5"/>
        <item x="6"/>
        <item x="7"/>
        <item t="default"/>
      </items>
    </pivotField>
    <pivotField showAll="0">
      <items count="7">
        <item x="2"/>
        <item x="0"/>
        <item x="1"/>
        <item x="4"/>
        <item x="3"/>
        <item x="5"/>
        <item t="default"/>
      </items>
    </pivotField>
    <pivotField showAll="0"/>
    <pivotField showAll="0"/>
    <pivotField showAll="0"/>
    <pivotField showAll="0"/>
    <pivotField showAll="0"/>
    <pivotField showAll="0"/>
    <pivotField showAll="0"/>
    <pivotField dataField="1" showAll="0"/>
    <pivotField showAll="0"/>
    <pivotField showAll="0"/>
  </pivotFields>
  <rowFields count="1">
    <field x="2"/>
  </rowFields>
  <rowItems count="9">
    <i>
      <x/>
    </i>
    <i>
      <x v="1"/>
    </i>
    <i>
      <x v="2"/>
    </i>
    <i>
      <x v="3"/>
    </i>
    <i>
      <x v="4"/>
    </i>
    <i>
      <x v="5"/>
    </i>
    <i>
      <x v="6"/>
    </i>
    <i>
      <x v="7"/>
    </i>
    <i t="grand">
      <x/>
    </i>
  </rowItems>
  <colItems count="1">
    <i/>
  </colItems>
  <dataFields count="1">
    <dataField name="Sum of annual_sales_units" fld="11" baseField="0" baseItem="0"/>
  </dataFields>
  <chartFormats count="18">
    <chartFormat chart="4" format="0" series="1">
      <pivotArea type="data" outline="0" fieldPosition="0">
        <references count="1">
          <reference field="4294967294" count="1" selected="0">
            <x v="0"/>
          </reference>
        </references>
      </pivotArea>
    </chartFormat>
    <chartFormat chart="8" format="54" series="1">
      <pivotArea type="data" outline="0" fieldPosition="0">
        <references count="1">
          <reference field="4294967294" count="1" selected="0">
            <x v="0"/>
          </reference>
        </references>
      </pivotArea>
    </chartFormat>
    <chartFormat chart="8" format="55">
      <pivotArea type="data" outline="0" fieldPosition="0">
        <references count="2">
          <reference field="4294967294" count="1" selected="0">
            <x v="0"/>
          </reference>
          <reference field="2" count="1" selected="0">
            <x v="0"/>
          </reference>
        </references>
      </pivotArea>
    </chartFormat>
    <chartFormat chart="8" format="56">
      <pivotArea type="data" outline="0" fieldPosition="0">
        <references count="2">
          <reference field="4294967294" count="1" selected="0">
            <x v="0"/>
          </reference>
          <reference field="2" count="1" selected="0">
            <x v="1"/>
          </reference>
        </references>
      </pivotArea>
    </chartFormat>
    <chartFormat chart="8" format="57">
      <pivotArea type="data" outline="0" fieldPosition="0">
        <references count="2">
          <reference field="4294967294" count="1" selected="0">
            <x v="0"/>
          </reference>
          <reference field="2" count="1" selected="0">
            <x v="2"/>
          </reference>
        </references>
      </pivotArea>
    </chartFormat>
    <chartFormat chart="8" format="58">
      <pivotArea type="data" outline="0" fieldPosition="0">
        <references count="2">
          <reference field="4294967294" count="1" selected="0">
            <x v="0"/>
          </reference>
          <reference field="2" count="1" selected="0">
            <x v="3"/>
          </reference>
        </references>
      </pivotArea>
    </chartFormat>
    <chartFormat chart="8" format="59">
      <pivotArea type="data" outline="0" fieldPosition="0">
        <references count="2">
          <reference field="4294967294" count="1" selected="0">
            <x v="0"/>
          </reference>
          <reference field="2" count="1" selected="0">
            <x v="4"/>
          </reference>
        </references>
      </pivotArea>
    </chartFormat>
    <chartFormat chart="8" format="60">
      <pivotArea type="data" outline="0" fieldPosition="0">
        <references count="2">
          <reference field="4294967294" count="1" selected="0">
            <x v="0"/>
          </reference>
          <reference field="2" count="1" selected="0">
            <x v="5"/>
          </reference>
        </references>
      </pivotArea>
    </chartFormat>
    <chartFormat chart="8" format="61">
      <pivotArea type="data" outline="0" fieldPosition="0">
        <references count="2">
          <reference field="4294967294" count="1" selected="0">
            <x v="0"/>
          </reference>
          <reference field="2" count="1" selected="0">
            <x v="6"/>
          </reference>
        </references>
      </pivotArea>
    </chartFormat>
    <chartFormat chart="8" format="62">
      <pivotArea type="data" outline="0" fieldPosition="0">
        <references count="2">
          <reference field="4294967294" count="1" selected="0">
            <x v="0"/>
          </reference>
          <reference field="2" count="1" selected="0">
            <x v="7"/>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 chart="4" format="4">
      <pivotArea type="data" outline="0" fieldPosition="0">
        <references count="2">
          <reference field="4294967294" count="1" selected="0">
            <x v="0"/>
          </reference>
          <reference field="2" count="1" selected="0">
            <x v="3"/>
          </reference>
        </references>
      </pivotArea>
    </chartFormat>
    <chartFormat chart="4" format="5">
      <pivotArea type="data" outline="0" fieldPosition="0">
        <references count="2">
          <reference field="4294967294" count="1" selected="0">
            <x v="0"/>
          </reference>
          <reference field="2" count="1" selected="0">
            <x v="4"/>
          </reference>
        </references>
      </pivotArea>
    </chartFormat>
    <chartFormat chart="4" format="6">
      <pivotArea type="data" outline="0" fieldPosition="0">
        <references count="2">
          <reference field="4294967294" count="1" selected="0">
            <x v="0"/>
          </reference>
          <reference field="2" count="1" selected="0">
            <x v="5"/>
          </reference>
        </references>
      </pivotArea>
    </chartFormat>
    <chartFormat chart="4" format="7">
      <pivotArea type="data" outline="0" fieldPosition="0">
        <references count="2">
          <reference field="4294967294" count="1" selected="0">
            <x v="0"/>
          </reference>
          <reference field="2" count="1" selected="0">
            <x v="6"/>
          </reference>
        </references>
      </pivotArea>
    </chartFormat>
    <chartFormat chart="4" format="8">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9BBA2F-178E-4DC1-94FA-2F677C8BC379}"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23:B29" firstHeaderRow="1" firstDataRow="1" firstDataCol="1"/>
  <pivotFields count="16">
    <pivotField axis="axisRow" showAll="0" measureFilter="1">
      <items count="21">
        <item x="4"/>
        <item x="9"/>
        <item x="3"/>
        <item x="1"/>
        <item x="8"/>
        <item x="12"/>
        <item x="18"/>
        <item x="6"/>
        <item x="5"/>
        <item x="19"/>
        <item x="13"/>
        <item x="14"/>
        <item x="10"/>
        <item x="15"/>
        <item x="11"/>
        <item x="2"/>
        <item x="0"/>
        <item x="7"/>
        <item x="17"/>
        <item x="16"/>
        <item t="default"/>
      </items>
    </pivotField>
    <pivotField showAll="0"/>
    <pivotField multipleItemSelectionAllowed="1"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43" showAll="0"/>
  </pivotFields>
  <rowFields count="1">
    <field x="0"/>
  </rowFields>
  <rowItems count="6">
    <i>
      <x v="2"/>
    </i>
    <i>
      <x v="7"/>
    </i>
    <i>
      <x v="8"/>
    </i>
    <i>
      <x v="15"/>
    </i>
    <i>
      <x v="17"/>
    </i>
    <i t="grand">
      <x/>
    </i>
  </rowItems>
  <colItems count="1">
    <i/>
  </colItems>
  <dataFields count="1">
    <dataField name="Sum of annual_sales_units" fld="12" baseField="0" baseItem="0"/>
  </dataFields>
  <chartFormats count="2">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4:B9" firstHeaderRow="1" firstDataRow="1" firstDataCol="1"/>
  <pivotFields count="24">
    <pivotField showAll="0">
      <items count="21">
        <item x="11"/>
        <item x="10"/>
        <item x="7"/>
        <item x="6"/>
        <item x="9"/>
        <item x="2"/>
        <item x="17"/>
        <item x="8"/>
        <item x="3"/>
        <item x="16"/>
        <item x="5"/>
        <item x="12"/>
        <item x="19"/>
        <item x="14"/>
        <item x="13"/>
        <item x="4"/>
        <item x="1"/>
        <item x="0"/>
        <item x="15"/>
        <item x="18"/>
        <item t="default"/>
      </items>
    </pivotField>
    <pivotField showAll="0"/>
    <pivotField showAll="0"/>
    <pivotField showAll="0">
      <items count="6">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
        <item x="2"/>
        <item x="0"/>
        <item x="1"/>
        <item t="default"/>
      </items>
    </pivotField>
    <pivotField showAll="0"/>
    <pivotField showAll="0">
      <items count="7">
        <item x="4"/>
        <item x="0"/>
        <item x="1"/>
        <item x="3"/>
        <item x="5"/>
        <item x="2"/>
        <item t="default"/>
      </items>
    </pivotField>
    <pivotField axis="axisRow" showAll="0">
      <items count="5">
        <item x="3"/>
        <item x="0"/>
        <item x="1"/>
        <item x="2"/>
        <item t="default"/>
      </items>
    </pivotField>
    <pivotField showAll="0"/>
    <pivotField showAll="0"/>
    <pivotField showAll="0"/>
  </pivotFields>
  <rowFields count="1">
    <field x="20"/>
  </rowFields>
  <rowItems count="5">
    <i>
      <x/>
    </i>
    <i>
      <x v="1"/>
    </i>
    <i>
      <x v="2"/>
    </i>
    <i>
      <x v="3"/>
    </i>
    <i t="grand">
      <x/>
    </i>
  </rowItems>
  <colItems count="1">
    <i/>
  </colItems>
  <dataFields count="1">
    <dataField name="Average of safety_rating" fld="17" subtotal="average" baseField="20" baseItem="0"/>
  </dataFields>
  <formats count="1">
    <format dxfId="5">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184CAA-5F84-45D6-BD36-A2DED20105EC}" name="PivotTable15"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Q4:R120" firstHeaderRow="1" firstDataRow="1" firstDataCol="1"/>
  <pivotFields count="14">
    <pivotField axis="axisRow" showAll="0">
      <items count="21">
        <item x="4"/>
        <item x="9"/>
        <item x="3"/>
        <item x="1"/>
        <item x="8"/>
        <item x="12"/>
        <item x="18"/>
        <item x="6"/>
        <item x="5"/>
        <item x="19"/>
        <item x="13"/>
        <item x="14"/>
        <item x="10"/>
        <item x="15"/>
        <item x="11"/>
        <item x="2"/>
        <item x="0"/>
        <item x="7"/>
        <item x="17"/>
        <item x="16"/>
        <item t="default"/>
      </items>
    </pivotField>
    <pivotField showAll="0"/>
    <pivotField showAll="0"/>
    <pivotField axis="axisRow" dataField="1" showAll="0">
      <items count="6">
        <item x="2"/>
        <item x="0"/>
        <item x="1"/>
        <item x="4"/>
        <item x="3"/>
        <item t="default"/>
      </items>
    </pivotField>
    <pivotField showAll="0"/>
    <pivotField showAll="0"/>
    <pivotField showAll="0"/>
    <pivotField showAll="0"/>
    <pivotField showAll="0"/>
    <pivotField showAll="0"/>
    <pivotField showAll="0"/>
    <pivotField showAll="0"/>
    <pivotField showAll="0"/>
    <pivotField showAll="0"/>
  </pivotFields>
  <rowFields count="2">
    <field x="0"/>
    <field x="3"/>
  </rowFields>
  <rowItems count="116">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v="2"/>
    </i>
    <i r="1">
      <x v="3"/>
    </i>
    <i>
      <x v="7"/>
    </i>
    <i r="1">
      <x/>
    </i>
    <i r="1">
      <x v="1"/>
    </i>
    <i r="1">
      <x v="2"/>
    </i>
    <i r="1">
      <x v="3"/>
    </i>
    <i r="1">
      <x v="4"/>
    </i>
    <i>
      <x v="8"/>
    </i>
    <i r="1">
      <x/>
    </i>
    <i r="1">
      <x v="1"/>
    </i>
    <i r="1">
      <x v="2"/>
    </i>
    <i r="1">
      <x v="3"/>
    </i>
    <i r="1">
      <x v="4"/>
    </i>
    <i>
      <x v="9"/>
    </i>
    <i r="1">
      <x/>
    </i>
    <i r="1">
      <x v="2"/>
    </i>
    <i r="1">
      <x v="3"/>
    </i>
    <i r="1">
      <x v="4"/>
    </i>
    <i>
      <x v="10"/>
    </i>
    <i r="1">
      <x/>
    </i>
    <i r="1">
      <x v="1"/>
    </i>
    <i r="1">
      <x v="2"/>
    </i>
    <i r="1">
      <x v="3"/>
    </i>
    <i r="1">
      <x v="4"/>
    </i>
    <i>
      <x v="11"/>
    </i>
    <i r="1">
      <x/>
    </i>
    <i r="1">
      <x v="1"/>
    </i>
    <i r="1">
      <x v="2"/>
    </i>
    <i r="1">
      <x v="3"/>
    </i>
    <i r="1">
      <x v="4"/>
    </i>
    <i>
      <x v="12"/>
    </i>
    <i r="1">
      <x/>
    </i>
    <i r="1">
      <x v="1"/>
    </i>
    <i r="1">
      <x v="2"/>
    </i>
    <i r="1">
      <x v="3"/>
    </i>
    <i r="1">
      <x v="4"/>
    </i>
    <i>
      <x v="13"/>
    </i>
    <i r="1">
      <x/>
    </i>
    <i r="1">
      <x v="1"/>
    </i>
    <i r="1">
      <x v="2"/>
    </i>
    <i r="1">
      <x v="3"/>
    </i>
    <i r="1">
      <x v="4"/>
    </i>
    <i>
      <x v="14"/>
    </i>
    <i r="1">
      <x/>
    </i>
    <i r="1">
      <x v="1"/>
    </i>
    <i r="1">
      <x v="2"/>
    </i>
    <i r="1">
      <x v="3"/>
    </i>
    <i r="1">
      <x v="4"/>
    </i>
    <i>
      <x v="15"/>
    </i>
    <i r="1">
      <x/>
    </i>
    <i r="1">
      <x v="1"/>
    </i>
    <i r="1">
      <x v="2"/>
    </i>
    <i r="1">
      <x v="3"/>
    </i>
    <i r="1">
      <x v="4"/>
    </i>
    <i>
      <x v="16"/>
    </i>
    <i r="1">
      <x/>
    </i>
    <i r="1">
      <x v="1"/>
    </i>
    <i r="1">
      <x v="2"/>
    </i>
    <i r="1">
      <x v="3"/>
    </i>
    <i r="1">
      <x v="4"/>
    </i>
    <i>
      <x v="17"/>
    </i>
    <i r="1">
      <x/>
    </i>
    <i r="1">
      <x v="1"/>
    </i>
    <i r="1">
      <x v="2"/>
    </i>
    <i r="1">
      <x v="3"/>
    </i>
    <i r="1">
      <x v="4"/>
    </i>
    <i>
      <x v="18"/>
    </i>
    <i r="1">
      <x/>
    </i>
    <i r="1">
      <x v="1"/>
    </i>
    <i r="1">
      <x v="2"/>
    </i>
    <i r="1">
      <x v="3"/>
    </i>
    <i r="1">
      <x v="4"/>
    </i>
    <i>
      <x v="19"/>
    </i>
    <i r="1">
      <x/>
    </i>
    <i r="1">
      <x v="1"/>
    </i>
    <i r="1">
      <x v="2"/>
    </i>
    <i r="1">
      <x v="3"/>
    </i>
    <i t="grand">
      <x/>
    </i>
  </rowItems>
  <colItems count="1">
    <i/>
  </colItems>
  <dataFields count="1">
    <dataField name="Count of variant"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771DB3D-2DA4-4E48-8BA2-7ADACD8550ED}" sourceName="year">
  <data>
    <tabular pivotCacheId="836655371">
      <items count="7">
        <i x="6" s="1"/>
        <i x="4" s="1"/>
        <i x="1" s="1"/>
        <i x="0" s="1"/>
        <i x="2"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A549058-CC63-4B6F-90C2-790E750D0A4A}" sourceName="year">
  <pivotTables>
    <pivotTable tabId="8" name="PivotTable3"/>
  </pivotTables>
  <data>
    <tabular pivotCacheId="906632391">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636C0F9-0A97-49E0-B7FC-2A49CD6BA539}" sourceName="brand">
  <pivotTables>
    <pivotTable tabId="8" name="PivotTable11"/>
  </pivotTables>
  <data>
    <tabular pivotCacheId="836655371">
      <items count="20">
        <i x="11" s="1"/>
        <i x="10" s="1"/>
        <i x="7" s="1"/>
        <i x="6" s="1"/>
        <i x="9" s="1"/>
        <i x="2" s="1"/>
        <i x="17" s="1"/>
        <i x="8" s="1"/>
        <i x="3" s="1"/>
        <i x="16" s="1"/>
        <i x="5" s="1"/>
        <i x="12" s="1"/>
        <i x="19" s="1"/>
        <i x="14" s="1"/>
        <i x="13" s="1"/>
        <i x="4" s="1"/>
        <i x="1" s="1"/>
        <i x="0" s="1"/>
        <i x="15"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38225E1-05C9-468F-94E3-DDFCA371C0E2}"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102A164-5998-482A-BFFE-73A667D3FF46}" cache="Slicer_year1" caption="year" columnCount="3" style="SlicerStyleLight5" rowHeight="720000"/>
  <slicer name="brand" xr10:uid="{34288F34-9CEB-4A52-92F2-2100254BC336}" cache="Slicer_brand" caption="brand" columnCount="4" rowHeight="72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D3BBB6-2A0B-49B9-84E7-26C5F449FDC1}" name="Table1" displayName="Table1" ref="A1:N2002" totalsRowCount="1">
  <autoFilter ref="A1:N2001" xr:uid="{30D3BBB6-2A0B-49B9-84E7-26C5F449FDC1}"/>
  <tableColumns count="14">
    <tableColumn id="1" xr3:uid="{2E556CBF-F6D3-468C-8B49-442D3FF34C28}" name="brand"/>
    <tableColumn id="2" xr3:uid="{E57BC452-FADB-4131-B29E-F7BA6D257D4A}" name="model"/>
    <tableColumn id="3" xr3:uid="{37F1ABA7-335D-4F8D-942B-547E8FC00E79}" name="year"/>
    <tableColumn id="4" xr3:uid="{24F77826-35BE-4B62-BD00-6F3DB720E6A3}" name="variant"/>
    <tableColumn id="5" xr3:uid="{C378B1BC-0EBC-4B08-B8FD-BEDFE162A4E3}" name="price_usd"/>
    <tableColumn id="6" xr3:uid="{4F082119-FC17-4B01-BE23-60A8BD617CBE}" name="battery_capacity_kwh" totalsRowFunction="custom">
      <totalsRowFormula>MAX(F2:F2001)</totalsRowFormula>
    </tableColumn>
    <tableColumn id="7" xr3:uid="{D7AF0EE1-F568-432F-90F8-AA939B0CBD05}" name="range_miles"/>
    <tableColumn id="8" xr3:uid="{1ADF6224-591A-4CAD-98B9-092E56A22956}" name="top_speed_mph" totalsRowFunction="custom">
      <totalsRowFormula>MAX(H2:H2001)</totalsRowFormula>
    </tableColumn>
    <tableColumn id="9" xr3:uid="{D98A9DC5-3050-4209-9139-A030B9F4166F}" name="body_type"/>
    <tableColumn id="10" xr3:uid="{C36A55F6-83BB-4725-9656-FC2BC1EC3E89}" name="safety_rating"/>
    <tableColumn id="11" xr3:uid="{ED5ACADB-A3CB-487E-B85F-1A954ABB0C69}" name="market_segment"/>
    <tableColumn id="12" xr3:uid="{E16FE2BE-08D5-47D3-A58D-EE5B23E4DA28}" name="annual_sales_units"/>
    <tableColumn id="13" xr3:uid="{9F105EBF-DC82-40AB-8C9F-8BD26CF75004}" name="customer_rating"/>
    <tableColumn id="14" xr3:uid="{C922EC19-5B09-41C9-8C0A-0487CE981DE5}" name="total sales " dataDxfId="0"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R120"/>
  <sheetViews>
    <sheetView zoomScale="51" zoomScaleNormal="55" workbookViewId="0">
      <selection activeCell="I27" sqref="I27"/>
    </sheetView>
  </sheetViews>
  <sheetFormatPr defaultRowHeight="14.5" x14ac:dyDescent="0.35"/>
  <cols>
    <col min="1" max="1" width="18.453125" bestFit="1" customWidth="1"/>
    <col min="2" max="2" width="32.1796875" bestFit="1" customWidth="1"/>
    <col min="3" max="3" width="9.54296875" bestFit="1" customWidth="1"/>
    <col min="4" max="9" width="22.54296875" bestFit="1" customWidth="1"/>
    <col min="10" max="10" width="14.7265625" bestFit="1" customWidth="1"/>
    <col min="11" max="11" width="11.08984375" bestFit="1" customWidth="1"/>
    <col min="12" max="12" width="12.36328125" bestFit="1" customWidth="1"/>
    <col min="13" max="13" width="15" bestFit="1" customWidth="1"/>
    <col min="14" max="14" width="39.26953125" bestFit="1" customWidth="1"/>
    <col min="15" max="15" width="15.26953125" bestFit="1" customWidth="1"/>
    <col min="16" max="16" width="12.36328125" bestFit="1" customWidth="1"/>
    <col min="17" max="17" width="23.36328125" bestFit="1" customWidth="1"/>
    <col min="18" max="18" width="19.36328125" bestFit="1" customWidth="1"/>
    <col min="19" max="19" width="7.36328125" bestFit="1" customWidth="1"/>
    <col min="20" max="20" width="6.36328125" bestFit="1" customWidth="1"/>
    <col min="21" max="21" width="6.54296875" bestFit="1" customWidth="1"/>
    <col min="22" max="22" width="10.7265625" bestFit="1" customWidth="1"/>
  </cols>
  <sheetData>
    <row r="4" spans="1:18" x14ac:dyDescent="0.35">
      <c r="A4" s="1" t="s">
        <v>121</v>
      </c>
      <c r="B4" t="s">
        <v>133</v>
      </c>
      <c r="I4" s="1" t="s">
        <v>121</v>
      </c>
      <c r="J4" t="s">
        <v>123</v>
      </c>
      <c r="Q4" s="1" t="s">
        <v>121</v>
      </c>
      <c r="R4" t="s">
        <v>138</v>
      </c>
    </row>
    <row r="5" spans="1:18" x14ac:dyDescent="0.35">
      <c r="A5" s="2" t="s">
        <v>47</v>
      </c>
      <c r="B5" s="4">
        <v>4.3311258278145699</v>
      </c>
      <c r="I5" s="2">
        <v>2020</v>
      </c>
      <c r="J5" s="3">
        <v>4373954</v>
      </c>
      <c r="Q5" s="2" t="s">
        <v>67</v>
      </c>
      <c r="R5" s="3">
        <v>77</v>
      </c>
    </row>
    <row r="6" spans="1:18" x14ac:dyDescent="0.35">
      <c r="A6" s="2" t="s">
        <v>17</v>
      </c>
      <c r="B6" s="4">
        <v>4.4101010101010099</v>
      </c>
      <c r="I6" s="2">
        <v>2021</v>
      </c>
      <c r="J6" s="3">
        <v>11762346</v>
      </c>
      <c r="Q6" s="5" t="s">
        <v>38</v>
      </c>
      <c r="R6" s="3">
        <v>28</v>
      </c>
    </row>
    <row r="7" spans="1:18" x14ac:dyDescent="0.35">
      <c r="A7" s="2" t="s">
        <v>22</v>
      </c>
      <c r="B7" s="4">
        <v>4.3722741433021808</v>
      </c>
      <c r="I7" s="2">
        <v>2022</v>
      </c>
      <c r="J7" s="3">
        <v>21426170</v>
      </c>
      <c r="Q7" s="5" t="s">
        <v>28</v>
      </c>
      <c r="R7" s="3">
        <v>13</v>
      </c>
    </row>
    <row r="8" spans="1:18" x14ac:dyDescent="0.35">
      <c r="A8" s="2" t="s">
        <v>20</v>
      </c>
      <c r="B8" s="4">
        <v>4.367977528089888</v>
      </c>
      <c r="I8" s="2">
        <v>2023</v>
      </c>
      <c r="J8" s="3">
        <v>40791903</v>
      </c>
      <c r="Q8" s="5" t="s">
        <v>15</v>
      </c>
      <c r="R8" s="3">
        <v>7</v>
      </c>
    </row>
    <row r="9" spans="1:18" x14ac:dyDescent="0.35">
      <c r="A9" s="2" t="s">
        <v>120</v>
      </c>
      <c r="B9" s="4">
        <v>4.3769999999999998</v>
      </c>
      <c r="I9" s="2">
        <v>2024</v>
      </c>
      <c r="J9" s="3">
        <v>64685343</v>
      </c>
      <c r="Q9" s="5" t="s">
        <v>20</v>
      </c>
      <c r="R9" s="3">
        <v>11</v>
      </c>
    </row>
    <row r="10" spans="1:18" x14ac:dyDescent="0.35">
      <c r="I10" s="2">
        <v>2025</v>
      </c>
      <c r="J10" s="3">
        <v>87603840</v>
      </c>
      <c r="Q10" s="5" t="s">
        <v>43</v>
      </c>
      <c r="R10" s="3">
        <v>18</v>
      </c>
    </row>
    <row r="11" spans="1:18" x14ac:dyDescent="0.35">
      <c r="I11" s="2">
        <v>2026</v>
      </c>
      <c r="J11" s="3">
        <v>23178276</v>
      </c>
      <c r="Q11" s="2" t="s">
        <v>64</v>
      </c>
      <c r="R11" s="3">
        <v>150</v>
      </c>
    </row>
    <row r="12" spans="1:18" x14ac:dyDescent="0.35">
      <c r="I12" s="2" t="s">
        <v>126</v>
      </c>
      <c r="J12" s="3"/>
      <c r="Q12" s="5" t="s">
        <v>38</v>
      </c>
      <c r="R12" s="3">
        <v>28</v>
      </c>
    </row>
    <row r="13" spans="1:18" x14ac:dyDescent="0.35">
      <c r="I13" s="2" t="s">
        <v>120</v>
      </c>
      <c r="J13" s="3">
        <v>253821832</v>
      </c>
      <c r="Q13" s="5" t="s">
        <v>28</v>
      </c>
      <c r="R13" s="3">
        <v>27</v>
      </c>
    </row>
    <row r="14" spans="1:18" x14ac:dyDescent="0.35">
      <c r="Q14" s="5" t="s">
        <v>15</v>
      </c>
      <c r="R14" s="3">
        <v>30</v>
      </c>
    </row>
    <row r="15" spans="1:18" x14ac:dyDescent="0.35">
      <c r="Q15" s="5" t="s">
        <v>20</v>
      </c>
      <c r="R15" s="3">
        <v>31</v>
      </c>
    </row>
    <row r="16" spans="1:18" x14ac:dyDescent="0.35">
      <c r="Q16" s="5" t="s">
        <v>43</v>
      </c>
      <c r="R16" s="3">
        <v>34</v>
      </c>
    </row>
    <row r="17" spans="1:18" x14ac:dyDescent="0.35">
      <c r="Q17" s="2" t="s">
        <v>45</v>
      </c>
      <c r="R17" s="3">
        <v>282</v>
      </c>
    </row>
    <row r="18" spans="1:18" x14ac:dyDescent="0.35">
      <c r="Q18" s="5" t="s">
        <v>38</v>
      </c>
      <c r="R18" s="3">
        <v>64</v>
      </c>
    </row>
    <row r="19" spans="1:18" x14ac:dyDescent="0.35">
      <c r="Q19" s="5" t="s">
        <v>28</v>
      </c>
      <c r="R19" s="3">
        <v>64</v>
      </c>
    </row>
    <row r="20" spans="1:18" x14ac:dyDescent="0.35">
      <c r="Q20" s="5" t="s">
        <v>15</v>
      </c>
      <c r="R20" s="3">
        <v>47</v>
      </c>
    </row>
    <row r="21" spans="1:18" x14ac:dyDescent="0.35">
      <c r="Q21" s="5" t="s">
        <v>20</v>
      </c>
      <c r="R21" s="3">
        <v>48</v>
      </c>
    </row>
    <row r="22" spans="1:18" x14ac:dyDescent="0.35">
      <c r="Q22" s="5" t="s">
        <v>43</v>
      </c>
      <c r="R22" s="3">
        <v>59</v>
      </c>
    </row>
    <row r="23" spans="1:18" x14ac:dyDescent="0.35">
      <c r="A23" s="1" t="s">
        <v>121</v>
      </c>
      <c r="B23" t="s">
        <v>123</v>
      </c>
      <c r="Q23" s="2" t="s">
        <v>41</v>
      </c>
      <c r="R23" s="3">
        <v>25</v>
      </c>
    </row>
    <row r="24" spans="1:18" x14ac:dyDescent="0.35">
      <c r="A24" s="2" t="s">
        <v>45</v>
      </c>
      <c r="B24" s="3">
        <v>50472617</v>
      </c>
      <c r="Q24" s="5" t="s">
        <v>38</v>
      </c>
      <c r="R24" s="3">
        <v>6</v>
      </c>
    </row>
    <row r="25" spans="1:18" x14ac:dyDescent="0.35">
      <c r="A25" s="2" t="s">
        <v>49</v>
      </c>
      <c r="B25" s="3">
        <v>15223045</v>
      </c>
      <c r="Q25" s="5" t="s">
        <v>28</v>
      </c>
      <c r="R25" s="3">
        <v>5</v>
      </c>
    </row>
    <row r="26" spans="1:18" x14ac:dyDescent="0.35">
      <c r="A26" s="2" t="s">
        <v>26</v>
      </c>
      <c r="B26" s="3">
        <v>16612129</v>
      </c>
      <c r="Q26" s="5" t="s">
        <v>15</v>
      </c>
      <c r="R26" s="3">
        <v>3</v>
      </c>
    </row>
    <row r="27" spans="1:18" x14ac:dyDescent="0.35">
      <c r="A27" s="2" t="s">
        <v>29</v>
      </c>
      <c r="B27" s="3">
        <v>101459482</v>
      </c>
      <c r="Q27" s="5" t="s">
        <v>20</v>
      </c>
      <c r="R27" s="3">
        <v>7</v>
      </c>
    </row>
    <row r="28" spans="1:18" x14ac:dyDescent="0.35">
      <c r="A28" s="2" t="s">
        <v>13</v>
      </c>
      <c r="B28" s="3">
        <v>48186657</v>
      </c>
      <c r="Q28" s="5" t="s">
        <v>43</v>
      </c>
      <c r="R28" s="3">
        <v>4</v>
      </c>
    </row>
    <row r="29" spans="1:18" x14ac:dyDescent="0.35">
      <c r="A29" s="2" t="s">
        <v>120</v>
      </c>
      <c r="B29" s="3">
        <v>231953930</v>
      </c>
      <c r="Q29" s="2" t="s">
        <v>57</v>
      </c>
      <c r="R29" s="3">
        <v>129</v>
      </c>
    </row>
    <row r="30" spans="1:18" x14ac:dyDescent="0.35">
      <c r="Q30" s="5" t="s">
        <v>38</v>
      </c>
      <c r="R30" s="3">
        <v>28</v>
      </c>
    </row>
    <row r="31" spans="1:18" x14ac:dyDescent="0.35">
      <c r="Q31" s="5" t="s">
        <v>28</v>
      </c>
      <c r="R31" s="3">
        <v>24</v>
      </c>
    </row>
    <row r="32" spans="1:18" x14ac:dyDescent="0.35">
      <c r="Q32" s="5" t="s">
        <v>15</v>
      </c>
      <c r="R32" s="3">
        <v>23</v>
      </c>
    </row>
    <row r="33" spans="1:18" x14ac:dyDescent="0.35">
      <c r="Q33" s="5" t="s">
        <v>20</v>
      </c>
      <c r="R33" s="3">
        <v>23</v>
      </c>
    </row>
    <row r="34" spans="1:18" x14ac:dyDescent="0.35">
      <c r="Q34" s="5" t="s">
        <v>43</v>
      </c>
      <c r="R34" s="3">
        <v>31</v>
      </c>
    </row>
    <row r="35" spans="1:18" x14ac:dyDescent="0.35">
      <c r="Q35" s="2" t="s">
        <v>23</v>
      </c>
      <c r="R35" s="3">
        <v>143</v>
      </c>
    </row>
    <row r="36" spans="1:18" x14ac:dyDescent="0.35">
      <c r="A36" s="1" t="s">
        <v>121</v>
      </c>
      <c r="B36" t="s">
        <v>124</v>
      </c>
      <c r="Q36" s="5" t="s">
        <v>38</v>
      </c>
      <c r="R36" s="3">
        <v>27</v>
      </c>
    </row>
    <row r="37" spans="1:18" x14ac:dyDescent="0.35">
      <c r="A37" s="2" t="s">
        <v>47</v>
      </c>
      <c r="B37" s="4">
        <v>3.454966887417219</v>
      </c>
      <c r="Q37" s="5" t="s">
        <v>28</v>
      </c>
      <c r="R37" s="3">
        <v>30</v>
      </c>
    </row>
    <row r="38" spans="1:18" x14ac:dyDescent="0.35">
      <c r="A38" s="2" t="s">
        <v>17</v>
      </c>
      <c r="B38" s="4">
        <v>3.6989494949494977</v>
      </c>
      <c r="Q38" s="5" t="s">
        <v>15</v>
      </c>
      <c r="R38" s="3">
        <v>30</v>
      </c>
    </row>
    <row r="39" spans="1:18" x14ac:dyDescent="0.35">
      <c r="A39" s="2" t="s">
        <v>22</v>
      </c>
      <c r="B39" s="4">
        <v>3.5306074766355158</v>
      </c>
      <c r="Q39" s="5" t="s">
        <v>20</v>
      </c>
      <c r="R39" s="3">
        <v>26</v>
      </c>
    </row>
    <row r="40" spans="1:18" x14ac:dyDescent="0.35">
      <c r="A40" s="2" t="s">
        <v>20</v>
      </c>
      <c r="B40" s="4">
        <v>3.5460112359550529</v>
      </c>
      <c r="I40" s="1" t="s">
        <v>121</v>
      </c>
      <c r="J40" t="s">
        <v>122</v>
      </c>
      <c r="Q40" s="5" t="s">
        <v>43</v>
      </c>
      <c r="R40" s="3">
        <v>30</v>
      </c>
    </row>
    <row r="41" spans="1:18" x14ac:dyDescent="0.35">
      <c r="A41" s="2" t="s">
        <v>120</v>
      </c>
      <c r="B41" s="4">
        <v>3.5720449999999984</v>
      </c>
      <c r="I41" s="2" t="s">
        <v>109</v>
      </c>
      <c r="J41" s="4">
        <v>92.85</v>
      </c>
      <c r="Q41" s="2" t="s">
        <v>109</v>
      </c>
      <c r="R41" s="3">
        <v>2</v>
      </c>
    </row>
    <row r="42" spans="1:18" x14ac:dyDescent="0.35">
      <c r="I42" s="2" t="s">
        <v>34</v>
      </c>
      <c r="J42" s="4">
        <v>77.683333333333337</v>
      </c>
      <c r="Q42" s="5" t="s">
        <v>15</v>
      </c>
      <c r="R42" s="3">
        <v>1</v>
      </c>
    </row>
    <row r="43" spans="1:18" x14ac:dyDescent="0.35">
      <c r="I43" s="2" t="s">
        <v>80</v>
      </c>
      <c r="J43" s="4">
        <v>77.614285714285714</v>
      </c>
      <c r="Q43" s="5" t="s">
        <v>20</v>
      </c>
      <c r="R43" s="3">
        <v>1</v>
      </c>
    </row>
    <row r="44" spans="1:18" x14ac:dyDescent="0.35">
      <c r="I44" s="2" t="s">
        <v>75</v>
      </c>
      <c r="J44" s="4">
        <v>76.418918918918934</v>
      </c>
      <c r="Q44" s="2" t="s">
        <v>49</v>
      </c>
      <c r="R44" s="3">
        <v>152</v>
      </c>
    </row>
    <row r="45" spans="1:18" x14ac:dyDescent="0.35">
      <c r="I45" s="2" t="s">
        <v>18</v>
      </c>
      <c r="J45" s="4">
        <v>77.168292682926833</v>
      </c>
      <c r="Q45" s="5" t="s">
        <v>38</v>
      </c>
      <c r="R45" s="3">
        <v>21</v>
      </c>
    </row>
    <row r="46" spans="1:18" x14ac:dyDescent="0.35">
      <c r="I46" s="2" t="s">
        <v>120</v>
      </c>
      <c r="J46" s="4">
        <v>77.48052631578949</v>
      </c>
      <c r="Q46" s="5" t="s">
        <v>28</v>
      </c>
      <c r="R46" s="3">
        <v>30</v>
      </c>
    </row>
    <row r="47" spans="1:18" x14ac:dyDescent="0.35">
      <c r="Q47" s="5" t="s">
        <v>15</v>
      </c>
      <c r="R47" s="3">
        <v>31</v>
      </c>
    </row>
    <row r="48" spans="1:18" x14ac:dyDescent="0.35">
      <c r="Q48" s="5" t="s">
        <v>20</v>
      </c>
      <c r="R48" s="3">
        <v>29</v>
      </c>
    </row>
    <row r="49" spans="1:18" x14ac:dyDescent="0.35">
      <c r="Q49" s="5" t="s">
        <v>43</v>
      </c>
      <c r="R49" s="3">
        <v>41</v>
      </c>
    </row>
    <row r="50" spans="1:18" x14ac:dyDescent="0.35">
      <c r="A50" s="1" t="s">
        <v>121</v>
      </c>
      <c r="B50" t="s">
        <v>127</v>
      </c>
      <c r="Q50" s="2" t="s">
        <v>26</v>
      </c>
      <c r="R50" s="3">
        <v>166</v>
      </c>
    </row>
    <row r="51" spans="1:18" x14ac:dyDescent="0.35">
      <c r="A51" s="2" t="s">
        <v>109</v>
      </c>
      <c r="B51" s="4">
        <v>177</v>
      </c>
      <c r="Q51" s="5" t="s">
        <v>38</v>
      </c>
      <c r="R51" s="3">
        <v>35</v>
      </c>
    </row>
    <row r="52" spans="1:18" x14ac:dyDescent="0.35">
      <c r="A52" s="2" t="s">
        <v>26</v>
      </c>
      <c r="B52" s="4">
        <v>167.17469879518072</v>
      </c>
      <c r="Q52" s="5" t="s">
        <v>28</v>
      </c>
      <c r="R52" s="3">
        <v>33</v>
      </c>
    </row>
    <row r="53" spans="1:18" x14ac:dyDescent="0.35">
      <c r="A53" s="2" t="s">
        <v>75</v>
      </c>
      <c r="B53" s="4">
        <v>168.08108108108109</v>
      </c>
      <c r="Q53" s="5" t="s">
        <v>15</v>
      </c>
      <c r="R53" s="3">
        <v>35</v>
      </c>
    </row>
    <row r="54" spans="1:18" x14ac:dyDescent="0.35">
      <c r="A54" s="2" t="s">
        <v>102</v>
      </c>
      <c r="B54" s="4">
        <v>171</v>
      </c>
      <c r="Q54" s="5" t="s">
        <v>20</v>
      </c>
      <c r="R54" s="3">
        <v>36</v>
      </c>
    </row>
    <row r="55" spans="1:18" x14ac:dyDescent="0.35">
      <c r="A55" s="2" t="s">
        <v>111</v>
      </c>
      <c r="B55" s="4">
        <v>171.625</v>
      </c>
      <c r="Q55" s="5" t="s">
        <v>43</v>
      </c>
      <c r="R55" s="3">
        <v>27</v>
      </c>
    </row>
    <row r="56" spans="1:18" x14ac:dyDescent="0.35">
      <c r="A56" s="2" t="s">
        <v>120</v>
      </c>
      <c r="B56" s="4">
        <v>167.77333333333334</v>
      </c>
      <c r="Q56" s="2" t="s">
        <v>104</v>
      </c>
      <c r="R56" s="3">
        <v>6</v>
      </c>
    </row>
    <row r="57" spans="1:18" x14ac:dyDescent="0.35">
      <c r="Q57" s="5" t="s">
        <v>38</v>
      </c>
      <c r="R57" s="3">
        <v>1</v>
      </c>
    </row>
    <row r="58" spans="1:18" x14ac:dyDescent="0.35">
      <c r="Q58" s="5" t="s">
        <v>15</v>
      </c>
      <c r="R58" s="3">
        <v>2</v>
      </c>
    </row>
    <row r="59" spans="1:18" x14ac:dyDescent="0.35">
      <c r="Q59" s="5" t="s">
        <v>20</v>
      </c>
      <c r="R59" s="3">
        <v>2</v>
      </c>
    </row>
    <row r="60" spans="1:18" x14ac:dyDescent="0.35">
      <c r="Q60" s="5" t="s">
        <v>43</v>
      </c>
      <c r="R60" s="3">
        <v>1</v>
      </c>
    </row>
    <row r="61" spans="1:18" x14ac:dyDescent="0.35">
      <c r="Q61" s="2" t="s">
        <v>34</v>
      </c>
      <c r="R61" s="3">
        <v>96</v>
      </c>
    </row>
    <row r="62" spans="1:18" x14ac:dyDescent="0.35">
      <c r="Q62" s="5" t="s">
        <v>38</v>
      </c>
      <c r="R62" s="3">
        <v>16</v>
      </c>
    </row>
    <row r="63" spans="1:18" x14ac:dyDescent="0.35">
      <c r="Q63" s="5" t="s">
        <v>28</v>
      </c>
      <c r="R63" s="3">
        <v>26</v>
      </c>
    </row>
    <row r="64" spans="1:18" x14ac:dyDescent="0.35">
      <c r="Q64" s="5" t="s">
        <v>15</v>
      </c>
      <c r="R64" s="3">
        <v>19</v>
      </c>
    </row>
    <row r="65" spans="17:18" x14ac:dyDescent="0.35">
      <c r="Q65" s="5" t="s">
        <v>20</v>
      </c>
      <c r="R65" s="3">
        <v>23</v>
      </c>
    </row>
    <row r="66" spans="17:18" x14ac:dyDescent="0.35">
      <c r="Q66" s="5" t="s">
        <v>43</v>
      </c>
      <c r="R66" s="3">
        <v>12</v>
      </c>
    </row>
    <row r="67" spans="17:18" x14ac:dyDescent="0.35">
      <c r="Q67" s="2" t="s">
        <v>73</v>
      </c>
      <c r="R67" s="3">
        <v>23</v>
      </c>
    </row>
    <row r="68" spans="17:18" x14ac:dyDescent="0.35">
      <c r="Q68" s="5" t="s">
        <v>38</v>
      </c>
      <c r="R68" s="3">
        <v>3</v>
      </c>
    </row>
    <row r="69" spans="17:18" x14ac:dyDescent="0.35">
      <c r="Q69" s="5" t="s">
        <v>28</v>
      </c>
      <c r="R69" s="3">
        <v>5</v>
      </c>
    </row>
    <row r="70" spans="17:18" x14ac:dyDescent="0.35">
      <c r="Q70" s="5" t="s">
        <v>15</v>
      </c>
      <c r="R70" s="3">
        <v>2</v>
      </c>
    </row>
    <row r="71" spans="17:18" x14ac:dyDescent="0.35">
      <c r="Q71" s="5" t="s">
        <v>20</v>
      </c>
      <c r="R71" s="3">
        <v>6</v>
      </c>
    </row>
    <row r="72" spans="17:18" x14ac:dyDescent="0.35">
      <c r="Q72" s="5" t="s">
        <v>43</v>
      </c>
      <c r="R72" s="3">
        <v>7</v>
      </c>
    </row>
    <row r="73" spans="17:18" x14ac:dyDescent="0.35">
      <c r="Q73" s="2" t="s">
        <v>114</v>
      </c>
      <c r="R73" s="3">
        <v>9</v>
      </c>
    </row>
    <row r="74" spans="17:18" x14ac:dyDescent="0.35">
      <c r="Q74" s="5" t="s">
        <v>38</v>
      </c>
      <c r="R74" s="3">
        <v>2</v>
      </c>
    </row>
    <row r="75" spans="17:18" x14ac:dyDescent="0.35">
      <c r="Q75" s="5" t="s">
        <v>28</v>
      </c>
      <c r="R75" s="3">
        <v>1</v>
      </c>
    </row>
    <row r="76" spans="17:18" x14ac:dyDescent="0.35">
      <c r="Q76" s="5" t="s">
        <v>15</v>
      </c>
      <c r="R76" s="3">
        <v>2</v>
      </c>
    </row>
    <row r="77" spans="17:18" x14ac:dyDescent="0.35">
      <c r="Q77" s="5" t="s">
        <v>20</v>
      </c>
      <c r="R77" s="3">
        <v>1</v>
      </c>
    </row>
    <row r="78" spans="17:18" x14ac:dyDescent="0.35">
      <c r="Q78" s="5" t="s">
        <v>43</v>
      </c>
      <c r="R78" s="3">
        <v>3</v>
      </c>
    </row>
    <row r="79" spans="17:18" x14ac:dyDescent="0.35">
      <c r="Q79" s="2" t="s">
        <v>80</v>
      </c>
      <c r="R79" s="3">
        <v>14</v>
      </c>
    </row>
    <row r="80" spans="17:18" x14ac:dyDescent="0.35">
      <c r="Q80" s="5" t="s">
        <v>38</v>
      </c>
      <c r="R80" s="3">
        <v>1</v>
      </c>
    </row>
    <row r="81" spans="17:18" x14ac:dyDescent="0.35">
      <c r="Q81" s="5" t="s">
        <v>28</v>
      </c>
      <c r="R81" s="3">
        <v>4</v>
      </c>
    </row>
    <row r="82" spans="17:18" x14ac:dyDescent="0.35">
      <c r="Q82" s="5" t="s">
        <v>15</v>
      </c>
      <c r="R82" s="3">
        <v>1</v>
      </c>
    </row>
    <row r="83" spans="17:18" x14ac:dyDescent="0.35">
      <c r="Q83" s="5" t="s">
        <v>20</v>
      </c>
      <c r="R83" s="3">
        <v>4</v>
      </c>
    </row>
    <row r="84" spans="17:18" x14ac:dyDescent="0.35">
      <c r="Q84" s="5" t="s">
        <v>43</v>
      </c>
      <c r="R84" s="3">
        <v>4</v>
      </c>
    </row>
    <row r="85" spans="17:18" x14ac:dyDescent="0.35">
      <c r="Q85" s="2" t="s">
        <v>75</v>
      </c>
      <c r="R85" s="3">
        <v>37</v>
      </c>
    </row>
    <row r="86" spans="17:18" x14ac:dyDescent="0.35">
      <c r="Q86" s="5" t="s">
        <v>38</v>
      </c>
      <c r="R86" s="3">
        <v>10</v>
      </c>
    </row>
    <row r="87" spans="17:18" x14ac:dyDescent="0.35">
      <c r="Q87" s="5" t="s">
        <v>28</v>
      </c>
      <c r="R87" s="3">
        <v>6</v>
      </c>
    </row>
    <row r="88" spans="17:18" x14ac:dyDescent="0.35">
      <c r="Q88" s="5" t="s">
        <v>15</v>
      </c>
      <c r="R88" s="3">
        <v>8</v>
      </c>
    </row>
    <row r="89" spans="17:18" x14ac:dyDescent="0.35">
      <c r="Q89" s="5" t="s">
        <v>20</v>
      </c>
      <c r="R89" s="3">
        <v>3</v>
      </c>
    </row>
    <row r="90" spans="17:18" x14ac:dyDescent="0.35">
      <c r="Q90" s="5" t="s">
        <v>43</v>
      </c>
      <c r="R90" s="3">
        <v>10</v>
      </c>
    </row>
    <row r="91" spans="17:18" x14ac:dyDescent="0.35">
      <c r="Q91" s="2" t="s">
        <v>29</v>
      </c>
      <c r="R91" s="3">
        <v>434</v>
      </c>
    </row>
    <row r="92" spans="17:18" x14ac:dyDescent="0.35">
      <c r="Q92" s="5" t="s">
        <v>38</v>
      </c>
      <c r="R92" s="3">
        <v>103</v>
      </c>
    </row>
    <row r="93" spans="17:18" x14ac:dyDescent="0.35">
      <c r="Q93" s="5" t="s">
        <v>28</v>
      </c>
      <c r="R93" s="3">
        <v>79</v>
      </c>
    </row>
    <row r="94" spans="17:18" x14ac:dyDescent="0.35">
      <c r="Q94" s="5" t="s">
        <v>15</v>
      </c>
      <c r="R94" s="3">
        <v>79</v>
      </c>
    </row>
    <row r="95" spans="17:18" x14ac:dyDescent="0.35">
      <c r="Q95" s="5" t="s">
        <v>20</v>
      </c>
      <c r="R95" s="3">
        <v>99</v>
      </c>
    </row>
    <row r="96" spans="17:18" x14ac:dyDescent="0.35">
      <c r="Q96" s="5" t="s">
        <v>43</v>
      </c>
      <c r="R96" s="3">
        <v>74</v>
      </c>
    </row>
    <row r="97" spans="17:18" x14ac:dyDescent="0.35">
      <c r="Q97" s="2" t="s">
        <v>18</v>
      </c>
      <c r="R97" s="3">
        <v>41</v>
      </c>
    </row>
    <row r="98" spans="17:18" x14ac:dyDescent="0.35">
      <c r="Q98" s="5" t="s">
        <v>38</v>
      </c>
      <c r="R98" s="3">
        <v>9</v>
      </c>
    </row>
    <row r="99" spans="17:18" x14ac:dyDescent="0.35">
      <c r="Q99" s="5" t="s">
        <v>28</v>
      </c>
      <c r="R99" s="3">
        <v>12</v>
      </c>
    </row>
    <row r="100" spans="17:18" x14ac:dyDescent="0.35">
      <c r="Q100" s="5" t="s">
        <v>15</v>
      </c>
      <c r="R100" s="3">
        <v>6</v>
      </c>
    </row>
    <row r="101" spans="17:18" x14ac:dyDescent="0.35">
      <c r="Q101" s="5" t="s">
        <v>20</v>
      </c>
      <c r="R101" s="3">
        <v>5</v>
      </c>
    </row>
    <row r="102" spans="17:18" x14ac:dyDescent="0.35">
      <c r="Q102" s="5" t="s">
        <v>43</v>
      </c>
      <c r="R102" s="3">
        <v>9</v>
      </c>
    </row>
    <row r="103" spans="17:18" x14ac:dyDescent="0.35">
      <c r="Q103" s="2" t="s">
        <v>13</v>
      </c>
      <c r="R103" s="3">
        <v>194</v>
      </c>
    </row>
    <row r="104" spans="17:18" x14ac:dyDescent="0.35">
      <c r="Q104" s="5" t="s">
        <v>38</v>
      </c>
      <c r="R104" s="3">
        <v>33</v>
      </c>
    </row>
    <row r="105" spans="17:18" x14ac:dyDescent="0.35">
      <c r="Q105" s="5" t="s">
        <v>28</v>
      </c>
      <c r="R105" s="3">
        <v>44</v>
      </c>
    </row>
    <row r="106" spans="17:18" x14ac:dyDescent="0.35">
      <c r="Q106" s="5" t="s">
        <v>15</v>
      </c>
      <c r="R106" s="3">
        <v>46</v>
      </c>
    </row>
    <row r="107" spans="17:18" x14ac:dyDescent="0.35">
      <c r="Q107" s="5" t="s">
        <v>20</v>
      </c>
      <c r="R107" s="3">
        <v>34</v>
      </c>
    </row>
    <row r="108" spans="17:18" x14ac:dyDescent="0.35">
      <c r="Q108" s="5" t="s">
        <v>43</v>
      </c>
      <c r="R108" s="3">
        <v>37</v>
      </c>
    </row>
    <row r="109" spans="17:18" x14ac:dyDescent="0.35">
      <c r="Q109" s="2" t="s">
        <v>102</v>
      </c>
      <c r="R109" s="3">
        <v>12</v>
      </c>
    </row>
    <row r="110" spans="17:18" x14ac:dyDescent="0.35">
      <c r="Q110" s="5" t="s">
        <v>38</v>
      </c>
      <c r="R110" s="3">
        <v>3</v>
      </c>
    </row>
    <row r="111" spans="17:18" x14ac:dyDescent="0.35">
      <c r="Q111" s="5" t="s">
        <v>28</v>
      </c>
      <c r="R111" s="3">
        <v>2</v>
      </c>
    </row>
    <row r="112" spans="17:18" x14ac:dyDescent="0.35">
      <c r="Q112" s="5" t="s">
        <v>15</v>
      </c>
      <c r="R112" s="3">
        <v>4</v>
      </c>
    </row>
    <row r="113" spans="17:18" x14ac:dyDescent="0.35">
      <c r="Q113" s="5" t="s">
        <v>20</v>
      </c>
      <c r="R113" s="3">
        <v>1</v>
      </c>
    </row>
    <row r="114" spans="17:18" x14ac:dyDescent="0.35">
      <c r="Q114" s="5" t="s">
        <v>43</v>
      </c>
      <c r="R114" s="3">
        <v>2</v>
      </c>
    </row>
    <row r="115" spans="17:18" x14ac:dyDescent="0.35">
      <c r="Q115" s="2" t="s">
        <v>111</v>
      </c>
      <c r="R115" s="3">
        <v>8</v>
      </c>
    </row>
    <row r="116" spans="17:18" x14ac:dyDescent="0.35">
      <c r="Q116" s="5" t="s">
        <v>38</v>
      </c>
      <c r="R116" s="3">
        <v>2</v>
      </c>
    </row>
    <row r="117" spans="17:18" x14ac:dyDescent="0.35">
      <c r="Q117" s="5" t="s">
        <v>28</v>
      </c>
      <c r="R117" s="3">
        <v>2</v>
      </c>
    </row>
    <row r="118" spans="17:18" x14ac:dyDescent="0.35">
      <c r="Q118" s="5" t="s">
        <v>15</v>
      </c>
      <c r="R118" s="3">
        <v>2</v>
      </c>
    </row>
    <row r="119" spans="17:18" x14ac:dyDescent="0.35">
      <c r="Q119" s="5" t="s">
        <v>20</v>
      </c>
      <c r="R119" s="3">
        <v>2</v>
      </c>
    </row>
    <row r="120" spans="17:18" x14ac:dyDescent="0.35">
      <c r="Q120" s="2" t="s">
        <v>120</v>
      </c>
      <c r="R120" s="3">
        <v>2000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20ED1-811A-4331-9399-0DCA2241FFD7}">
  <dimension ref="BT14:BU45"/>
  <sheetViews>
    <sheetView tabSelected="1" zoomScale="31" zoomScaleNormal="55" workbookViewId="0">
      <selection activeCell="BI18" sqref="BI18"/>
    </sheetView>
  </sheetViews>
  <sheetFormatPr defaultRowHeight="14.5" x14ac:dyDescent="0.35"/>
  <cols>
    <col min="1" max="72" width="8.7265625" style="7"/>
    <col min="73" max="73" width="24.81640625" style="7" bestFit="1" customWidth="1"/>
    <col min="74" max="16384" width="8.7265625" style="7"/>
  </cols>
  <sheetData>
    <row r="14" spans="72:73" ht="21" x14ac:dyDescent="0.5">
      <c r="BT14" s="8" t="s">
        <v>3</v>
      </c>
      <c r="BU14" s="8"/>
    </row>
    <row r="15" spans="72:73" ht="21" x14ac:dyDescent="0.5">
      <c r="BT15" s="8" t="s">
        <v>28</v>
      </c>
      <c r="BU15" s="8" t="s">
        <v>130</v>
      </c>
    </row>
    <row r="16" spans="72:73" ht="21" x14ac:dyDescent="0.5">
      <c r="BT16" s="8" t="s">
        <v>15</v>
      </c>
      <c r="BU16" s="8" t="s">
        <v>131</v>
      </c>
    </row>
    <row r="17" spans="72:73" ht="21" x14ac:dyDescent="0.5">
      <c r="BT17" s="8" t="s">
        <v>38</v>
      </c>
      <c r="BU17" s="8" t="s">
        <v>128</v>
      </c>
    </row>
    <row r="18" spans="72:73" ht="21" x14ac:dyDescent="0.5">
      <c r="BT18" s="8" t="s">
        <v>43</v>
      </c>
      <c r="BU18" s="8" t="s">
        <v>129</v>
      </c>
    </row>
    <row r="19" spans="72:73" ht="21" x14ac:dyDescent="0.5">
      <c r="BT19" s="8" t="s">
        <v>20</v>
      </c>
      <c r="BU19" s="8" t="s">
        <v>132</v>
      </c>
    </row>
    <row r="22" spans="72:73" x14ac:dyDescent="0.35">
      <c r="BT22" s="7" t="s">
        <v>139</v>
      </c>
    </row>
    <row r="30" spans="72:73" x14ac:dyDescent="0.35">
      <c r="BU30" s="7">
        <f>AVERAGE(Table1[safety_rating])</f>
        <v>4.3769999999999998</v>
      </c>
    </row>
    <row r="35" spans="73:73" x14ac:dyDescent="0.35">
      <c r="BU35" s="11">
        <f>SUM(Table1[[total sales ]])</f>
        <v>20224928609589.871</v>
      </c>
    </row>
    <row r="38" spans="73:73" x14ac:dyDescent="0.35">
      <c r="BU38" s="7">
        <f>COUNTA(Table1[brand])</f>
        <v>2000</v>
      </c>
    </row>
    <row r="40" spans="73:73" x14ac:dyDescent="0.35">
      <c r="BU40" s="10">
        <f>AVERAGE(Table1[customer_rating])</f>
        <v>3.5720450000000019</v>
      </c>
    </row>
    <row r="45" spans="73:73" x14ac:dyDescent="0.35">
      <c r="BU45" s="11">
        <f>AVERAGE(Table1[[total sales ]])</f>
        <v>10112464304.794935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006"/>
  <sheetViews>
    <sheetView topLeftCell="A1978" zoomScale="84" workbookViewId="0">
      <selection activeCell="A2" sqref="A2"/>
    </sheetView>
  </sheetViews>
  <sheetFormatPr defaultRowHeight="14.5" x14ac:dyDescent="0.35"/>
  <cols>
    <col min="1" max="1" width="12.6328125" bestFit="1" customWidth="1"/>
    <col min="2" max="2" width="14.90625" bestFit="1" customWidth="1"/>
    <col min="3" max="3" width="10.08984375" bestFit="1" customWidth="1"/>
    <col min="4" max="4" width="11.81640625" bestFit="1" customWidth="1"/>
    <col min="5" max="5" width="15.1796875" customWidth="1"/>
    <col min="6" max="6" width="21.7265625" customWidth="1"/>
    <col min="7" max="7" width="13.26953125" customWidth="1"/>
    <col min="8" max="8" width="23.90625" customWidth="1"/>
    <col min="9" max="9" width="11.90625" customWidth="1"/>
    <col min="10" max="10" width="14.1796875" customWidth="1"/>
    <col min="11" max="11" width="17.453125" customWidth="1"/>
    <col min="12" max="12" width="19.1796875" customWidth="1"/>
    <col min="13" max="13" width="17" customWidth="1"/>
    <col min="14" max="14" width="23.90625" customWidth="1"/>
  </cols>
  <sheetData>
    <row r="1" spans="1:14" x14ac:dyDescent="0.35">
      <c r="A1" t="s">
        <v>0</v>
      </c>
      <c r="B1" t="s">
        <v>1</v>
      </c>
      <c r="C1" t="s">
        <v>2</v>
      </c>
      <c r="D1" t="s">
        <v>3</v>
      </c>
      <c r="E1" t="s">
        <v>4</v>
      </c>
      <c r="F1" t="s">
        <v>5</v>
      </c>
      <c r="G1" t="s">
        <v>6</v>
      </c>
      <c r="H1" t="s">
        <v>7</v>
      </c>
      <c r="I1" t="s">
        <v>8</v>
      </c>
      <c r="J1" t="s">
        <v>9</v>
      </c>
      <c r="K1" t="s">
        <v>10</v>
      </c>
      <c r="L1" t="s">
        <v>11</v>
      </c>
      <c r="M1" t="s">
        <v>12</v>
      </c>
      <c r="N1" s="6" t="s">
        <v>125</v>
      </c>
    </row>
    <row r="2" spans="1:14" x14ac:dyDescent="0.35">
      <c r="A2" t="s">
        <v>18</v>
      </c>
      <c r="B2" t="s">
        <v>19</v>
      </c>
      <c r="C2">
        <v>2020</v>
      </c>
      <c r="D2" t="s">
        <v>28</v>
      </c>
      <c r="E2">
        <v>70748.34</v>
      </c>
      <c r="F2">
        <v>94.2</v>
      </c>
      <c r="G2">
        <v>335</v>
      </c>
      <c r="H2">
        <v>169</v>
      </c>
      <c r="I2" t="s">
        <v>21</v>
      </c>
      <c r="J2">
        <v>5</v>
      </c>
      <c r="K2" t="s">
        <v>20</v>
      </c>
      <c r="L2">
        <v>2261</v>
      </c>
      <c r="M2">
        <v>3.72</v>
      </c>
      <c r="N2" s="6">
        <f t="shared" ref="N2:N65" si="0">E2*L2</f>
        <v>159961996.73999998</v>
      </c>
    </row>
    <row r="3" spans="1:14" x14ac:dyDescent="0.35">
      <c r="A3" t="s">
        <v>41</v>
      </c>
      <c r="B3" t="s">
        <v>42</v>
      </c>
      <c r="C3">
        <v>2020</v>
      </c>
      <c r="D3" t="s">
        <v>15</v>
      </c>
      <c r="E3">
        <v>143106.79</v>
      </c>
      <c r="F3">
        <v>75.3</v>
      </c>
      <c r="G3">
        <v>272</v>
      </c>
      <c r="H3">
        <v>197</v>
      </c>
      <c r="I3" t="s">
        <v>32</v>
      </c>
      <c r="J3">
        <v>4</v>
      </c>
      <c r="K3" t="s">
        <v>17</v>
      </c>
      <c r="L3">
        <v>18708</v>
      </c>
      <c r="M3">
        <v>3.53</v>
      </c>
      <c r="N3" s="6">
        <f t="shared" si="0"/>
        <v>2677241827.3200002</v>
      </c>
    </row>
    <row r="4" spans="1:14" x14ac:dyDescent="0.35">
      <c r="A4" t="s">
        <v>29</v>
      </c>
      <c r="B4" t="s">
        <v>39</v>
      </c>
      <c r="C4">
        <v>2020</v>
      </c>
      <c r="D4" t="s">
        <v>15</v>
      </c>
      <c r="E4">
        <v>102900.51</v>
      </c>
      <c r="F4">
        <v>74.099999999999994</v>
      </c>
      <c r="G4">
        <v>231</v>
      </c>
      <c r="H4">
        <v>200</v>
      </c>
      <c r="I4" t="s">
        <v>16</v>
      </c>
      <c r="J4">
        <v>3</v>
      </c>
      <c r="K4" t="s">
        <v>17</v>
      </c>
      <c r="L4">
        <v>184383</v>
      </c>
      <c r="M4">
        <v>3.8</v>
      </c>
      <c r="N4" s="6">
        <f t="shared" si="0"/>
        <v>18973104735.329998</v>
      </c>
    </row>
    <row r="5" spans="1:14" x14ac:dyDescent="0.35">
      <c r="A5" t="s">
        <v>45</v>
      </c>
      <c r="B5" t="s">
        <v>69</v>
      </c>
      <c r="C5">
        <v>2020</v>
      </c>
      <c r="D5" t="s">
        <v>38</v>
      </c>
      <c r="E5">
        <v>67729.77</v>
      </c>
      <c r="F5">
        <v>44.2</v>
      </c>
      <c r="G5">
        <v>157</v>
      </c>
      <c r="H5">
        <v>137</v>
      </c>
      <c r="I5" t="s">
        <v>16</v>
      </c>
      <c r="J5">
        <v>4</v>
      </c>
      <c r="K5" t="s">
        <v>20</v>
      </c>
      <c r="L5">
        <v>160145</v>
      </c>
      <c r="M5">
        <v>3.2</v>
      </c>
      <c r="N5" s="6">
        <f t="shared" si="0"/>
        <v>10846584016.650002</v>
      </c>
    </row>
    <row r="6" spans="1:14" x14ac:dyDescent="0.35">
      <c r="A6" t="s">
        <v>67</v>
      </c>
      <c r="B6" t="s">
        <v>86</v>
      </c>
      <c r="C6">
        <v>2020</v>
      </c>
      <c r="D6" t="s">
        <v>28</v>
      </c>
      <c r="E6">
        <v>76665.86</v>
      </c>
      <c r="F6">
        <v>103.7</v>
      </c>
      <c r="G6">
        <v>353</v>
      </c>
      <c r="H6">
        <v>165</v>
      </c>
      <c r="I6" t="s">
        <v>32</v>
      </c>
      <c r="J6">
        <v>4</v>
      </c>
      <c r="K6" t="s">
        <v>20</v>
      </c>
      <c r="L6">
        <v>32828</v>
      </c>
      <c r="M6">
        <v>3.4</v>
      </c>
      <c r="N6" s="6">
        <f t="shared" si="0"/>
        <v>2516786852.0799999</v>
      </c>
    </row>
    <row r="7" spans="1:14" x14ac:dyDescent="0.35">
      <c r="A7" t="s">
        <v>29</v>
      </c>
      <c r="B7" t="s">
        <v>31</v>
      </c>
      <c r="C7">
        <v>2020</v>
      </c>
      <c r="D7" t="s">
        <v>28</v>
      </c>
      <c r="E7">
        <v>96390.76</v>
      </c>
      <c r="F7">
        <v>80.400000000000006</v>
      </c>
      <c r="G7">
        <v>287</v>
      </c>
      <c r="H7">
        <v>160</v>
      </c>
      <c r="I7" t="s">
        <v>25</v>
      </c>
      <c r="J7">
        <v>4</v>
      </c>
      <c r="K7" t="s">
        <v>20</v>
      </c>
      <c r="L7">
        <v>498047</v>
      </c>
      <c r="M7">
        <v>3.82</v>
      </c>
      <c r="N7" s="6">
        <f t="shared" si="0"/>
        <v>48007128845.719994</v>
      </c>
    </row>
    <row r="8" spans="1:14" x14ac:dyDescent="0.35">
      <c r="A8" t="s">
        <v>45</v>
      </c>
      <c r="B8" t="s">
        <v>48</v>
      </c>
      <c r="C8">
        <v>2020</v>
      </c>
      <c r="D8" t="s">
        <v>15</v>
      </c>
      <c r="E8">
        <v>102787.75</v>
      </c>
      <c r="F8">
        <v>92.6</v>
      </c>
      <c r="G8">
        <v>323</v>
      </c>
      <c r="H8">
        <v>194</v>
      </c>
      <c r="I8" t="s">
        <v>25</v>
      </c>
      <c r="J8">
        <v>4</v>
      </c>
      <c r="K8" t="s">
        <v>17</v>
      </c>
      <c r="L8">
        <v>117639</v>
      </c>
      <c r="M8">
        <v>3.79</v>
      </c>
      <c r="N8" s="6">
        <f t="shared" si="0"/>
        <v>12091848122.25</v>
      </c>
    </row>
    <row r="9" spans="1:14" x14ac:dyDescent="0.35">
      <c r="A9" t="s">
        <v>26</v>
      </c>
      <c r="B9" t="s">
        <v>36</v>
      </c>
      <c r="C9">
        <v>2020</v>
      </c>
      <c r="D9" t="s">
        <v>38</v>
      </c>
      <c r="E9">
        <v>46532.99</v>
      </c>
      <c r="F9">
        <v>75.900000000000006</v>
      </c>
      <c r="G9">
        <v>260</v>
      </c>
      <c r="H9">
        <v>156</v>
      </c>
      <c r="I9" t="s">
        <v>25</v>
      </c>
      <c r="J9">
        <v>4</v>
      </c>
      <c r="K9" t="s">
        <v>22</v>
      </c>
      <c r="L9">
        <v>63258</v>
      </c>
      <c r="M9">
        <v>3.48</v>
      </c>
      <c r="N9" s="6">
        <f t="shared" si="0"/>
        <v>2943583881.4200001</v>
      </c>
    </row>
    <row r="10" spans="1:14" x14ac:dyDescent="0.35">
      <c r="A10" t="s">
        <v>45</v>
      </c>
      <c r="B10" t="s">
        <v>77</v>
      </c>
      <c r="C10">
        <v>2020</v>
      </c>
      <c r="D10" t="s">
        <v>43</v>
      </c>
      <c r="E10">
        <v>70472.75</v>
      </c>
      <c r="F10">
        <v>66.3</v>
      </c>
      <c r="G10">
        <v>241</v>
      </c>
      <c r="H10">
        <v>138</v>
      </c>
      <c r="I10" t="s">
        <v>25</v>
      </c>
      <c r="J10">
        <v>3</v>
      </c>
      <c r="K10" t="s">
        <v>20</v>
      </c>
      <c r="L10">
        <v>199656</v>
      </c>
      <c r="M10">
        <v>3.4</v>
      </c>
      <c r="N10" s="6">
        <f t="shared" si="0"/>
        <v>14070307374</v>
      </c>
    </row>
    <row r="11" spans="1:14" x14ac:dyDescent="0.35">
      <c r="A11" t="s">
        <v>49</v>
      </c>
      <c r="B11" t="s">
        <v>87</v>
      </c>
      <c r="C11">
        <v>2020</v>
      </c>
      <c r="D11" t="s">
        <v>43</v>
      </c>
      <c r="E11">
        <v>50630.65</v>
      </c>
      <c r="F11">
        <v>64</v>
      </c>
      <c r="G11">
        <v>203</v>
      </c>
      <c r="H11">
        <v>171</v>
      </c>
      <c r="I11" t="s">
        <v>32</v>
      </c>
      <c r="J11">
        <v>5</v>
      </c>
      <c r="K11" t="s">
        <v>22</v>
      </c>
      <c r="L11">
        <v>60112</v>
      </c>
      <c r="M11">
        <v>3.39</v>
      </c>
      <c r="N11" s="6">
        <f t="shared" si="0"/>
        <v>3043509632.8000002</v>
      </c>
    </row>
    <row r="12" spans="1:14" x14ac:dyDescent="0.35">
      <c r="A12" t="s">
        <v>67</v>
      </c>
      <c r="B12" t="s">
        <v>86</v>
      </c>
      <c r="C12">
        <v>2020</v>
      </c>
      <c r="D12" t="s">
        <v>43</v>
      </c>
      <c r="E12">
        <v>102595.23</v>
      </c>
      <c r="F12">
        <v>84.1</v>
      </c>
      <c r="G12">
        <v>278</v>
      </c>
      <c r="H12">
        <v>128</v>
      </c>
      <c r="I12" t="s">
        <v>33</v>
      </c>
      <c r="J12">
        <v>3</v>
      </c>
      <c r="K12" t="s">
        <v>17</v>
      </c>
      <c r="L12">
        <v>45569</v>
      </c>
      <c r="M12">
        <v>3.67</v>
      </c>
      <c r="N12" s="6">
        <f t="shared" si="0"/>
        <v>4675162035.8699999</v>
      </c>
    </row>
    <row r="13" spans="1:14" x14ac:dyDescent="0.35">
      <c r="A13" t="s">
        <v>13</v>
      </c>
      <c r="B13" t="s">
        <v>56</v>
      </c>
      <c r="C13">
        <v>2020</v>
      </c>
      <c r="D13" t="s">
        <v>28</v>
      </c>
      <c r="E13">
        <v>40762.980000000003</v>
      </c>
      <c r="F13">
        <v>101.5</v>
      </c>
      <c r="G13">
        <v>332</v>
      </c>
      <c r="H13">
        <v>164</v>
      </c>
      <c r="I13" t="s">
        <v>33</v>
      </c>
      <c r="J13">
        <v>4</v>
      </c>
      <c r="K13" t="s">
        <v>22</v>
      </c>
      <c r="L13">
        <v>220087</v>
      </c>
      <c r="M13">
        <v>3.39</v>
      </c>
      <c r="N13" s="6">
        <f t="shared" si="0"/>
        <v>8971401979.2600002</v>
      </c>
    </row>
    <row r="14" spans="1:14" x14ac:dyDescent="0.35">
      <c r="A14" t="s">
        <v>18</v>
      </c>
      <c r="B14" t="s">
        <v>19</v>
      </c>
      <c r="C14">
        <v>2020</v>
      </c>
      <c r="D14" t="s">
        <v>38</v>
      </c>
      <c r="E14">
        <v>47569.79</v>
      </c>
      <c r="F14">
        <v>41.5</v>
      </c>
      <c r="G14">
        <v>160</v>
      </c>
      <c r="H14">
        <v>133</v>
      </c>
      <c r="I14" t="s">
        <v>21</v>
      </c>
      <c r="J14">
        <v>4</v>
      </c>
      <c r="K14" t="s">
        <v>22</v>
      </c>
      <c r="L14">
        <v>28709</v>
      </c>
      <c r="M14">
        <v>3.17</v>
      </c>
      <c r="N14" s="6">
        <f t="shared" si="0"/>
        <v>1365681101.1100001</v>
      </c>
    </row>
    <row r="15" spans="1:14" x14ac:dyDescent="0.35">
      <c r="A15" t="s">
        <v>45</v>
      </c>
      <c r="B15" t="s">
        <v>46</v>
      </c>
      <c r="C15">
        <v>2020</v>
      </c>
      <c r="D15" t="s">
        <v>28</v>
      </c>
      <c r="E15">
        <v>48719.93</v>
      </c>
      <c r="F15">
        <v>95.3</v>
      </c>
      <c r="G15">
        <v>342</v>
      </c>
      <c r="H15">
        <v>166</v>
      </c>
      <c r="I15" t="s">
        <v>33</v>
      </c>
      <c r="J15">
        <v>4</v>
      </c>
      <c r="K15" t="s">
        <v>22</v>
      </c>
      <c r="L15">
        <v>158941</v>
      </c>
      <c r="M15">
        <v>3.72</v>
      </c>
      <c r="N15" s="6">
        <f t="shared" si="0"/>
        <v>7743594394.1300001</v>
      </c>
    </row>
    <row r="16" spans="1:14" x14ac:dyDescent="0.35">
      <c r="A16" t="s">
        <v>57</v>
      </c>
      <c r="B16" t="s">
        <v>72</v>
      </c>
      <c r="C16">
        <v>2020</v>
      </c>
      <c r="D16" t="s">
        <v>28</v>
      </c>
      <c r="E16">
        <v>67768.09</v>
      </c>
      <c r="F16">
        <v>83.3</v>
      </c>
      <c r="G16">
        <v>291</v>
      </c>
      <c r="H16">
        <v>173</v>
      </c>
      <c r="I16" t="s">
        <v>16</v>
      </c>
      <c r="J16">
        <v>5</v>
      </c>
      <c r="K16" t="s">
        <v>20</v>
      </c>
      <c r="L16">
        <v>25258</v>
      </c>
      <c r="M16">
        <v>3.54</v>
      </c>
      <c r="N16" s="6">
        <f t="shared" si="0"/>
        <v>1711686417.22</v>
      </c>
    </row>
    <row r="17" spans="1:14" x14ac:dyDescent="0.35">
      <c r="A17" t="s">
        <v>26</v>
      </c>
      <c r="B17" t="s">
        <v>52</v>
      </c>
      <c r="C17">
        <v>2020</v>
      </c>
      <c r="D17" t="s">
        <v>38</v>
      </c>
      <c r="E17">
        <v>44609.33</v>
      </c>
      <c r="F17">
        <v>80.3</v>
      </c>
      <c r="G17">
        <v>255</v>
      </c>
      <c r="H17">
        <v>155</v>
      </c>
      <c r="I17" t="s">
        <v>40</v>
      </c>
      <c r="J17">
        <v>4</v>
      </c>
      <c r="K17" t="s">
        <v>22</v>
      </c>
      <c r="L17">
        <v>62067</v>
      </c>
      <c r="M17">
        <v>3.61</v>
      </c>
      <c r="N17" s="6">
        <f t="shared" si="0"/>
        <v>2768767285.1100001</v>
      </c>
    </row>
    <row r="18" spans="1:14" x14ac:dyDescent="0.35">
      <c r="A18" t="s">
        <v>45</v>
      </c>
      <c r="B18" t="s">
        <v>88</v>
      </c>
      <c r="C18">
        <v>2020</v>
      </c>
      <c r="D18" t="s">
        <v>28</v>
      </c>
      <c r="E18">
        <v>36752.050000000003</v>
      </c>
      <c r="F18">
        <v>84.7</v>
      </c>
      <c r="G18">
        <v>308</v>
      </c>
      <c r="H18">
        <v>189</v>
      </c>
      <c r="I18" t="s">
        <v>40</v>
      </c>
      <c r="J18">
        <v>4</v>
      </c>
      <c r="K18" t="s">
        <v>22</v>
      </c>
      <c r="L18">
        <v>178041</v>
      </c>
      <c r="M18">
        <v>3.55</v>
      </c>
      <c r="N18" s="6">
        <f t="shared" si="0"/>
        <v>6543371734.0500002</v>
      </c>
    </row>
    <row r="19" spans="1:14" x14ac:dyDescent="0.35">
      <c r="A19" t="s">
        <v>26</v>
      </c>
      <c r="B19" t="s">
        <v>27</v>
      </c>
      <c r="C19">
        <v>2020</v>
      </c>
      <c r="D19" t="s">
        <v>43</v>
      </c>
      <c r="E19">
        <v>26731.95</v>
      </c>
      <c r="F19">
        <v>75.8</v>
      </c>
      <c r="G19">
        <v>257</v>
      </c>
      <c r="H19">
        <v>160</v>
      </c>
      <c r="I19" t="s">
        <v>21</v>
      </c>
      <c r="J19">
        <v>5</v>
      </c>
      <c r="K19" t="s">
        <v>47</v>
      </c>
      <c r="L19">
        <v>147499</v>
      </c>
      <c r="M19">
        <v>3.27</v>
      </c>
      <c r="N19" s="6">
        <f t="shared" si="0"/>
        <v>3942935893.0500002</v>
      </c>
    </row>
    <row r="20" spans="1:14" x14ac:dyDescent="0.35">
      <c r="A20" t="s">
        <v>64</v>
      </c>
      <c r="B20" t="s">
        <v>95</v>
      </c>
      <c r="C20">
        <v>2020</v>
      </c>
      <c r="D20" t="s">
        <v>38</v>
      </c>
      <c r="E20">
        <v>93337.36</v>
      </c>
      <c r="F20">
        <v>72.7</v>
      </c>
      <c r="G20">
        <v>232</v>
      </c>
      <c r="H20">
        <v>176</v>
      </c>
      <c r="I20" t="s">
        <v>16</v>
      </c>
      <c r="J20">
        <v>5</v>
      </c>
      <c r="K20" t="s">
        <v>20</v>
      </c>
      <c r="L20">
        <v>25170</v>
      </c>
      <c r="M20">
        <v>3.43</v>
      </c>
      <c r="N20" s="6">
        <f t="shared" si="0"/>
        <v>2349301351.1999998</v>
      </c>
    </row>
    <row r="21" spans="1:14" x14ac:dyDescent="0.35">
      <c r="A21" t="s">
        <v>29</v>
      </c>
      <c r="B21" t="s">
        <v>39</v>
      </c>
      <c r="C21">
        <v>2020</v>
      </c>
      <c r="D21" t="s">
        <v>15</v>
      </c>
      <c r="E21">
        <v>164703.81</v>
      </c>
      <c r="F21">
        <v>113.2</v>
      </c>
      <c r="G21">
        <v>397</v>
      </c>
      <c r="H21">
        <v>187</v>
      </c>
      <c r="I21" t="s">
        <v>40</v>
      </c>
      <c r="J21">
        <v>5</v>
      </c>
      <c r="K21" t="s">
        <v>17</v>
      </c>
      <c r="L21">
        <v>159470</v>
      </c>
      <c r="M21">
        <v>4.1100000000000003</v>
      </c>
      <c r="N21" s="6">
        <f t="shared" si="0"/>
        <v>26265316580.700001</v>
      </c>
    </row>
    <row r="22" spans="1:14" x14ac:dyDescent="0.35">
      <c r="A22" t="s">
        <v>29</v>
      </c>
      <c r="B22" t="s">
        <v>30</v>
      </c>
      <c r="C22">
        <v>2020</v>
      </c>
      <c r="D22" t="s">
        <v>28</v>
      </c>
      <c r="E22">
        <v>65735.100000000006</v>
      </c>
      <c r="F22">
        <v>91.3</v>
      </c>
      <c r="G22">
        <v>319</v>
      </c>
      <c r="H22">
        <v>178</v>
      </c>
      <c r="I22" t="s">
        <v>33</v>
      </c>
      <c r="J22">
        <v>3</v>
      </c>
      <c r="K22" t="s">
        <v>20</v>
      </c>
      <c r="L22">
        <v>120134</v>
      </c>
      <c r="M22">
        <v>4.09</v>
      </c>
      <c r="N22" s="6">
        <f t="shared" si="0"/>
        <v>7897020503.4000006</v>
      </c>
    </row>
    <row r="23" spans="1:14" x14ac:dyDescent="0.35">
      <c r="A23" t="s">
        <v>114</v>
      </c>
      <c r="B23" t="s">
        <v>134</v>
      </c>
      <c r="C23">
        <v>2020</v>
      </c>
      <c r="D23" t="s">
        <v>38</v>
      </c>
      <c r="E23">
        <v>82455.28</v>
      </c>
      <c r="F23">
        <v>57.3</v>
      </c>
      <c r="G23">
        <v>204</v>
      </c>
      <c r="H23">
        <v>156</v>
      </c>
      <c r="I23" t="s">
        <v>25</v>
      </c>
      <c r="J23">
        <v>4</v>
      </c>
      <c r="K23" t="s">
        <v>20</v>
      </c>
      <c r="L23">
        <v>12945</v>
      </c>
      <c r="M23">
        <v>3.41</v>
      </c>
      <c r="N23" s="6">
        <f t="shared" si="0"/>
        <v>1067383599.6</v>
      </c>
    </row>
    <row r="24" spans="1:14" x14ac:dyDescent="0.35">
      <c r="A24" t="s">
        <v>18</v>
      </c>
      <c r="B24" t="s">
        <v>19</v>
      </c>
      <c r="C24">
        <v>2020</v>
      </c>
      <c r="D24" t="s">
        <v>38</v>
      </c>
      <c r="E24">
        <v>30416.52</v>
      </c>
      <c r="F24">
        <v>72.2</v>
      </c>
      <c r="G24">
        <v>257</v>
      </c>
      <c r="H24">
        <v>153</v>
      </c>
      <c r="I24" t="s">
        <v>21</v>
      </c>
      <c r="J24">
        <v>4</v>
      </c>
      <c r="K24" t="s">
        <v>47</v>
      </c>
      <c r="L24">
        <v>15941</v>
      </c>
      <c r="M24">
        <v>3.54</v>
      </c>
      <c r="N24" s="6">
        <f t="shared" si="0"/>
        <v>484869745.31999999</v>
      </c>
    </row>
    <row r="25" spans="1:14" x14ac:dyDescent="0.35">
      <c r="A25" t="s">
        <v>64</v>
      </c>
      <c r="B25" t="s">
        <v>65</v>
      </c>
      <c r="C25">
        <v>2020</v>
      </c>
      <c r="D25" t="s">
        <v>20</v>
      </c>
      <c r="E25">
        <v>84308.51</v>
      </c>
      <c r="F25">
        <v>76.3</v>
      </c>
      <c r="G25">
        <v>242</v>
      </c>
      <c r="H25">
        <v>144</v>
      </c>
      <c r="I25" t="s">
        <v>16</v>
      </c>
      <c r="J25">
        <v>5</v>
      </c>
      <c r="K25" t="s">
        <v>20</v>
      </c>
      <c r="L25">
        <v>53466</v>
      </c>
      <c r="M25">
        <v>3.48</v>
      </c>
      <c r="N25" s="6">
        <f t="shared" si="0"/>
        <v>4507638795.6599998</v>
      </c>
    </row>
    <row r="26" spans="1:14" x14ac:dyDescent="0.35">
      <c r="A26" t="s">
        <v>49</v>
      </c>
      <c r="B26" t="s">
        <v>71</v>
      </c>
      <c r="C26">
        <v>2020</v>
      </c>
      <c r="D26" t="s">
        <v>15</v>
      </c>
      <c r="E26">
        <v>74306.48</v>
      </c>
      <c r="F26">
        <v>85.9</v>
      </c>
      <c r="G26">
        <v>286</v>
      </c>
      <c r="H26">
        <v>200</v>
      </c>
      <c r="I26" t="s">
        <v>16</v>
      </c>
      <c r="J26">
        <v>5</v>
      </c>
      <c r="K26" t="s">
        <v>20</v>
      </c>
      <c r="L26">
        <v>113130</v>
      </c>
      <c r="M26">
        <v>3.67</v>
      </c>
      <c r="N26" s="6">
        <f t="shared" si="0"/>
        <v>8406292082.3999996</v>
      </c>
    </row>
    <row r="27" spans="1:14" x14ac:dyDescent="0.35">
      <c r="A27" t="s">
        <v>57</v>
      </c>
      <c r="B27" t="s">
        <v>62</v>
      </c>
      <c r="C27">
        <v>2020</v>
      </c>
      <c r="D27" t="s">
        <v>43</v>
      </c>
      <c r="E27">
        <v>62155.3</v>
      </c>
      <c r="F27">
        <v>60.7</v>
      </c>
      <c r="G27">
        <v>186</v>
      </c>
      <c r="H27">
        <v>161</v>
      </c>
      <c r="I27" t="s">
        <v>25</v>
      </c>
      <c r="J27">
        <v>5</v>
      </c>
      <c r="K27" t="s">
        <v>22</v>
      </c>
      <c r="L27">
        <v>60595</v>
      </c>
      <c r="M27">
        <v>3.4</v>
      </c>
      <c r="N27" s="6">
        <f t="shared" si="0"/>
        <v>3766300403.5</v>
      </c>
    </row>
    <row r="28" spans="1:14" x14ac:dyDescent="0.35">
      <c r="A28" t="s">
        <v>26</v>
      </c>
      <c r="B28" t="s">
        <v>61</v>
      </c>
      <c r="C28">
        <v>2020</v>
      </c>
      <c r="D28" t="s">
        <v>28</v>
      </c>
      <c r="E28">
        <v>70023.960000000006</v>
      </c>
      <c r="F28">
        <v>107.3</v>
      </c>
      <c r="G28">
        <v>379</v>
      </c>
      <c r="H28">
        <v>190</v>
      </c>
      <c r="I28" t="s">
        <v>21</v>
      </c>
      <c r="J28">
        <v>5</v>
      </c>
      <c r="K28" t="s">
        <v>20</v>
      </c>
      <c r="L28">
        <v>63318</v>
      </c>
      <c r="M28">
        <v>3.7</v>
      </c>
      <c r="N28" s="6">
        <f t="shared" si="0"/>
        <v>4433777099.2800007</v>
      </c>
    </row>
    <row r="29" spans="1:14" x14ac:dyDescent="0.35">
      <c r="A29" t="s">
        <v>45</v>
      </c>
      <c r="B29" t="s">
        <v>46</v>
      </c>
      <c r="C29">
        <v>2020</v>
      </c>
      <c r="D29" t="s">
        <v>15</v>
      </c>
      <c r="E29">
        <v>61584.07</v>
      </c>
      <c r="F29">
        <v>117</v>
      </c>
      <c r="G29">
        <v>409</v>
      </c>
      <c r="H29">
        <v>196</v>
      </c>
      <c r="I29" t="s">
        <v>40</v>
      </c>
      <c r="J29">
        <v>5</v>
      </c>
      <c r="K29" t="s">
        <v>22</v>
      </c>
      <c r="L29">
        <v>190643</v>
      </c>
      <c r="M29">
        <v>3.93</v>
      </c>
      <c r="N29" s="6">
        <f t="shared" si="0"/>
        <v>11740571857.01</v>
      </c>
    </row>
    <row r="30" spans="1:14" x14ac:dyDescent="0.35">
      <c r="A30" t="s">
        <v>26</v>
      </c>
      <c r="B30" t="s">
        <v>96</v>
      </c>
      <c r="C30">
        <v>2020</v>
      </c>
      <c r="D30" t="s">
        <v>43</v>
      </c>
      <c r="E30">
        <v>29338.85</v>
      </c>
      <c r="F30">
        <v>40.5</v>
      </c>
      <c r="G30">
        <v>157</v>
      </c>
      <c r="H30">
        <v>165</v>
      </c>
      <c r="I30" t="s">
        <v>21</v>
      </c>
      <c r="J30">
        <v>4</v>
      </c>
      <c r="K30" t="s">
        <v>47</v>
      </c>
      <c r="L30">
        <v>61921</v>
      </c>
      <c r="M30">
        <v>3.18</v>
      </c>
      <c r="N30" s="6">
        <f t="shared" si="0"/>
        <v>1816690930.8499999</v>
      </c>
    </row>
    <row r="31" spans="1:14" x14ac:dyDescent="0.35">
      <c r="A31" t="s">
        <v>13</v>
      </c>
      <c r="B31" t="s">
        <v>51</v>
      </c>
      <c r="C31">
        <v>2020</v>
      </c>
      <c r="D31" t="s">
        <v>20</v>
      </c>
      <c r="E31">
        <v>48608.56</v>
      </c>
      <c r="F31">
        <v>41.4</v>
      </c>
      <c r="G31">
        <v>163</v>
      </c>
      <c r="H31">
        <v>175</v>
      </c>
      <c r="I31" t="s">
        <v>16</v>
      </c>
      <c r="J31">
        <v>5</v>
      </c>
      <c r="K31" t="s">
        <v>22</v>
      </c>
      <c r="L31">
        <v>221203</v>
      </c>
      <c r="M31">
        <v>3.43</v>
      </c>
      <c r="N31" s="6">
        <f t="shared" si="0"/>
        <v>10752359297.68</v>
      </c>
    </row>
    <row r="32" spans="1:14" x14ac:dyDescent="0.35">
      <c r="A32" t="s">
        <v>64</v>
      </c>
      <c r="B32" t="s">
        <v>95</v>
      </c>
      <c r="C32">
        <v>2020</v>
      </c>
      <c r="D32" t="s">
        <v>43</v>
      </c>
      <c r="E32">
        <v>94185.600000000006</v>
      </c>
      <c r="F32">
        <v>41.2</v>
      </c>
      <c r="G32">
        <v>150</v>
      </c>
      <c r="H32">
        <v>159</v>
      </c>
      <c r="I32" t="s">
        <v>33</v>
      </c>
      <c r="J32">
        <v>4</v>
      </c>
      <c r="K32" t="s">
        <v>20</v>
      </c>
      <c r="L32">
        <v>43577</v>
      </c>
      <c r="M32">
        <v>3.37</v>
      </c>
      <c r="N32" s="6">
        <f t="shared" si="0"/>
        <v>4104325891.2000003</v>
      </c>
    </row>
    <row r="33" spans="1:14" x14ac:dyDescent="0.35">
      <c r="A33" t="s">
        <v>75</v>
      </c>
      <c r="B33" t="s">
        <v>101</v>
      </c>
      <c r="C33">
        <v>2020</v>
      </c>
      <c r="D33" t="s">
        <v>43</v>
      </c>
      <c r="E33">
        <v>74902.509999999995</v>
      </c>
      <c r="F33">
        <v>63.7</v>
      </c>
      <c r="G33">
        <v>219</v>
      </c>
      <c r="H33">
        <v>142</v>
      </c>
      <c r="I33" t="s">
        <v>33</v>
      </c>
      <c r="J33">
        <v>4</v>
      </c>
      <c r="K33" t="s">
        <v>20</v>
      </c>
      <c r="L33">
        <v>16890</v>
      </c>
      <c r="M33">
        <v>3.32</v>
      </c>
      <c r="N33" s="6">
        <f t="shared" si="0"/>
        <v>1265103393.8999999</v>
      </c>
    </row>
    <row r="34" spans="1:14" x14ac:dyDescent="0.35">
      <c r="A34" t="s">
        <v>75</v>
      </c>
      <c r="B34" t="s">
        <v>113</v>
      </c>
      <c r="C34">
        <v>2020</v>
      </c>
      <c r="D34" t="s">
        <v>38</v>
      </c>
      <c r="E34">
        <v>64055.95</v>
      </c>
      <c r="F34">
        <v>77.900000000000006</v>
      </c>
      <c r="G34">
        <v>280</v>
      </c>
      <c r="H34">
        <v>136</v>
      </c>
      <c r="I34" t="s">
        <v>16</v>
      </c>
      <c r="J34">
        <v>5</v>
      </c>
      <c r="K34" t="s">
        <v>22</v>
      </c>
      <c r="L34">
        <v>12678</v>
      </c>
      <c r="M34">
        <v>3.7</v>
      </c>
      <c r="N34" s="6">
        <f t="shared" si="0"/>
        <v>812101334.0999999</v>
      </c>
    </row>
    <row r="35" spans="1:14" x14ac:dyDescent="0.35">
      <c r="A35" t="s">
        <v>13</v>
      </c>
      <c r="B35" t="s">
        <v>51</v>
      </c>
      <c r="C35">
        <v>2020</v>
      </c>
      <c r="D35" t="s">
        <v>38</v>
      </c>
      <c r="E35">
        <v>27139.23</v>
      </c>
      <c r="F35">
        <v>78.900000000000006</v>
      </c>
      <c r="G35">
        <v>261</v>
      </c>
      <c r="H35">
        <v>130</v>
      </c>
      <c r="I35" t="s">
        <v>32</v>
      </c>
      <c r="J35">
        <v>4</v>
      </c>
      <c r="K35" t="s">
        <v>47</v>
      </c>
      <c r="L35">
        <v>271891</v>
      </c>
      <c r="M35">
        <v>3.57</v>
      </c>
      <c r="N35" s="6">
        <f t="shared" si="0"/>
        <v>7378912383.9300003</v>
      </c>
    </row>
    <row r="36" spans="1:14" x14ac:dyDescent="0.35">
      <c r="A36" t="s">
        <v>13</v>
      </c>
      <c r="B36" t="s">
        <v>66</v>
      </c>
      <c r="C36">
        <v>2020</v>
      </c>
      <c r="D36" t="s">
        <v>28</v>
      </c>
      <c r="E36">
        <v>81317.3</v>
      </c>
      <c r="F36">
        <v>77.900000000000006</v>
      </c>
      <c r="G36">
        <v>298</v>
      </c>
      <c r="H36">
        <v>182</v>
      </c>
      <c r="I36" t="s">
        <v>16</v>
      </c>
      <c r="J36">
        <v>4</v>
      </c>
      <c r="K36" t="s">
        <v>20</v>
      </c>
      <c r="L36">
        <v>205086</v>
      </c>
      <c r="M36">
        <v>3.62</v>
      </c>
      <c r="N36" s="6">
        <f t="shared" si="0"/>
        <v>16677039787.800001</v>
      </c>
    </row>
    <row r="37" spans="1:14" x14ac:dyDescent="0.35">
      <c r="A37" t="s">
        <v>26</v>
      </c>
      <c r="B37" t="s">
        <v>52</v>
      </c>
      <c r="C37">
        <v>2020</v>
      </c>
      <c r="D37" t="s">
        <v>15</v>
      </c>
      <c r="E37">
        <v>51182.15</v>
      </c>
      <c r="F37">
        <v>115.1</v>
      </c>
      <c r="G37">
        <v>444</v>
      </c>
      <c r="H37">
        <v>200</v>
      </c>
      <c r="I37" t="s">
        <v>25</v>
      </c>
      <c r="J37">
        <v>5</v>
      </c>
      <c r="K37" t="s">
        <v>22</v>
      </c>
      <c r="L37">
        <v>106543</v>
      </c>
      <c r="M37">
        <v>3.82</v>
      </c>
      <c r="N37" s="6">
        <f t="shared" si="0"/>
        <v>5453099807.4499998</v>
      </c>
    </row>
    <row r="38" spans="1:14" x14ac:dyDescent="0.35">
      <c r="A38" t="s">
        <v>13</v>
      </c>
      <c r="B38" t="s">
        <v>14</v>
      </c>
      <c r="C38">
        <v>2020</v>
      </c>
      <c r="D38" t="s">
        <v>43</v>
      </c>
      <c r="E38">
        <v>72240.69</v>
      </c>
      <c r="F38">
        <v>59.6</v>
      </c>
      <c r="G38">
        <v>178</v>
      </c>
      <c r="H38">
        <v>143</v>
      </c>
      <c r="I38" t="s">
        <v>40</v>
      </c>
      <c r="J38">
        <v>4</v>
      </c>
      <c r="K38" t="s">
        <v>20</v>
      </c>
      <c r="L38">
        <v>255858</v>
      </c>
      <c r="M38">
        <v>3.29</v>
      </c>
      <c r="N38" s="6">
        <f t="shared" si="0"/>
        <v>18483358462.02</v>
      </c>
    </row>
    <row r="39" spans="1:14" x14ac:dyDescent="0.35">
      <c r="A39" t="s">
        <v>26</v>
      </c>
      <c r="B39" t="s">
        <v>61</v>
      </c>
      <c r="C39">
        <v>2020</v>
      </c>
      <c r="D39" t="s">
        <v>38</v>
      </c>
      <c r="E39">
        <v>33055.17</v>
      </c>
      <c r="F39">
        <v>58.2</v>
      </c>
      <c r="G39">
        <v>200</v>
      </c>
      <c r="H39">
        <v>158</v>
      </c>
      <c r="I39" t="s">
        <v>21</v>
      </c>
      <c r="J39">
        <v>4</v>
      </c>
      <c r="K39" t="s">
        <v>47</v>
      </c>
      <c r="L39">
        <v>139463</v>
      </c>
      <c r="M39">
        <v>3.31</v>
      </c>
      <c r="N39" s="6">
        <f t="shared" si="0"/>
        <v>4609973173.71</v>
      </c>
    </row>
    <row r="40" spans="1:14" x14ac:dyDescent="0.35">
      <c r="A40" t="s">
        <v>23</v>
      </c>
      <c r="B40" t="s">
        <v>99</v>
      </c>
      <c r="C40">
        <v>2020</v>
      </c>
      <c r="D40" t="s">
        <v>28</v>
      </c>
      <c r="E40">
        <v>45327.78</v>
      </c>
      <c r="F40">
        <v>86.2</v>
      </c>
      <c r="G40">
        <v>305</v>
      </c>
      <c r="H40">
        <v>174</v>
      </c>
      <c r="I40" t="s">
        <v>33</v>
      </c>
      <c r="J40">
        <v>4</v>
      </c>
      <c r="K40" t="s">
        <v>22</v>
      </c>
      <c r="L40">
        <v>20824</v>
      </c>
      <c r="M40">
        <v>3.63</v>
      </c>
      <c r="N40" s="6">
        <f t="shared" si="0"/>
        <v>943905690.72000003</v>
      </c>
    </row>
    <row r="41" spans="1:14" x14ac:dyDescent="0.35">
      <c r="A41" t="s">
        <v>26</v>
      </c>
      <c r="B41" t="s">
        <v>36</v>
      </c>
      <c r="C41">
        <v>2021</v>
      </c>
      <c r="D41" t="s">
        <v>20</v>
      </c>
      <c r="E41">
        <v>80530.570000000007</v>
      </c>
      <c r="F41">
        <v>54.6</v>
      </c>
      <c r="G41">
        <v>184</v>
      </c>
      <c r="H41">
        <v>137</v>
      </c>
      <c r="I41" t="s">
        <v>32</v>
      </c>
      <c r="J41">
        <v>3</v>
      </c>
      <c r="K41" t="s">
        <v>20</v>
      </c>
      <c r="L41">
        <v>90830</v>
      </c>
      <c r="M41">
        <v>3.11</v>
      </c>
      <c r="N41" s="6">
        <f t="shared" si="0"/>
        <v>7314591673.1000004</v>
      </c>
    </row>
    <row r="42" spans="1:14" x14ac:dyDescent="0.35">
      <c r="A42" t="s">
        <v>13</v>
      </c>
      <c r="B42" t="s">
        <v>66</v>
      </c>
      <c r="C42">
        <v>2021</v>
      </c>
      <c r="D42" t="s">
        <v>28</v>
      </c>
      <c r="E42">
        <v>52966.98</v>
      </c>
      <c r="F42">
        <v>96.8</v>
      </c>
      <c r="G42">
        <v>311</v>
      </c>
      <c r="H42">
        <v>171</v>
      </c>
      <c r="I42" t="s">
        <v>33</v>
      </c>
      <c r="J42">
        <v>5</v>
      </c>
      <c r="K42" t="s">
        <v>22</v>
      </c>
      <c r="L42">
        <v>232633</v>
      </c>
      <c r="M42">
        <v>3.55</v>
      </c>
      <c r="N42" s="6">
        <f t="shared" si="0"/>
        <v>12321867458.34</v>
      </c>
    </row>
    <row r="43" spans="1:14" x14ac:dyDescent="0.35">
      <c r="A43" t="s">
        <v>75</v>
      </c>
      <c r="B43" t="s">
        <v>76</v>
      </c>
      <c r="C43">
        <v>2021</v>
      </c>
      <c r="D43" t="s">
        <v>38</v>
      </c>
      <c r="E43">
        <v>60978.95</v>
      </c>
      <c r="F43">
        <v>84.5</v>
      </c>
      <c r="G43">
        <v>304</v>
      </c>
      <c r="H43">
        <v>153</v>
      </c>
      <c r="I43" t="s">
        <v>32</v>
      </c>
      <c r="J43">
        <v>5</v>
      </c>
      <c r="K43" t="s">
        <v>22</v>
      </c>
      <c r="L43">
        <v>7599</v>
      </c>
      <c r="M43">
        <v>3.41</v>
      </c>
      <c r="N43" s="6">
        <f t="shared" si="0"/>
        <v>463379041.04999995</v>
      </c>
    </row>
    <row r="44" spans="1:14" x14ac:dyDescent="0.35">
      <c r="A44" t="s">
        <v>49</v>
      </c>
      <c r="B44" t="s">
        <v>71</v>
      </c>
      <c r="C44">
        <v>2021</v>
      </c>
      <c r="D44" t="s">
        <v>20</v>
      </c>
      <c r="E44">
        <v>81529.22</v>
      </c>
      <c r="F44">
        <v>52</v>
      </c>
      <c r="G44">
        <v>173</v>
      </c>
      <c r="H44">
        <v>175</v>
      </c>
      <c r="I44" t="s">
        <v>16</v>
      </c>
      <c r="J44">
        <v>4</v>
      </c>
      <c r="K44" t="s">
        <v>20</v>
      </c>
      <c r="L44">
        <v>137712</v>
      </c>
      <c r="M44">
        <v>3.33</v>
      </c>
      <c r="N44" s="6">
        <f t="shared" si="0"/>
        <v>11227551944.639999</v>
      </c>
    </row>
    <row r="45" spans="1:14" x14ac:dyDescent="0.35">
      <c r="A45" t="s">
        <v>45</v>
      </c>
      <c r="B45" t="s">
        <v>88</v>
      </c>
      <c r="C45">
        <v>2021</v>
      </c>
      <c r="D45" t="s">
        <v>43</v>
      </c>
      <c r="E45">
        <v>47541.74</v>
      </c>
      <c r="F45">
        <v>75.3</v>
      </c>
      <c r="G45">
        <v>274</v>
      </c>
      <c r="H45">
        <v>133</v>
      </c>
      <c r="I45" t="s">
        <v>21</v>
      </c>
      <c r="J45">
        <v>3</v>
      </c>
      <c r="K45" t="s">
        <v>22</v>
      </c>
      <c r="L45">
        <v>230454</v>
      </c>
      <c r="M45">
        <v>3.4</v>
      </c>
      <c r="N45" s="6">
        <f t="shared" si="0"/>
        <v>10956184149.959999</v>
      </c>
    </row>
    <row r="46" spans="1:14" x14ac:dyDescent="0.35">
      <c r="A46" t="s">
        <v>29</v>
      </c>
      <c r="B46" t="s">
        <v>53</v>
      </c>
      <c r="C46">
        <v>2021</v>
      </c>
      <c r="D46" t="s">
        <v>38</v>
      </c>
      <c r="E46">
        <v>98646.080000000002</v>
      </c>
      <c r="F46">
        <v>76</v>
      </c>
      <c r="G46">
        <v>242</v>
      </c>
      <c r="H46">
        <v>143</v>
      </c>
      <c r="I46" t="s">
        <v>16</v>
      </c>
      <c r="J46">
        <v>5</v>
      </c>
      <c r="K46" t="s">
        <v>20</v>
      </c>
      <c r="L46">
        <v>235244</v>
      </c>
      <c r="M46">
        <v>3.9</v>
      </c>
      <c r="N46" s="6">
        <f t="shared" si="0"/>
        <v>23205898443.52</v>
      </c>
    </row>
    <row r="47" spans="1:14" x14ac:dyDescent="0.35">
      <c r="A47" t="s">
        <v>26</v>
      </c>
      <c r="B47" t="s">
        <v>96</v>
      </c>
      <c r="C47">
        <v>2021</v>
      </c>
      <c r="D47" t="s">
        <v>28</v>
      </c>
      <c r="E47">
        <v>66633.95</v>
      </c>
      <c r="F47">
        <v>75.099999999999994</v>
      </c>
      <c r="G47">
        <v>272</v>
      </c>
      <c r="H47">
        <v>170</v>
      </c>
      <c r="I47" t="s">
        <v>33</v>
      </c>
      <c r="J47">
        <v>5</v>
      </c>
      <c r="K47" t="s">
        <v>20</v>
      </c>
      <c r="L47">
        <v>57850</v>
      </c>
      <c r="M47">
        <v>3.25</v>
      </c>
      <c r="N47" s="6">
        <f t="shared" si="0"/>
        <v>3854774007.5</v>
      </c>
    </row>
    <row r="48" spans="1:14" x14ac:dyDescent="0.35">
      <c r="A48" t="s">
        <v>64</v>
      </c>
      <c r="B48" t="s">
        <v>95</v>
      </c>
      <c r="C48">
        <v>2021</v>
      </c>
      <c r="D48" t="s">
        <v>43</v>
      </c>
      <c r="E48">
        <v>94181.96</v>
      </c>
      <c r="F48">
        <v>40.799999999999997</v>
      </c>
      <c r="G48">
        <v>160</v>
      </c>
      <c r="H48">
        <v>176</v>
      </c>
      <c r="I48" t="s">
        <v>33</v>
      </c>
      <c r="J48">
        <v>5</v>
      </c>
      <c r="K48" t="s">
        <v>20</v>
      </c>
      <c r="L48">
        <v>79673</v>
      </c>
      <c r="M48">
        <v>3.08</v>
      </c>
      <c r="N48" s="6">
        <f t="shared" si="0"/>
        <v>7503759299.0800009</v>
      </c>
    </row>
    <row r="49" spans="1:14" x14ac:dyDescent="0.35">
      <c r="A49" t="s">
        <v>13</v>
      </c>
      <c r="B49" t="s">
        <v>51</v>
      </c>
      <c r="C49">
        <v>2021</v>
      </c>
      <c r="D49" t="s">
        <v>20</v>
      </c>
      <c r="E49">
        <v>107417.79</v>
      </c>
      <c r="F49">
        <v>54.2</v>
      </c>
      <c r="G49">
        <v>201</v>
      </c>
      <c r="H49">
        <v>176</v>
      </c>
      <c r="I49" t="s">
        <v>32</v>
      </c>
      <c r="J49">
        <v>5</v>
      </c>
      <c r="K49" t="s">
        <v>17</v>
      </c>
      <c r="L49">
        <v>254098</v>
      </c>
      <c r="M49">
        <v>3.37</v>
      </c>
      <c r="N49" s="6">
        <f t="shared" si="0"/>
        <v>27294645603.419998</v>
      </c>
    </row>
    <row r="50" spans="1:14" x14ac:dyDescent="0.35">
      <c r="A50" t="s">
        <v>67</v>
      </c>
      <c r="B50" t="s">
        <v>68</v>
      </c>
      <c r="C50">
        <v>2021</v>
      </c>
      <c r="D50" t="s">
        <v>38</v>
      </c>
      <c r="E50">
        <v>80311.97</v>
      </c>
      <c r="F50">
        <v>74.599999999999994</v>
      </c>
      <c r="G50">
        <v>241</v>
      </c>
      <c r="H50">
        <v>157</v>
      </c>
      <c r="I50" t="s">
        <v>40</v>
      </c>
      <c r="J50">
        <v>5</v>
      </c>
      <c r="K50" t="s">
        <v>20</v>
      </c>
      <c r="L50">
        <v>55803</v>
      </c>
      <c r="M50">
        <v>3.52</v>
      </c>
      <c r="N50" s="6">
        <f t="shared" si="0"/>
        <v>4481648861.9099998</v>
      </c>
    </row>
    <row r="51" spans="1:14" x14ac:dyDescent="0.35">
      <c r="A51" t="s">
        <v>34</v>
      </c>
      <c r="B51" t="s">
        <v>106</v>
      </c>
      <c r="C51">
        <v>2021</v>
      </c>
      <c r="D51" t="s">
        <v>15</v>
      </c>
      <c r="E51">
        <v>165233.4</v>
      </c>
      <c r="F51">
        <v>100.3</v>
      </c>
      <c r="G51">
        <v>329</v>
      </c>
      <c r="H51">
        <v>194</v>
      </c>
      <c r="I51" t="s">
        <v>25</v>
      </c>
      <c r="J51">
        <v>4</v>
      </c>
      <c r="K51" t="s">
        <v>17</v>
      </c>
      <c r="L51">
        <v>35726</v>
      </c>
      <c r="M51">
        <v>3.78</v>
      </c>
      <c r="N51" s="6">
        <f t="shared" si="0"/>
        <v>5903128448.3999996</v>
      </c>
    </row>
    <row r="52" spans="1:14" x14ac:dyDescent="0.35">
      <c r="A52" t="s">
        <v>57</v>
      </c>
      <c r="B52" t="s">
        <v>79</v>
      </c>
      <c r="C52">
        <v>2021</v>
      </c>
      <c r="D52" t="s">
        <v>28</v>
      </c>
      <c r="E52">
        <v>77562.36</v>
      </c>
      <c r="F52">
        <v>104.2</v>
      </c>
      <c r="G52">
        <v>348</v>
      </c>
      <c r="H52">
        <v>156</v>
      </c>
      <c r="I52" t="s">
        <v>32</v>
      </c>
      <c r="J52">
        <v>4</v>
      </c>
      <c r="K52" t="s">
        <v>20</v>
      </c>
      <c r="L52">
        <v>27293</v>
      </c>
      <c r="M52">
        <v>3.54</v>
      </c>
      <c r="N52" s="6">
        <f t="shared" si="0"/>
        <v>2116909491.48</v>
      </c>
    </row>
    <row r="53" spans="1:14" x14ac:dyDescent="0.35">
      <c r="A53" t="s">
        <v>57</v>
      </c>
      <c r="B53" t="s">
        <v>72</v>
      </c>
      <c r="C53">
        <v>2021</v>
      </c>
      <c r="D53" t="s">
        <v>38</v>
      </c>
      <c r="E53">
        <v>63458.62</v>
      </c>
      <c r="F53">
        <v>66.8</v>
      </c>
      <c r="G53">
        <v>253</v>
      </c>
      <c r="H53">
        <v>136</v>
      </c>
      <c r="I53" t="s">
        <v>16</v>
      </c>
      <c r="J53">
        <v>4</v>
      </c>
      <c r="K53" t="s">
        <v>22</v>
      </c>
      <c r="L53">
        <v>76517</v>
      </c>
      <c r="M53">
        <v>3.4</v>
      </c>
      <c r="N53" s="6">
        <f t="shared" si="0"/>
        <v>4855663226.54</v>
      </c>
    </row>
    <row r="54" spans="1:14" x14ac:dyDescent="0.35">
      <c r="A54" t="s">
        <v>29</v>
      </c>
      <c r="B54" t="s">
        <v>59</v>
      </c>
      <c r="C54">
        <v>2021</v>
      </c>
      <c r="D54" t="s">
        <v>43</v>
      </c>
      <c r="E54">
        <v>27945.8</v>
      </c>
      <c r="F54">
        <v>48.4</v>
      </c>
      <c r="G54">
        <v>157</v>
      </c>
      <c r="H54">
        <v>149</v>
      </c>
      <c r="I54" t="s">
        <v>32</v>
      </c>
      <c r="J54">
        <v>5</v>
      </c>
      <c r="K54" t="s">
        <v>47</v>
      </c>
      <c r="L54">
        <v>162791</v>
      </c>
      <c r="M54">
        <v>3.38</v>
      </c>
      <c r="N54" s="6">
        <f t="shared" si="0"/>
        <v>4549324727.8000002</v>
      </c>
    </row>
    <row r="55" spans="1:14" x14ac:dyDescent="0.35">
      <c r="A55" t="s">
        <v>45</v>
      </c>
      <c r="B55" t="s">
        <v>46</v>
      </c>
      <c r="C55">
        <v>2021</v>
      </c>
      <c r="D55" t="s">
        <v>43</v>
      </c>
      <c r="E55">
        <v>73231.02</v>
      </c>
      <c r="F55">
        <v>46.1</v>
      </c>
      <c r="G55">
        <v>166</v>
      </c>
      <c r="H55">
        <v>141</v>
      </c>
      <c r="I55" t="s">
        <v>40</v>
      </c>
      <c r="J55">
        <v>4</v>
      </c>
      <c r="K55" t="s">
        <v>20</v>
      </c>
      <c r="L55">
        <v>227938</v>
      </c>
      <c r="M55">
        <v>3.21</v>
      </c>
      <c r="N55" s="6">
        <f t="shared" si="0"/>
        <v>16692132236.76</v>
      </c>
    </row>
    <row r="56" spans="1:14" x14ac:dyDescent="0.35">
      <c r="A56" t="s">
        <v>29</v>
      </c>
      <c r="B56" t="s">
        <v>31</v>
      </c>
      <c r="C56">
        <v>2021</v>
      </c>
      <c r="D56" t="s">
        <v>43</v>
      </c>
      <c r="E56">
        <v>49771.040000000001</v>
      </c>
      <c r="F56">
        <v>62.5</v>
      </c>
      <c r="G56">
        <v>225</v>
      </c>
      <c r="H56">
        <v>175</v>
      </c>
      <c r="I56" t="s">
        <v>33</v>
      </c>
      <c r="J56">
        <v>3</v>
      </c>
      <c r="K56" t="s">
        <v>22</v>
      </c>
      <c r="L56">
        <v>483023</v>
      </c>
      <c r="M56">
        <v>3.69</v>
      </c>
      <c r="N56" s="6">
        <f t="shared" si="0"/>
        <v>24040557053.920002</v>
      </c>
    </row>
    <row r="57" spans="1:14" x14ac:dyDescent="0.35">
      <c r="A57" t="s">
        <v>23</v>
      </c>
      <c r="B57" t="s">
        <v>82</v>
      </c>
      <c r="C57">
        <v>2021</v>
      </c>
      <c r="D57" t="s">
        <v>43</v>
      </c>
      <c r="E57">
        <v>44183.28</v>
      </c>
      <c r="F57">
        <v>58.8</v>
      </c>
      <c r="G57">
        <v>207</v>
      </c>
      <c r="H57">
        <v>169</v>
      </c>
      <c r="I57" t="s">
        <v>25</v>
      </c>
      <c r="J57">
        <v>5</v>
      </c>
      <c r="K57" t="s">
        <v>22</v>
      </c>
      <c r="L57">
        <v>22786</v>
      </c>
      <c r="M57">
        <v>3.51</v>
      </c>
      <c r="N57" s="6">
        <f t="shared" si="0"/>
        <v>1006760218.0799999</v>
      </c>
    </row>
    <row r="58" spans="1:14" x14ac:dyDescent="0.35">
      <c r="A58" t="s">
        <v>45</v>
      </c>
      <c r="B58" t="s">
        <v>63</v>
      </c>
      <c r="C58">
        <v>2021</v>
      </c>
      <c r="D58" t="s">
        <v>20</v>
      </c>
      <c r="E58">
        <v>32842.629999999997</v>
      </c>
      <c r="F58">
        <v>55.1</v>
      </c>
      <c r="G58">
        <v>180</v>
      </c>
      <c r="H58">
        <v>139</v>
      </c>
      <c r="I58" t="s">
        <v>21</v>
      </c>
      <c r="J58">
        <v>4</v>
      </c>
      <c r="K58" t="s">
        <v>47</v>
      </c>
      <c r="L58">
        <v>173134</v>
      </c>
      <c r="M58">
        <v>3.1</v>
      </c>
      <c r="N58" s="6">
        <f t="shared" si="0"/>
        <v>5686175902.4199991</v>
      </c>
    </row>
    <row r="59" spans="1:14" x14ac:dyDescent="0.35">
      <c r="A59" t="s">
        <v>26</v>
      </c>
      <c r="B59" t="s">
        <v>36</v>
      </c>
      <c r="C59">
        <v>2021</v>
      </c>
      <c r="D59" t="s">
        <v>20</v>
      </c>
      <c r="E59">
        <v>101333.39</v>
      </c>
      <c r="F59">
        <v>70.5</v>
      </c>
      <c r="G59">
        <v>249</v>
      </c>
      <c r="H59">
        <v>170</v>
      </c>
      <c r="I59" t="s">
        <v>25</v>
      </c>
      <c r="J59">
        <v>4</v>
      </c>
      <c r="K59" t="s">
        <v>17</v>
      </c>
      <c r="L59">
        <v>89918</v>
      </c>
      <c r="M59">
        <v>3.29</v>
      </c>
      <c r="N59" s="6">
        <f t="shared" si="0"/>
        <v>9111695762.0200005</v>
      </c>
    </row>
    <row r="60" spans="1:14" x14ac:dyDescent="0.35">
      <c r="A60" t="s">
        <v>45</v>
      </c>
      <c r="B60" t="s">
        <v>63</v>
      </c>
      <c r="C60">
        <v>2021</v>
      </c>
      <c r="D60" t="s">
        <v>15</v>
      </c>
      <c r="E60">
        <v>86937.42</v>
      </c>
      <c r="F60">
        <v>114.7</v>
      </c>
      <c r="G60">
        <v>426</v>
      </c>
      <c r="H60">
        <v>200</v>
      </c>
      <c r="I60" t="s">
        <v>40</v>
      </c>
      <c r="J60">
        <v>5</v>
      </c>
      <c r="K60" t="s">
        <v>20</v>
      </c>
      <c r="L60">
        <v>145646</v>
      </c>
      <c r="M60">
        <v>4.13</v>
      </c>
      <c r="N60" s="6">
        <f t="shared" si="0"/>
        <v>12662087473.32</v>
      </c>
    </row>
    <row r="61" spans="1:14" x14ac:dyDescent="0.35">
      <c r="A61" t="s">
        <v>26</v>
      </c>
      <c r="B61" t="s">
        <v>61</v>
      </c>
      <c r="C61">
        <v>2021</v>
      </c>
      <c r="D61" t="s">
        <v>28</v>
      </c>
      <c r="E61">
        <v>60641.55</v>
      </c>
      <c r="F61">
        <v>109.9</v>
      </c>
      <c r="G61">
        <v>404</v>
      </c>
      <c r="H61">
        <v>168</v>
      </c>
      <c r="I61" t="s">
        <v>21</v>
      </c>
      <c r="J61">
        <v>5</v>
      </c>
      <c r="K61" t="s">
        <v>22</v>
      </c>
      <c r="L61">
        <v>116742</v>
      </c>
      <c r="M61">
        <v>3.9</v>
      </c>
      <c r="N61" s="6">
        <f t="shared" si="0"/>
        <v>7079415830.1000004</v>
      </c>
    </row>
    <row r="62" spans="1:14" x14ac:dyDescent="0.35">
      <c r="A62" t="s">
        <v>45</v>
      </c>
      <c r="B62" t="s">
        <v>63</v>
      </c>
      <c r="C62">
        <v>2021</v>
      </c>
      <c r="D62" t="s">
        <v>38</v>
      </c>
      <c r="E62">
        <v>44708.41</v>
      </c>
      <c r="F62">
        <v>55.8</v>
      </c>
      <c r="G62">
        <v>204</v>
      </c>
      <c r="H62">
        <v>146</v>
      </c>
      <c r="I62" t="s">
        <v>32</v>
      </c>
      <c r="J62">
        <v>4</v>
      </c>
      <c r="K62" t="s">
        <v>22</v>
      </c>
      <c r="L62">
        <v>132992</v>
      </c>
      <c r="M62">
        <v>3.34</v>
      </c>
      <c r="N62" s="6">
        <f t="shared" si="0"/>
        <v>5945860862.7200003</v>
      </c>
    </row>
    <row r="63" spans="1:14" x14ac:dyDescent="0.35">
      <c r="A63" t="s">
        <v>64</v>
      </c>
      <c r="B63" t="s">
        <v>85</v>
      </c>
      <c r="C63">
        <v>2021</v>
      </c>
      <c r="D63" t="s">
        <v>15</v>
      </c>
      <c r="E63">
        <v>122478.25</v>
      </c>
      <c r="F63">
        <v>85.4</v>
      </c>
      <c r="G63">
        <v>288</v>
      </c>
      <c r="H63">
        <v>194</v>
      </c>
      <c r="I63" t="s">
        <v>32</v>
      </c>
      <c r="J63">
        <v>3</v>
      </c>
      <c r="K63" t="s">
        <v>17</v>
      </c>
      <c r="L63">
        <v>61194</v>
      </c>
      <c r="M63">
        <v>3.64</v>
      </c>
      <c r="N63" s="6">
        <f t="shared" si="0"/>
        <v>7494934030.5</v>
      </c>
    </row>
    <row r="64" spans="1:14" x14ac:dyDescent="0.35">
      <c r="A64" t="s">
        <v>29</v>
      </c>
      <c r="B64" t="s">
        <v>39</v>
      </c>
      <c r="C64">
        <v>2021</v>
      </c>
      <c r="D64" t="s">
        <v>20</v>
      </c>
      <c r="E64">
        <v>108109.05</v>
      </c>
      <c r="F64">
        <v>82.6</v>
      </c>
      <c r="G64">
        <v>273</v>
      </c>
      <c r="H64">
        <v>128</v>
      </c>
      <c r="I64" t="s">
        <v>25</v>
      </c>
      <c r="J64">
        <v>4</v>
      </c>
      <c r="K64" t="s">
        <v>17</v>
      </c>
      <c r="L64">
        <v>201131</v>
      </c>
      <c r="M64">
        <v>3.9</v>
      </c>
      <c r="N64" s="6">
        <f t="shared" si="0"/>
        <v>21744081335.549999</v>
      </c>
    </row>
    <row r="65" spans="1:14" x14ac:dyDescent="0.35">
      <c r="A65" t="s">
        <v>13</v>
      </c>
      <c r="B65" t="s">
        <v>56</v>
      </c>
      <c r="C65">
        <v>2021</v>
      </c>
      <c r="D65" t="s">
        <v>28</v>
      </c>
      <c r="E65">
        <v>76214.899999999994</v>
      </c>
      <c r="F65">
        <v>92.3</v>
      </c>
      <c r="G65">
        <v>348</v>
      </c>
      <c r="H65">
        <v>172</v>
      </c>
      <c r="I65" t="s">
        <v>16</v>
      </c>
      <c r="J65">
        <v>5</v>
      </c>
      <c r="K65" t="s">
        <v>20</v>
      </c>
      <c r="L65">
        <v>249899</v>
      </c>
      <c r="M65">
        <v>3.71</v>
      </c>
      <c r="N65" s="6">
        <f t="shared" si="0"/>
        <v>19046027295.099998</v>
      </c>
    </row>
    <row r="66" spans="1:14" x14ac:dyDescent="0.35">
      <c r="A66" t="s">
        <v>29</v>
      </c>
      <c r="B66" t="s">
        <v>39</v>
      </c>
      <c r="C66">
        <v>2021</v>
      </c>
      <c r="D66" t="s">
        <v>38</v>
      </c>
      <c r="E66">
        <v>109935.85</v>
      </c>
      <c r="F66">
        <v>84.2</v>
      </c>
      <c r="G66">
        <v>288</v>
      </c>
      <c r="H66">
        <v>127</v>
      </c>
      <c r="I66" t="s">
        <v>16</v>
      </c>
      <c r="J66">
        <v>4</v>
      </c>
      <c r="K66" t="s">
        <v>17</v>
      </c>
      <c r="L66">
        <v>117148</v>
      </c>
      <c r="M66">
        <v>3.95</v>
      </c>
      <c r="N66" s="6">
        <f t="shared" ref="N66:N129" si="1">E66*L66</f>
        <v>12878764955.800001</v>
      </c>
    </row>
    <row r="67" spans="1:14" x14ac:dyDescent="0.35">
      <c r="A67" t="s">
        <v>29</v>
      </c>
      <c r="B67" t="s">
        <v>30</v>
      </c>
      <c r="C67">
        <v>2021</v>
      </c>
      <c r="D67" t="s">
        <v>43</v>
      </c>
      <c r="E67">
        <v>24979.98</v>
      </c>
      <c r="F67">
        <v>81.099999999999994</v>
      </c>
      <c r="G67">
        <v>271</v>
      </c>
      <c r="H67">
        <v>135</v>
      </c>
      <c r="I67" t="s">
        <v>32</v>
      </c>
      <c r="J67">
        <v>5</v>
      </c>
      <c r="K67" t="s">
        <v>47</v>
      </c>
      <c r="L67">
        <v>132068</v>
      </c>
      <c r="M67">
        <v>3.73</v>
      </c>
      <c r="N67" s="6">
        <f t="shared" si="1"/>
        <v>3299055998.6399999</v>
      </c>
    </row>
    <row r="68" spans="1:14" x14ac:dyDescent="0.35">
      <c r="A68" t="s">
        <v>45</v>
      </c>
      <c r="B68" t="s">
        <v>46</v>
      </c>
      <c r="C68">
        <v>2021</v>
      </c>
      <c r="D68" t="s">
        <v>38</v>
      </c>
      <c r="E68">
        <v>53782.86</v>
      </c>
      <c r="F68">
        <v>84.7</v>
      </c>
      <c r="G68">
        <v>314</v>
      </c>
      <c r="H68">
        <v>169</v>
      </c>
      <c r="I68" t="s">
        <v>25</v>
      </c>
      <c r="J68">
        <v>4</v>
      </c>
      <c r="K68" t="s">
        <v>22</v>
      </c>
      <c r="L68">
        <v>162990</v>
      </c>
      <c r="M68">
        <v>3.75</v>
      </c>
      <c r="N68" s="6">
        <f t="shared" si="1"/>
        <v>8766068351.3999996</v>
      </c>
    </row>
    <row r="69" spans="1:14" x14ac:dyDescent="0.35">
      <c r="A69" t="s">
        <v>64</v>
      </c>
      <c r="B69" t="s">
        <v>85</v>
      </c>
      <c r="C69">
        <v>2021</v>
      </c>
      <c r="D69" t="s">
        <v>43</v>
      </c>
      <c r="E69">
        <v>82329.27</v>
      </c>
      <c r="F69">
        <v>71.8</v>
      </c>
      <c r="G69">
        <v>258</v>
      </c>
      <c r="H69">
        <v>150</v>
      </c>
      <c r="I69" t="s">
        <v>32</v>
      </c>
      <c r="J69">
        <v>4</v>
      </c>
      <c r="K69" t="s">
        <v>20</v>
      </c>
      <c r="L69">
        <v>59553</v>
      </c>
      <c r="M69">
        <v>3.74</v>
      </c>
      <c r="N69" s="6">
        <f t="shared" si="1"/>
        <v>4902955016.3100004</v>
      </c>
    </row>
    <row r="70" spans="1:14" x14ac:dyDescent="0.35">
      <c r="A70" t="s">
        <v>45</v>
      </c>
      <c r="B70" t="s">
        <v>48</v>
      </c>
      <c r="C70">
        <v>2021</v>
      </c>
      <c r="D70" t="s">
        <v>15</v>
      </c>
      <c r="E70">
        <v>91712.12</v>
      </c>
      <c r="F70">
        <v>80.099999999999994</v>
      </c>
      <c r="G70">
        <v>268</v>
      </c>
      <c r="H70">
        <v>193</v>
      </c>
      <c r="I70" t="s">
        <v>32</v>
      </c>
      <c r="J70">
        <v>5</v>
      </c>
      <c r="K70" t="s">
        <v>20</v>
      </c>
      <c r="L70">
        <v>177248</v>
      </c>
      <c r="M70">
        <v>3.63</v>
      </c>
      <c r="N70" s="6">
        <f t="shared" si="1"/>
        <v>16255789845.759998</v>
      </c>
    </row>
    <row r="71" spans="1:14" x14ac:dyDescent="0.35">
      <c r="A71" t="s">
        <v>64</v>
      </c>
      <c r="B71" t="s">
        <v>95</v>
      </c>
      <c r="C71">
        <v>2021</v>
      </c>
      <c r="D71" t="s">
        <v>20</v>
      </c>
      <c r="E71">
        <v>139020.51</v>
      </c>
      <c r="F71">
        <v>63.5</v>
      </c>
      <c r="G71">
        <v>232</v>
      </c>
      <c r="H71">
        <v>131</v>
      </c>
      <c r="I71" t="s">
        <v>16</v>
      </c>
      <c r="J71">
        <v>5</v>
      </c>
      <c r="K71" t="s">
        <v>17</v>
      </c>
      <c r="L71">
        <v>48199</v>
      </c>
      <c r="M71">
        <v>3.44</v>
      </c>
      <c r="N71" s="6">
        <f t="shared" si="1"/>
        <v>6700649561.4900007</v>
      </c>
    </row>
    <row r="72" spans="1:14" x14ac:dyDescent="0.35">
      <c r="A72" t="s">
        <v>13</v>
      </c>
      <c r="B72" t="s">
        <v>56</v>
      </c>
      <c r="C72">
        <v>2021</v>
      </c>
      <c r="D72" t="s">
        <v>43</v>
      </c>
      <c r="E72">
        <v>60392.45</v>
      </c>
      <c r="F72">
        <v>68</v>
      </c>
      <c r="G72">
        <v>225</v>
      </c>
      <c r="H72">
        <v>137</v>
      </c>
      <c r="I72" t="s">
        <v>16</v>
      </c>
      <c r="J72">
        <v>3</v>
      </c>
      <c r="K72" t="s">
        <v>22</v>
      </c>
      <c r="L72">
        <v>256880</v>
      </c>
      <c r="M72">
        <v>3.23</v>
      </c>
      <c r="N72" s="6">
        <f t="shared" si="1"/>
        <v>15513612556</v>
      </c>
    </row>
    <row r="73" spans="1:14" x14ac:dyDescent="0.35">
      <c r="A73" t="s">
        <v>29</v>
      </c>
      <c r="B73" t="s">
        <v>59</v>
      </c>
      <c r="C73">
        <v>2021</v>
      </c>
      <c r="D73" t="s">
        <v>20</v>
      </c>
      <c r="E73">
        <v>97027.76</v>
      </c>
      <c r="F73">
        <v>71.400000000000006</v>
      </c>
      <c r="G73">
        <v>235</v>
      </c>
      <c r="H73">
        <v>150</v>
      </c>
      <c r="I73" t="s">
        <v>25</v>
      </c>
      <c r="J73">
        <v>4</v>
      </c>
      <c r="K73" t="s">
        <v>20</v>
      </c>
      <c r="L73">
        <v>229836</v>
      </c>
      <c r="M73">
        <v>3.91</v>
      </c>
      <c r="N73" s="6">
        <f t="shared" si="1"/>
        <v>22300472247.360001</v>
      </c>
    </row>
    <row r="74" spans="1:14" x14ac:dyDescent="0.35">
      <c r="A74" t="s">
        <v>26</v>
      </c>
      <c r="B74" t="s">
        <v>36</v>
      </c>
      <c r="C74">
        <v>2021</v>
      </c>
      <c r="D74" t="s">
        <v>15</v>
      </c>
      <c r="E74">
        <v>51783.96</v>
      </c>
      <c r="F74">
        <v>99.9</v>
      </c>
      <c r="G74">
        <v>345</v>
      </c>
      <c r="H74">
        <v>197</v>
      </c>
      <c r="I74" t="s">
        <v>21</v>
      </c>
      <c r="J74">
        <v>5</v>
      </c>
      <c r="K74" t="s">
        <v>22</v>
      </c>
      <c r="L74">
        <v>94100</v>
      </c>
      <c r="M74">
        <v>3.93</v>
      </c>
      <c r="N74" s="6">
        <f t="shared" si="1"/>
        <v>4872870636</v>
      </c>
    </row>
    <row r="75" spans="1:14" x14ac:dyDescent="0.35">
      <c r="A75" t="s">
        <v>64</v>
      </c>
      <c r="B75" t="s">
        <v>70</v>
      </c>
      <c r="C75">
        <v>2021</v>
      </c>
      <c r="D75" t="s">
        <v>28</v>
      </c>
      <c r="E75">
        <v>102095.14</v>
      </c>
      <c r="F75">
        <v>106.5</v>
      </c>
      <c r="G75">
        <v>364</v>
      </c>
      <c r="H75">
        <v>178</v>
      </c>
      <c r="I75" t="s">
        <v>33</v>
      </c>
      <c r="J75">
        <v>4</v>
      </c>
      <c r="K75" t="s">
        <v>17</v>
      </c>
      <c r="L75">
        <v>29444</v>
      </c>
      <c r="M75">
        <v>3.44</v>
      </c>
      <c r="N75" s="6">
        <f t="shared" si="1"/>
        <v>3006089302.1599998</v>
      </c>
    </row>
    <row r="76" spans="1:14" x14ac:dyDescent="0.35">
      <c r="A76" t="s">
        <v>67</v>
      </c>
      <c r="B76" t="s">
        <v>89</v>
      </c>
      <c r="C76">
        <v>2021</v>
      </c>
      <c r="D76" t="s">
        <v>15</v>
      </c>
      <c r="E76">
        <v>119078.45</v>
      </c>
      <c r="F76">
        <v>118.6</v>
      </c>
      <c r="G76">
        <v>396</v>
      </c>
      <c r="H76">
        <v>200</v>
      </c>
      <c r="I76" t="s">
        <v>33</v>
      </c>
      <c r="J76">
        <v>5</v>
      </c>
      <c r="K76" t="s">
        <v>17</v>
      </c>
      <c r="L76">
        <v>62009</v>
      </c>
      <c r="M76">
        <v>3.84</v>
      </c>
      <c r="N76" s="6">
        <f t="shared" si="1"/>
        <v>7383935606.0500002</v>
      </c>
    </row>
    <row r="77" spans="1:14" x14ac:dyDescent="0.35">
      <c r="A77" t="s">
        <v>45</v>
      </c>
      <c r="B77" t="s">
        <v>77</v>
      </c>
      <c r="C77">
        <v>2021</v>
      </c>
      <c r="D77" t="s">
        <v>15</v>
      </c>
      <c r="E77">
        <v>43985.87</v>
      </c>
      <c r="F77">
        <v>97.2</v>
      </c>
      <c r="G77">
        <v>348</v>
      </c>
      <c r="H77">
        <v>200</v>
      </c>
      <c r="I77" t="s">
        <v>33</v>
      </c>
      <c r="J77">
        <v>4</v>
      </c>
      <c r="K77" t="s">
        <v>22</v>
      </c>
      <c r="L77">
        <v>213365</v>
      </c>
      <c r="M77">
        <v>3.76</v>
      </c>
      <c r="N77" s="6">
        <f t="shared" si="1"/>
        <v>9385045152.5500011</v>
      </c>
    </row>
    <row r="78" spans="1:14" x14ac:dyDescent="0.35">
      <c r="A78" t="s">
        <v>73</v>
      </c>
      <c r="B78" t="s">
        <v>91</v>
      </c>
      <c r="C78">
        <v>2021</v>
      </c>
      <c r="D78" t="s">
        <v>28</v>
      </c>
      <c r="E78">
        <v>55221.99</v>
      </c>
      <c r="F78">
        <v>108.2</v>
      </c>
      <c r="G78">
        <v>383</v>
      </c>
      <c r="H78">
        <v>187</v>
      </c>
      <c r="I78" t="s">
        <v>33</v>
      </c>
      <c r="J78">
        <v>4</v>
      </c>
      <c r="K78" t="s">
        <v>22</v>
      </c>
      <c r="L78">
        <v>7302</v>
      </c>
      <c r="M78">
        <v>3.7</v>
      </c>
      <c r="N78" s="6">
        <f t="shared" si="1"/>
        <v>403230970.97999996</v>
      </c>
    </row>
    <row r="79" spans="1:14" x14ac:dyDescent="0.35">
      <c r="A79" t="s">
        <v>23</v>
      </c>
      <c r="B79" t="s">
        <v>99</v>
      </c>
      <c r="C79">
        <v>2021</v>
      </c>
      <c r="D79" t="s">
        <v>20</v>
      </c>
      <c r="E79">
        <v>53395.89</v>
      </c>
      <c r="F79">
        <v>42.6</v>
      </c>
      <c r="G79">
        <v>150</v>
      </c>
      <c r="H79">
        <v>163</v>
      </c>
      <c r="I79" t="s">
        <v>40</v>
      </c>
      <c r="J79">
        <v>4</v>
      </c>
      <c r="K79" t="s">
        <v>22</v>
      </c>
      <c r="L79">
        <v>1550</v>
      </c>
      <c r="M79">
        <v>3.22</v>
      </c>
      <c r="N79" s="6">
        <f t="shared" si="1"/>
        <v>82763629.5</v>
      </c>
    </row>
    <row r="80" spans="1:14" x14ac:dyDescent="0.35">
      <c r="A80" t="s">
        <v>26</v>
      </c>
      <c r="B80" t="s">
        <v>52</v>
      </c>
      <c r="C80">
        <v>2021</v>
      </c>
      <c r="D80" t="s">
        <v>15</v>
      </c>
      <c r="E80">
        <v>106510.25</v>
      </c>
      <c r="F80">
        <v>75.099999999999994</v>
      </c>
      <c r="G80">
        <v>275</v>
      </c>
      <c r="H80">
        <v>200</v>
      </c>
      <c r="I80" t="s">
        <v>25</v>
      </c>
      <c r="J80">
        <v>5</v>
      </c>
      <c r="K80" t="s">
        <v>17</v>
      </c>
      <c r="L80">
        <v>120403</v>
      </c>
      <c r="M80">
        <v>3.37</v>
      </c>
      <c r="N80" s="6">
        <f t="shared" si="1"/>
        <v>12824153630.75</v>
      </c>
    </row>
    <row r="81" spans="1:14" x14ac:dyDescent="0.35">
      <c r="A81" t="s">
        <v>34</v>
      </c>
      <c r="B81" t="s">
        <v>106</v>
      </c>
      <c r="C81">
        <v>2021</v>
      </c>
      <c r="D81" t="s">
        <v>43</v>
      </c>
      <c r="E81">
        <v>115665.62</v>
      </c>
      <c r="F81">
        <v>57.4</v>
      </c>
      <c r="G81">
        <v>162</v>
      </c>
      <c r="H81">
        <v>169</v>
      </c>
      <c r="I81" t="s">
        <v>32</v>
      </c>
      <c r="J81">
        <v>4</v>
      </c>
      <c r="K81" t="s">
        <v>17</v>
      </c>
      <c r="L81">
        <v>25083</v>
      </c>
      <c r="M81">
        <v>3.26</v>
      </c>
      <c r="N81" s="6">
        <f t="shared" si="1"/>
        <v>2901240746.46</v>
      </c>
    </row>
    <row r="82" spans="1:14" x14ac:dyDescent="0.35">
      <c r="A82" t="s">
        <v>23</v>
      </c>
      <c r="B82" t="s">
        <v>82</v>
      </c>
      <c r="C82">
        <v>2021</v>
      </c>
      <c r="D82" t="s">
        <v>38</v>
      </c>
      <c r="E82">
        <v>40119.64</v>
      </c>
      <c r="F82">
        <v>79</v>
      </c>
      <c r="G82">
        <v>282</v>
      </c>
      <c r="H82">
        <v>141</v>
      </c>
      <c r="I82" t="s">
        <v>21</v>
      </c>
      <c r="J82">
        <v>5</v>
      </c>
      <c r="K82" t="s">
        <v>22</v>
      </c>
      <c r="L82">
        <v>25340</v>
      </c>
      <c r="M82">
        <v>3.36</v>
      </c>
      <c r="N82" s="6">
        <f t="shared" si="1"/>
        <v>1016631677.6</v>
      </c>
    </row>
    <row r="83" spans="1:14" x14ac:dyDescent="0.35">
      <c r="A83" t="s">
        <v>64</v>
      </c>
      <c r="B83" t="s">
        <v>65</v>
      </c>
      <c r="C83">
        <v>2021</v>
      </c>
      <c r="D83" t="s">
        <v>28</v>
      </c>
      <c r="E83">
        <v>75380.59</v>
      </c>
      <c r="F83">
        <v>109</v>
      </c>
      <c r="G83">
        <v>366</v>
      </c>
      <c r="H83">
        <v>181</v>
      </c>
      <c r="I83" t="s">
        <v>21</v>
      </c>
      <c r="J83">
        <v>4</v>
      </c>
      <c r="K83" t="s">
        <v>20</v>
      </c>
      <c r="L83">
        <v>62356</v>
      </c>
      <c r="M83">
        <v>3.91</v>
      </c>
      <c r="N83" s="6">
        <f t="shared" si="1"/>
        <v>4700432070.04</v>
      </c>
    </row>
    <row r="84" spans="1:14" x14ac:dyDescent="0.35">
      <c r="A84" t="s">
        <v>26</v>
      </c>
      <c r="B84" t="s">
        <v>61</v>
      </c>
      <c r="C84">
        <v>2021</v>
      </c>
      <c r="D84" t="s">
        <v>43</v>
      </c>
      <c r="E84">
        <v>32210.63</v>
      </c>
      <c r="F84">
        <v>78.099999999999994</v>
      </c>
      <c r="G84">
        <v>270</v>
      </c>
      <c r="H84">
        <v>137</v>
      </c>
      <c r="I84" t="s">
        <v>21</v>
      </c>
      <c r="J84">
        <v>5</v>
      </c>
      <c r="K84" t="s">
        <v>47</v>
      </c>
      <c r="L84">
        <v>60096</v>
      </c>
      <c r="M84">
        <v>3.21</v>
      </c>
      <c r="N84" s="6">
        <f t="shared" si="1"/>
        <v>1935730020.48</v>
      </c>
    </row>
    <row r="85" spans="1:14" x14ac:dyDescent="0.35">
      <c r="A85" t="s">
        <v>45</v>
      </c>
      <c r="B85" t="s">
        <v>46</v>
      </c>
      <c r="C85">
        <v>2021</v>
      </c>
      <c r="D85" t="s">
        <v>15</v>
      </c>
      <c r="E85">
        <v>106411.54</v>
      </c>
      <c r="F85">
        <v>95.1</v>
      </c>
      <c r="G85">
        <v>346</v>
      </c>
      <c r="H85">
        <v>200</v>
      </c>
      <c r="I85" t="s">
        <v>25</v>
      </c>
      <c r="J85">
        <v>5</v>
      </c>
      <c r="K85" t="s">
        <v>17</v>
      </c>
      <c r="L85">
        <v>180190</v>
      </c>
      <c r="M85">
        <v>3.58</v>
      </c>
      <c r="N85" s="6">
        <f t="shared" si="1"/>
        <v>19174295392.599998</v>
      </c>
    </row>
    <row r="86" spans="1:14" x14ac:dyDescent="0.35">
      <c r="A86" t="s">
        <v>75</v>
      </c>
      <c r="B86" t="s">
        <v>113</v>
      </c>
      <c r="C86">
        <v>2021</v>
      </c>
      <c r="D86" t="s">
        <v>43</v>
      </c>
      <c r="E86">
        <v>75009.919999999998</v>
      </c>
      <c r="F86">
        <v>69.099999999999994</v>
      </c>
      <c r="G86">
        <v>263</v>
      </c>
      <c r="H86">
        <v>141</v>
      </c>
      <c r="I86" t="s">
        <v>16</v>
      </c>
      <c r="J86">
        <v>5</v>
      </c>
      <c r="K86" t="s">
        <v>20</v>
      </c>
      <c r="L86">
        <v>1899</v>
      </c>
      <c r="M86">
        <v>3.57</v>
      </c>
      <c r="N86" s="6">
        <f t="shared" si="1"/>
        <v>142443838.07999998</v>
      </c>
    </row>
    <row r="87" spans="1:14" x14ac:dyDescent="0.35">
      <c r="A87" t="s">
        <v>13</v>
      </c>
      <c r="B87" t="s">
        <v>56</v>
      </c>
      <c r="C87">
        <v>2021</v>
      </c>
      <c r="D87" t="s">
        <v>15</v>
      </c>
      <c r="E87">
        <v>102347.9</v>
      </c>
      <c r="F87">
        <v>83.8</v>
      </c>
      <c r="G87">
        <v>290</v>
      </c>
      <c r="H87">
        <v>200</v>
      </c>
      <c r="I87" t="s">
        <v>21</v>
      </c>
      <c r="J87">
        <v>5</v>
      </c>
      <c r="K87" t="s">
        <v>17</v>
      </c>
      <c r="L87">
        <v>251849</v>
      </c>
      <c r="M87">
        <v>3.65</v>
      </c>
      <c r="N87" s="6">
        <f t="shared" si="1"/>
        <v>25776216267.099998</v>
      </c>
    </row>
    <row r="88" spans="1:14" x14ac:dyDescent="0.35">
      <c r="A88" t="s">
        <v>45</v>
      </c>
      <c r="B88" t="s">
        <v>54</v>
      </c>
      <c r="C88">
        <v>2021</v>
      </c>
      <c r="D88" t="s">
        <v>38</v>
      </c>
      <c r="E88">
        <v>24412.01</v>
      </c>
      <c r="F88">
        <v>82.7</v>
      </c>
      <c r="G88">
        <v>290</v>
      </c>
      <c r="H88">
        <v>152</v>
      </c>
      <c r="I88" t="s">
        <v>16</v>
      </c>
      <c r="J88">
        <v>5</v>
      </c>
      <c r="K88" t="s">
        <v>47</v>
      </c>
      <c r="L88">
        <v>206262</v>
      </c>
      <c r="M88">
        <v>3.68</v>
      </c>
      <c r="N88" s="6">
        <f t="shared" si="1"/>
        <v>5035270006.6199999</v>
      </c>
    </row>
    <row r="89" spans="1:14" x14ac:dyDescent="0.35">
      <c r="A89" t="s">
        <v>80</v>
      </c>
      <c r="B89" t="s">
        <v>81</v>
      </c>
      <c r="C89">
        <v>2021</v>
      </c>
      <c r="D89" t="s">
        <v>43</v>
      </c>
      <c r="E89">
        <v>163150.51999999999</v>
      </c>
      <c r="F89">
        <v>73.900000000000006</v>
      </c>
      <c r="G89">
        <v>281</v>
      </c>
      <c r="H89">
        <v>137</v>
      </c>
      <c r="I89" t="s">
        <v>25</v>
      </c>
      <c r="J89">
        <v>5</v>
      </c>
      <c r="K89" t="s">
        <v>17</v>
      </c>
      <c r="L89">
        <v>2340</v>
      </c>
      <c r="M89">
        <v>4.03</v>
      </c>
      <c r="N89" s="6">
        <f t="shared" si="1"/>
        <v>381772216.79999995</v>
      </c>
    </row>
    <row r="90" spans="1:14" x14ac:dyDescent="0.35">
      <c r="A90" t="s">
        <v>26</v>
      </c>
      <c r="B90" t="s">
        <v>96</v>
      </c>
      <c r="C90">
        <v>2021</v>
      </c>
      <c r="D90" t="s">
        <v>20</v>
      </c>
      <c r="E90">
        <v>91322.04</v>
      </c>
      <c r="F90">
        <v>65.900000000000006</v>
      </c>
      <c r="G90">
        <v>229</v>
      </c>
      <c r="H90">
        <v>156</v>
      </c>
      <c r="I90" t="s">
        <v>21</v>
      </c>
      <c r="J90">
        <v>4</v>
      </c>
      <c r="K90" t="s">
        <v>20</v>
      </c>
      <c r="L90">
        <v>103135</v>
      </c>
      <c r="M90">
        <v>3.43</v>
      </c>
      <c r="N90" s="6">
        <f t="shared" si="1"/>
        <v>9418498595.3999996</v>
      </c>
    </row>
    <row r="91" spans="1:14" x14ac:dyDescent="0.35">
      <c r="A91" t="s">
        <v>29</v>
      </c>
      <c r="B91" t="s">
        <v>31</v>
      </c>
      <c r="C91">
        <v>2021</v>
      </c>
      <c r="D91" t="s">
        <v>43</v>
      </c>
      <c r="E91">
        <v>116565.3</v>
      </c>
      <c r="F91">
        <v>80.7</v>
      </c>
      <c r="G91">
        <v>282</v>
      </c>
      <c r="H91">
        <v>136</v>
      </c>
      <c r="I91" t="s">
        <v>40</v>
      </c>
      <c r="J91">
        <v>5</v>
      </c>
      <c r="K91" t="s">
        <v>17</v>
      </c>
      <c r="L91">
        <v>458264</v>
      </c>
      <c r="M91">
        <v>3.95</v>
      </c>
      <c r="N91" s="6">
        <f t="shared" si="1"/>
        <v>53417680639.200005</v>
      </c>
    </row>
    <row r="92" spans="1:14" x14ac:dyDescent="0.35">
      <c r="A92" t="s">
        <v>64</v>
      </c>
      <c r="B92" t="s">
        <v>70</v>
      </c>
      <c r="C92">
        <v>2021</v>
      </c>
      <c r="D92" t="s">
        <v>20</v>
      </c>
      <c r="E92">
        <v>119496.22</v>
      </c>
      <c r="F92">
        <v>73.8</v>
      </c>
      <c r="G92">
        <v>254</v>
      </c>
      <c r="H92">
        <v>133</v>
      </c>
      <c r="I92" t="s">
        <v>25</v>
      </c>
      <c r="J92">
        <v>5</v>
      </c>
      <c r="K92" t="s">
        <v>17</v>
      </c>
      <c r="L92">
        <v>47944</v>
      </c>
      <c r="M92">
        <v>3.44</v>
      </c>
      <c r="N92" s="6">
        <f t="shared" si="1"/>
        <v>5729126771.6800003</v>
      </c>
    </row>
    <row r="93" spans="1:14" x14ac:dyDescent="0.35">
      <c r="A93" t="s">
        <v>29</v>
      </c>
      <c r="B93" t="s">
        <v>31</v>
      </c>
      <c r="C93">
        <v>2021</v>
      </c>
      <c r="D93" t="s">
        <v>38</v>
      </c>
      <c r="E93">
        <v>59816.02</v>
      </c>
      <c r="F93">
        <v>58.9</v>
      </c>
      <c r="G93">
        <v>204</v>
      </c>
      <c r="H93">
        <v>157</v>
      </c>
      <c r="I93" t="s">
        <v>25</v>
      </c>
      <c r="J93">
        <v>4</v>
      </c>
      <c r="K93" t="s">
        <v>22</v>
      </c>
      <c r="L93">
        <v>446207</v>
      </c>
      <c r="M93">
        <v>3.67</v>
      </c>
      <c r="N93" s="6">
        <f t="shared" si="1"/>
        <v>26690326836.139999</v>
      </c>
    </row>
    <row r="94" spans="1:14" x14ac:dyDescent="0.35">
      <c r="A94" t="s">
        <v>45</v>
      </c>
      <c r="B94" t="s">
        <v>46</v>
      </c>
      <c r="C94">
        <v>2021</v>
      </c>
      <c r="D94" t="s">
        <v>15</v>
      </c>
      <c r="E94">
        <v>99786.36</v>
      </c>
      <c r="F94">
        <v>108.9</v>
      </c>
      <c r="G94">
        <v>369</v>
      </c>
      <c r="H94">
        <v>200</v>
      </c>
      <c r="I94" t="s">
        <v>40</v>
      </c>
      <c r="J94">
        <v>5</v>
      </c>
      <c r="K94" t="s">
        <v>20</v>
      </c>
      <c r="L94">
        <v>126447</v>
      </c>
      <c r="M94">
        <v>3.92</v>
      </c>
      <c r="N94" s="6">
        <f t="shared" si="1"/>
        <v>12617685862.92</v>
      </c>
    </row>
    <row r="95" spans="1:14" x14ac:dyDescent="0.35">
      <c r="A95" t="s">
        <v>64</v>
      </c>
      <c r="B95" t="s">
        <v>85</v>
      </c>
      <c r="C95">
        <v>2021</v>
      </c>
      <c r="D95" t="s">
        <v>28</v>
      </c>
      <c r="E95">
        <v>86702.14</v>
      </c>
      <c r="F95">
        <v>97.3</v>
      </c>
      <c r="G95">
        <v>331</v>
      </c>
      <c r="H95">
        <v>176</v>
      </c>
      <c r="I95" t="s">
        <v>21</v>
      </c>
      <c r="J95">
        <v>3</v>
      </c>
      <c r="K95" t="s">
        <v>20</v>
      </c>
      <c r="L95">
        <v>40089</v>
      </c>
      <c r="M95">
        <v>3.69</v>
      </c>
      <c r="N95" s="6">
        <f t="shared" si="1"/>
        <v>3475802090.46</v>
      </c>
    </row>
    <row r="96" spans="1:14" x14ac:dyDescent="0.35">
      <c r="A96" t="s">
        <v>29</v>
      </c>
      <c r="B96" t="s">
        <v>31</v>
      </c>
      <c r="C96">
        <v>2021</v>
      </c>
      <c r="D96" t="s">
        <v>20</v>
      </c>
      <c r="E96">
        <v>60365.37</v>
      </c>
      <c r="F96">
        <v>70.3</v>
      </c>
      <c r="G96">
        <v>225</v>
      </c>
      <c r="H96">
        <v>155</v>
      </c>
      <c r="I96" t="s">
        <v>40</v>
      </c>
      <c r="J96">
        <v>5</v>
      </c>
      <c r="K96" t="s">
        <v>22</v>
      </c>
      <c r="L96">
        <v>438670</v>
      </c>
      <c r="M96">
        <v>3.68</v>
      </c>
      <c r="N96" s="6">
        <f t="shared" si="1"/>
        <v>26480476857.900002</v>
      </c>
    </row>
    <row r="97" spans="1:14" x14ac:dyDescent="0.35">
      <c r="A97" t="s">
        <v>49</v>
      </c>
      <c r="B97" t="s">
        <v>71</v>
      </c>
      <c r="C97">
        <v>2021</v>
      </c>
      <c r="D97" t="s">
        <v>43</v>
      </c>
      <c r="E97">
        <v>33847.360000000001</v>
      </c>
      <c r="F97">
        <v>58.9</v>
      </c>
      <c r="G97">
        <v>209</v>
      </c>
      <c r="H97">
        <v>158</v>
      </c>
      <c r="I97" t="s">
        <v>40</v>
      </c>
      <c r="J97">
        <v>3</v>
      </c>
      <c r="K97" t="s">
        <v>47</v>
      </c>
      <c r="L97">
        <v>145242</v>
      </c>
      <c r="M97">
        <v>3.32</v>
      </c>
      <c r="N97" s="6">
        <f t="shared" si="1"/>
        <v>4916058261.1199999</v>
      </c>
    </row>
    <row r="98" spans="1:14" x14ac:dyDescent="0.35">
      <c r="A98" t="s">
        <v>49</v>
      </c>
      <c r="B98" t="s">
        <v>71</v>
      </c>
      <c r="C98">
        <v>2021</v>
      </c>
      <c r="D98" t="s">
        <v>15</v>
      </c>
      <c r="E98">
        <v>54289.29</v>
      </c>
      <c r="F98">
        <v>101.8</v>
      </c>
      <c r="G98">
        <v>323</v>
      </c>
      <c r="H98">
        <v>196</v>
      </c>
      <c r="I98" t="s">
        <v>32</v>
      </c>
      <c r="J98">
        <v>4</v>
      </c>
      <c r="K98" t="s">
        <v>22</v>
      </c>
      <c r="L98">
        <v>110889</v>
      </c>
      <c r="M98">
        <v>3.69</v>
      </c>
      <c r="N98" s="6">
        <f t="shared" si="1"/>
        <v>6020085078.8100004</v>
      </c>
    </row>
    <row r="99" spans="1:14" x14ac:dyDescent="0.35">
      <c r="A99" t="s">
        <v>64</v>
      </c>
      <c r="B99" t="s">
        <v>65</v>
      </c>
      <c r="C99">
        <v>2021</v>
      </c>
      <c r="D99" t="s">
        <v>38</v>
      </c>
      <c r="E99">
        <v>76431.360000000001</v>
      </c>
      <c r="F99">
        <v>47</v>
      </c>
      <c r="G99">
        <v>150</v>
      </c>
      <c r="H99">
        <v>160</v>
      </c>
      <c r="I99" t="s">
        <v>40</v>
      </c>
      <c r="J99">
        <v>4</v>
      </c>
      <c r="K99" t="s">
        <v>20</v>
      </c>
      <c r="L99">
        <v>30267</v>
      </c>
      <c r="M99">
        <v>3.08</v>
      </c>
      <c r="N99" s="6">
        <f t="shared" si="1"/>
        <v>2313347973.1199999</v>
      </c>
    </row>
    <row r="100" spans="1:14" x14ac:dyDescent="0.35">
      <c r="A100" t="s">
        <v>13</v>
      </c>
      <c r="B100" t="s">
        <v>51</v>
      </c>
      <c r="C100">
        <v>2021</v>
      </c>
      <c r="D100" t="s">
        <v>20</v>
      </c>
      <c r="E100">
        <v>105115.96</v>
      </c>
      <c r="F100">
        <v>73.099999999999994</v>
      </c>
      <c r="G100">
        <v>242</v>
      </c>
      <c r="H100">
        <v>143</v>
      </c>
      <c r="I100" t="s">
        <v>16</v>
      </c>
      <c r="J100">
        <v>4</v>
      </c>
      <c r="K100" t="s">
        <v>17</v>
      </c>
      <c r="L100">
        <v>297514</v>
      </c>
      <c r="M100">
        <v>3.44</v>
      </c>
      <c r="N100" s="6">
        <f t="shared" si="1"/>
        <v>31273469723.440002</v>
      </c>
    </row>
    <row r="101" spans="1:14" x14ac:dyDescent="0.35">
      <c r="A101" t="s">
        <v>13</v>
      </c>
      <c r="B101" t="s">
        <v>55</v>
      </c>
      <c r="C101">
        <v>2021</v>
      </c>
      <c r="D101" t="s">
        <v>28</v>
      </c>
      <c r="E101">
        <v>44741.31</v>
      </c>
      <c r="F101">
        <v>93.3</v>
      </c>
      <c r="G101">
        <v>312</v>
      </c>
      <c r="H101">
        <v>186</v>
      </c>
      <c r="I101" t="s">
        <v>40</v>
      </c>
      <c r="J101">
        <v>5</v>
      </c>
      <c r="K101" t="s">
        <v>22</v>
      </c>
      <c r="L101">
        <v>254746</v>
      </c>
      <c r="M101">
        <v>3.41</v>
      </c>
      <c r="N101" s="6">
        <f t="shared" si="1"/>
        <v>11397669757.26</v>
      </c>
    </row>
    <row r="102" spans="1:14" x14ac:dyDescent="0.35">
      <c r="A102" t="s">
        <v>45</v>
      </c>
      <c r="B102" t="s">
        <v>88</v>
      </c>
      <c r="C102">
        <v>2021</v>
      </c>
      <c r="D102" t="s">
        <v>38</v>
      </c>
      <c r="E102">
        <v>25493.200000000001</v>
      </c>
      <c r="F102">
        <v>79</v>
      </c>
      <c r="G102">
        <v>290</v>
      </c>
      <c r="H102">
        <v>147</v>
      </c>
      <c r="I102" t="s">
        <v>21</v>
      </c>
      <c r="J102">
        <v>4</v>
      </c>
      <c r="K102" t="s">
        <v>47</v>
      </c>
      <c r="L102">
        <v>203716</v>
      </c>
      <c r="M102">
        <v>3.59</v>
      </c>
      <c r="N102" s="6">
        <f t="shared" si="1"/>
        <v>5193372731.1999998</v>
      </c>
    </row>
    <row r="103" spans="1:14" x14ac:dyDescent="0.35">
      <c r="A103" t="s">
        <v>13</v>
      </c>
      <c r="B103" t="s">
        <v>14</v>
      </c>
      <c r="C103">
        <v>2021</v>
      </c>
      <c r="D103" t="s">
        <v>28</v>
      </c>
      <c r="E103">
        <v>35869.49</v>
      </c>
      <c r="F103">
        <v>82.6</v>
      </c>
      <c r="G103">
        <v>267</v>
      </c>
      <c r="H103">
        <v>165</v>
      </c>
      <c r="I103" t="s">
        <v>16</v>
      </c>
      <c r="J103">
        <v>3</v>
      </c>
      <c r="K103" t="s">
        <v>22</v>
      </c>
      <c r="L103">
        <v>202031</v>
      </c>
      <c r="M103">
        <v>3.79</v>
      </c>
      <c r="N103" s="6">
        <f t="shared" si="1"/>
        <v>7246748934.1899996</v>
      </c>
    </row>
    <row r="104" spans="1:14" x14ac:dyDescent="0.35">
      <c r="A104" t="s">
        <v>29</v>
      </c>
      <c r="B104" t="s">
        <v>39</v>
      </c>
      <c r="C104">
        <v>2021</v>
      </c>
      <c r="D104" t="s">
        <v>20</v>
      </c>
      <c r="E104">
        <v>143043.07999999999</v>
      </c>
      <c r="F104">
        <v>60</v>
      </c>
      <c r="G104">
        <v>222</v>
      </c>
      <c r="H104">
        <v>153</v>
      </c>
      <c r="I104" t="s">
        <v>21</v>
      </c>
      <c r="J104">
        <v>5</v>
      </c>
      <c r="K104" t="s">
        <v>17</v>
      </c>
      <c r="L104">
        <v>139115</v>
      </c>
      <c r="M104">
        <v>3.55</v>
      </c>
      <c r="N104" s="6">
        <f t="shared" si="1"/>
        <v>19899438074.199997</v>
      </c>
    </row>
    <row r="105" spans="1:14" x14ac:dyDescent="0.35">
      <c r="A105" t="s">
        <v>29</v>
      </c>
      <c r="B105" t="s">
        <v>59</v>
      </c>
      <c r="C105">
        <v>2021</v>
      </c>
      <c r="D105" t="s">
        <v>38</v>
      </c>
      <c r="E105">
        <v>66814.080000000002</v>
      </c>
      <c r="F105">
        <v>57.8</v>
      </c>
      <c r="G105">
        <v>194</v>
      </c>
      <c r="H105">
        <v>136</v>
      </c>
      <c r="I105" t="s">
        <v>16</v>
      </c>
      <c r="J105">
        <v>4</v>
      </c>
      <c r="K105" t="s">
        <v>20</v>
      </c>
      <c r="L105">
        <v>228985</v>
      </c>
      <c r="M105">
        <v>3.76</v>
      </c>
      <c r="N105" s="6">
        <f t="shared" si="1"/>
        <v>15299422108.800001</v>
      </c>
    </row>
    <row r="106" spans="1:14" x14ac:dyDescent="0.35">
      <c r="A106" t="s">
        <v>23</v>
      </c>
      <c r="B106" t="s">
        <v>24</v>
      </c>
      <c r="C106">
        <v>2021</v>
      </c>
      <c r="D106" t="s">
        <v>15</v>
      </c>
      <c r="E106">
        <v>47454.86</v>
      </c>
      <c r="F106">
        <v>102.7</v>
      </c>
      <c r="G106">
        <v>354</v>
      </c>
      <c r="H106">
        <v>200</v>
      </c>
      <c r="I106" t="s">
        <v>25</v>
      </c>
      <c r="J106">
        <v>4</v>
      </c>
      <c r="K106" t="s">
        <v>22</v>
      </c>
      <c r="L106">
        <v>7468</v>
      </c>
      <c r="M106">
        <v>3.83</v>
      </c>
      <c r="N106" s="6">
        <f t="shared" si="1"/>
        <v>354392894.48000002</v>
      </c>
    </row>
    <row r="107" spans="1:14" x14ac:dyDescent="0.35">
      <c r="A107" t="s">
        <v>23</v>
      </c>
      <c r="B107" t="s">
        <v>83</v>
      </c>
      <c r="C107">
        <v>2021</v>
      </c>
      <c r="D107" t="s">
        <v>28</v>
      </c>
      <c r="E107">
        <v>61755.21</v>
      </c>
      <c r="F107">
        <v>79.099999999999994</v>
      </c>
      <c r="G107">
        <v>270</v>
      </c>
      <c r="H107">
        <v>165</v>
      </c>
      <c r="I107" t="s">
        <v>21</v>
      </c>
      <c r="J107">
        <v>5</v>
      </c>
      <c r="K107" t="s">
        <v>22</v>
      </c>
      <c r="L107">
        <v>9557</v>
      </c>
      <c r="M107">
        <v>3.66</v>
      </c>
      <c r="N107" s="6">
        <f t="shared" si="1"/>
        <v>590194541.97000003</v>
      </c>
    </row>
    <row r="108" spans="1:14" x14ac:dyDescent="0.35">
      <c r="A108" t="s">
        <v>23</v>
      </c>
      <c r="B108" t="s">
        <v>24</v>
      </c>
      <c r="C108">
        <v>2021</v>
      </c>
      <c r="D108" t="s">
        <v>38</v>
      </c>
      <c r="E108">
        <v>57965.58</v>
      </c>
      <c r="F108">
        <v>67</v>
      </c>
      <c r="G108">
        <v>237</v>
      </c>
      <c r="H108">
        <v>159</v>
      </c>
      <c r="I108" t="s">
        <v>25</v>
      </c>
      <c r="J108">
        <v>4</v>
      </c>
      <c r="K108" t="s">
        <v>22</v>
      </c>
      <c r="L108">
        <v>3168</v>
      </c>
      <c r="M108">
        <v>3.49</v>
      </c>
      <c r="N108" s="6">
        <f t="shared" si="1"/>
        <v>183634957.44</v>
      </c>
    </row>
    <row r="109" spans="1:14" x14ac:dyDescent="0.35">
      <c r="A109" t="s">
        <v>45</v>
      </c>
      <c r="B109" t="s">
        <v>54</v>
      </c>
      <c r="C109">
        <v>2021</v>
      </c>
      <c r="D109" t="s">
        <v>15</v>
      </c>
      <c r="E109">
        <v>36438.81</v>
      </c>
      <c r="F109">
        <v>91.3</v>
      </c>
      <c r="G109">
        <v>319</v>
      </c>
      <c r="H109">
        <v>192</v>
      </c>
      <c r="I109" t="s">
        <v>33</v>
      </c>
      <c r="J109">
        <v>4</v>
      </c>
      <c r="K109" t="s">
        <v>22</v>
      </c>
      <c r="L109">
        <v>110969</v>
      </c>
      <c r="M109">
        <v>3.76</v>
      </c>
      <c r="N109" s="6">
        <f t="shared" si="1"/>
        <v>4043578306.8899999</v>
      </c>
    </row>
    <row r="110" spans="1:14" x14ac:dyDescent="0.35">
      <c r="A110" t="s">
        <v>57</v>
      </c>
      <c r="B110" t="s">
        <v>79</v>
      </c>
      <c r="C110">
        <v>2021</v>
      </c>
      <c r="D110" t="s">
        <v>20</v>
      </c>
      <c r="E110">
        <v>97933.8</v>
      </c>
      <c r="F110">
        <v>43.7</v>
      </c>
      <c r="G110">
        <v>150</v>
      </c>
      <c r="H110">
        <v>142</v>
      </c>
      <c r="I110" t="s">
        <v>21</v>
      </c>
      <c r="J110">
        <v>4</v>
      </c>
      <c r="K110" t="s">
        <v>20</v>
      </c>
      <c r="L110">
        <v>45842</v>
      </c>
      <c r="M110">
        <v>3.05</v>
      </c>
      <c r="N110" s="6">
        <f t="shared" si="1"/>
        <v>4489481259.6000004</v>
      </c>
    </row>
    <row r="111" spans="1:14" x14ac:dyDescent="0.35">
      <c r="A111" t="s">
        <v>75</v>
      </c>
      <c r="B111" t="s">
        <v>101</v>
      </c>
      <c r="C111">
        <v>2021</v>
      </c>
      <c r="D111" t="s">
        <v>15</v>
      </c>
      <c r="E111">
        <v>113614.29</v>
      </c>
      <c r="F111">
        <v>108.1</v>
      </c>
      <c r="G111">
        <v>387</v>
      </c>
      <c r="H111">
        <v>200</v>
      </c>
      <c r="I111" t="s">
        <v>32</v>
      </c>
      <c r="J111">
        <v>5</v>
      </c>
      <c r="K111" t="s">
        <v>17</v>
      </c>
      <c r="L111">
        <v>4505</v>
      </c>
      <c r="M111">
        <v>3.89</v>
      </c>
      <c r="N111" s="6">
        <f t="shared" si="1"/>
        <v>511832376.44999999</v>
      </c>
    </row>
    <row r="112" spans="1:14" x14ac:dyDescent="0.35">
      <c r="A112" t="s">
        <v>29</v>
      </c>
      <c r="B112" t="s">
        <v>59</v>
      </c>
      <c r="C112">
        <v>2021</v>
      </c>
      <c r="D112" t="s">
        <v>20</v>
      </c>
      <c r="E112">
        <v>118010.78</v>
      </c>
      <c r="F112">
        <v>64.7</v>
      </c>
      <c r="G112">
        <v>229</v>
      </c>
      <c r="H112">
        <v>141</v>
      </c>
      <c r="I112" t="s">
        <v>32</v>
      </c>
      <c r="J112">
        <v>4</v>
      </c>
      <c r="K112" t="s">
        <v>17</v>
      </c>
      <c r="L112">
        <v>177339</v>
      </c>
      <c r="M112">
        <v>3.7</v>
      </c>
      <c r="N112" s="6">
        <f t="shared" si="1"/>
        <v>20927913714.419998</v>
      </c>
    </row>
    <row r="113" spans="1:14" x14ac:dyDescent="0.35">
      <c r="A113" t="s">
        <v>29</v>
      </c>
      <c r="B113" t="s">
        <v>59</v>
      </c>
      <c r="C113">
        <v>2021</v>
      </c>
      <c r="D113" t="s">
        <v>28</v>
      </c>
      <c r="E113">
        <v>118192.05</v>
      </c>
      <c r="F113">
        <v>92.9</v>
      </c>
      <c r="G113">
        <v>329</v>
      </c>
      <c r="H113">
        <v>162</v>
      </c>
      <c r="I113" t="s">
        <v>33</v>
      </c>
      <c r="J113">
        <v>5</v>
      </c>
      <c r="K113" t="s">
        <v>17</v>
      </c>
      <c r="L113">
        <v>123098</v>
      </c>
      <c r="M113">
        <v>3.96</v>
      </c>
      <c r="N113" s="6">
        <f t="shared" si="1"/>
        <v>14549204970.9</v>
      </c>
    </row>
    <row r="114" spans="1:14" x14ac:dyDescent="0.35">
      <c r="A114" t="s">
        <v>29</v>
      </c>
      <c r="B114" t="s">
        <v>39</v>
      </c>
      <c r="C114">
        <v>2021</v>
      </c>
      <c r="D114" t="s">
        <v>15</v>
      </c>
      <c r="E114">
        <v>76847.7</v>
      </c>
      <c r="F114">
        <v>116.8</v>
      </c>
      <c r="G114">
        <v>418</v>
      </c>
      <c r="H114">
        <v>197</v>
      </c>
      <c r="I114" t="s">
        <v>33</v>
      </c>
      <c r="J114">
        <v>5</v>
      </c>
      <c r="K114" t="s">
        <v>20</v>
      </c>
      <c r="L114">
        <v>229674</v>
      </c>
      <c r="M114">
        <v>4</v>
      </c>
      <c r="N114" s="6">
        <f t="shared" si="1"/>
        <v>17649918649.799999</v>
      </c>
    </row>
    <row r="115" spans="1:14" x14ac:dyDescent="0.35">
      <c r="A115" t="s">
        <v>29</v>
      </c>
      <c r="B115" t="s">
        <v>59</v>
      </c>
      <c r="C115">
        <v>2021</v>
      </c>
      <c r="D115" t="s">
        <v>20</v>
      </c>
      <c r="E115">
        <v>100894.61</v>
      </c>
      <c r="F115">
        <v>84.8</v>
      </c>
      <c r="G115">
        <v>304</v>
      </c>
      <c r="H115">
        <v>161</v>
      </c>
      <c r="I115" t="s">
        <v>21</v>
      </c>
      <c r="J115">
        <v>5</v>
      </c>
      <c r="K115" t="s">
        <v>17</v>
      </c>
      <c r="L115">
        <v>201220</v>
      </c>
      <c r="M115">
        <v>3.9</v>
      </c>
      <c r="N115" s="6">
        <f t="shared" si="1"/>
        <v>20302013424.200001</v>
      </c>
    </row>
    <row r="116" spans="1:14" x14ac:dyDescent="0.35">
      <c r="A116" t="s">
        <v>18</v>
      </c>
      <c r="B116" t="s">
        <v>93</v>
      </c>
      <c r="C116">
        <v>2021</v>
      </c>
      <c r="D116" t="s">
        <v>15</v>
      </c>
      <c r="E116">
        <v>93898.99</v>
      </c>
      <c r="F116">
        <v>117.1</v>
      </c>
      <c r="G116">
        <v>375</v>
      </c>
      <c r="H116">
        <v>182</v>
      </c>
      <c r="I116" t="s">
        <v>33</v>
      </c>
      <c r="J116">
        <v>5</v>
      </c>
      <c r="K116" t="s">
        <v>20</v>
      </c>
      <c r="L116">
        <v>29112</v>
      </c>
      <c r="M116">
        <v>3.93</v>
      </c>
      <c r="N116" s="6">
        <f t="shared" si="1"/>
        <v>2733587396.8800001</v>
      </c>
    </row>
    <row r="117" spans="1:14" x14ac:dyDescent="0.35">
      <c r="A117" t="s">
        <v>34</v>
      </c>
      <c r="B117" t="s">
        <v>84</v>
      </c>
      <c r="C117">
        <v>2021</v>
      </c>
      <c r="D117" t="s">
        <v>28</v>
      </c>
      <c r="E117">
        <v>133886.35</v>
      </c>
      <c r="F117">
        <v>108.5</v>
      </c>
      <c r="G117">
        <v>379</v>
      </c>
      <c r="H117">
        <v>159</v>
      </c>
      <c r="I117" t="s">
        <v>25</v>
      </c>
      <c r="J117">
        <v>4</v>
      </c>
      <c r="K117" t="s">
        <v>17</v>
      </c>
      <c r="L117">
        <v>61011</v>
      </c>
      <c r="M117">
        <v>4</v>
      </c>
      <c r="N117" s="6">
        <f t="shared" si="1"/>
        <v>8168540099.8500004</v>
      </c>
    </row>
    <row r="118" spans="1:14" x14ac:dyDescent="0.35">
      <c r="A118" t="s">
        <v>26</v>
      </c>
      <c r="B118" t="s">
        <v>61</v>
      </c>
      <c r="C118">
        <v>2021</v>
      </c>
      <c r="D118" t="s">
        <v>28</v>
      </c>
      <c r="E118">
        <v>56383.76</v>
      </c>
      <c r="F118">
        <v>77.599999999999994</v>
      </c>
      <c r="G118">
        <v>294</v>
      </c>
      <c r="H118">
        <v>162</v>
      </c>
      <c r="I118" t="s">
        <v>21</v>
      </c>
      <c r="J118">
        <v>5</v>
      </c>
      <c r="K118" t="s">
        <v>22</v>
      </c>
      <c r="L118">
        <v>85632</v>
      </c>
      <c r="M118">
        <v>3.6</v>
      </c>
      <c r="N118" s="6">
        <f t="shared" si="1"/>
        <v>4828254136.3200006</v>
      </c>
    </row>
    <row r="119" spans="1:14" x14ac:dyDescent="0.35">
      <c r="A119" t="s">
        <v>45</v>
      </c>
      <c r="B119" t="s">
        <v>77</v>
      </c>
      <c r="C119">
        <v>2021</v>
      </c>
      <c r="D119" t="s">
        <v>20</v>
      </c>
      <c r="E119">
        <v>107053.36</v>
      </c>
      <c r="F119">
        <v>82.6</v>
      </c>
      <c r="G119">
        <v>300</v>
      </c>
      <c r="H119">
        <v>164</v>
      </c>
      <c r="I119" t="s">
        <v>33</v>
      </c>
      <c r="J119">
        <v>3</v>
      </c>
      <c r="K119" t="s">
        <v>17</v>
      </c>
      <c r="L119">
        <v>216609</v>
      </c>
      <c r="M119">
        <v>3.76</v>
      </c>
      <c r="N119" s="6">
        <f t="shared" si="1"/>
        <v>23188721256.240002</v>
      </c>
    </row>
    <row r="120" spans="1:14" x14ac:dyDescent="0.35">
      <c r="A120" t="s">
        <v>26</v>
      </c>
      <c r="B120" t="s">
        <v>96</v>
      </c>
      <c r="C120">
        <v>2021</v>
      </c>
      <c r="D120" t="s">
        <v>20</v>
      </c>
      <c r="E120">
        <v>36092.980000000003</v>
      </c>
      <c r="F120">
        <v>41.6</v>
      </c>
      <c r="G120">
        <v>150</v>
      </c>
      <c r="H120">
        <v>170</v>
      </c>
      <c r="I120" t="s">
        <v>21</v>
      </c>
      <c r="J120">
        <v>5</v>
      </c>
      <c r="K120" t="s">
        <v>22</v>
      </c>
      <c r="L120">
        <v>73706</v>
      </c>
      <c r="M120">
        <v>3</v>
      </c>
      <c r="N120" s="6">
        <f t="shared" si="1"/>
        <v>2660269183.8800001</v>
      </c>
    </row>
    <row r="121" spans="1:14" x14ac:dyDescent="0.35">
      <c r="A121" t="s">
        <v>13</v>
      </c>
      <c r="B121" t="s">
        <v>66</v>
      </c>
      <c r="C121">
        <v>2021</v>
      </c>
      <c r="D121" t="s">
        <v>28</v>
      </c>
      <c r="E121">
        <v>70654.720000000001</v>
      </c>
      <c r="F121">
        <v>88.4</v>
      </c>
      <c r="G121">
        <v>317</v>
      </c>
      <c r="H121">
        <v>163</v>
      </c>
      <c r="I121" t="s">
        <v>32</v>
      </c>
      <c r="J121">
        <v>4</v>
      </c>
      <c r="K121" t="s">
        <v>20</v>
      </c>
      <c r="L121">
        <v>211095</v>
      </c>
      <c r="M121">
        <v>3.8</v>
      </c>
      <c r="N121" s="6">
        <f t="shared" si="1"/>
        <v>14914858118.4</v>
      </c>
    </row>
    <row r="122" spans="1:14" x14ac:dyDescent="0.35">
      <c r="A122" t="s">
        <v>34</v>
      </c>
      <c r="B122" t="s">
        <v>84</v>
      </c>
      <c r="C122">
        <v>2021</v>
      </c>
      <c r="D122" t="s">
        <v>15</v>
      </c>
      <c r="E122">
        <v>167760.51</v>
      </c>
      <c r="F122">
        <v>110.2</v>
      </c>
      <c r="G122">
        <v>367</v>
      </c>
      <c r="H122">
        <v>189</v>
      </c>
      <c r="I122" t="s">
        <v>32</v>
      </c>
      <c r="J122">
        <v>5</v>
      </c>
      <c r="K122" t="s">
        <v>17</v>
      </c>
      <c r="L122">
        <v>66576</v>
      </c>
      <c r="M122">
        <v>3.8</v>
      </c>
      <c r="N122" s="6">
        <f t="shared" si="1"/>
        <v>11168823713.76</v>
      </c>
    </row>
    <row r="123" spans="1:14" x14ac:dyDescent="0.35">
      <c r="A123" t="s">
        <v>29</v>
      </c>
      <c r="B123" t="s">
        <v>53</v>
      </c>
      <c r="C123">
        <v>2021</v>
      </c>
      <c r="D123" t="s">
        <v>38</v>
      </c>
      <c r="E123">
        <v>64613.56</v>
      </c>
      <c r="F123">
        <v>49.8</v>
      </c>
      <c r="G123">
        <v>175</v>
      </c>
      <c r="H123">
        <v>130</v>
      </c>
      <c r="I123" t="s">
        <v>16</v>
      </c>
      <c r="J123">
        <v>4</v>
      </c>
      <c r="K123" t="s">
        <v>22</v>
      </c>
      <c r="L123">
        <v>243316</v>
      </c>
      <c r="M123">
        <v>3.49</v>
      </c>
      <c r="N123" s="6">
        <f t="shared" si="1"/>
        <v>15721512964.959999</v>
      </c>
    </row>
    <row r="124" spans="1:14" x14ac:dyDescent="0.35">
      <c r="A124" t="s">
        <v>45</v>
      </c>
      <c r="B124" t="s">
        <v>77</v>
      </c>
      <c r="C124">
        <v>2021</v>
      </c>
      <c r="D124" t="s">
        <v>43</v>
      </c>
      <c r="E124">
        <v>36671.61</v>
      </c>
      <c r="F124">
        <v>51.7</v>
      </c>
      <c r="G124">
        <v>195</v>
      </c>
      <c r="H124">
        <v>166</v>
      </c>
      <c r="I124" t="s">
        <v>16</v>
      </c>
      <c r="J124">
        <v>4</v>
      </c>
      <c r="K124" t="s">
        <v>22</v>
      </c>
      <c r="L124">
        <v>112221</v>
      </c>
      <c r="M124">
        <v>3.41</v>
      </c>
      <c r="N124" s="6">
        <f t="shared" si="1"/>
        <v>4115324745.8099999</v>
      </c>
    </row>
    <row r="125" spans="1:14" x14ac:dyDescent="0.35">
      <c r="A125" t="s">
        <v>23</v>
      </c>
      <c r="B125" t="s">
        <v>82</v>
      </c>
      <c r="C125">
        <v>2021</v>
      </c>
      <c r="D125" t="s">
        <v>43</v>
      </c>
      <c r="E125">
        <v>64473.77</v>
      </c>
      <c r="F125">
        <v>77.599999999999994</v>
      </c>
      <c r="G125">
        <v>293</v>
      </c>
      <c r="H125">
        <v>143</v>
      </c>
      <c r="I125" t="s">
        <v>16</v>
      </c>
      <c r="J125">
        <v>4</v>
      </c>
      <c r="K125" t="s">
        <v>22</v>
      </c>
      <c r="L125">
        <v>9147</v>
      </c>
      <c r="M125">
        <v>3.72</v>
      </c>
      <c r="N125" s="6">
        <f t="shared" si="1"/>
        <v>589741574.18999994</v>
      </c>
    </row>
    <row r="126" spans="1:14" x14ac:dyDescent="0.35">
      <c r="A126" t="s">
        <v>26</v>
      </c>
      <c r="B126" t="s">
        <v>27</v>
      </c>
      <c r="C126">
        <v>2021</v>
      </c>
      <c r="D126" t="s">
        <v>15</v>
      </c>
      <c r="E126">
        <v>92296.55</v>
      </c>
      <c r="F126">
        <v>118.8</v>
      </c>
      <c r="G126">
        <v>403</v>
      </c>
      <c r="H126">
        <v>197</v>
      </c>
      <c r="I126" t="s">
        <v>21</v>
      </c>
      <c r="J126">
        <v>5</v>
      </c>
      <c r="K126" t="s">
        <v>20</v>
      </c>
      <c r="L126">
        <v>79309</v>
      </c>
      <c r="M126">
        <v>3.97</v>
      </c>
      <c r="N126" s="6">
        <f t="shared" si="1"/>
        <v>7319947083.9499998</v>
      </c>
    </row>
    <row r="127" spans="1:14" x14ac:dyDescent="0.35">
      <c r="A127" t="s">
        <v>111</v>
      </c>
      <c r="B127" t="s">
        <v>112</v>
      </c>
      <c r="C127">
        <v>2021</v>
      </c>
      <c r="D127" t="s">
        <v>28</v>
      </c>
      <c r="E127">
        <v>49221.78</v>
      </c>
      <c r="F127">
        <v>80.400000000000006</v>
      </c>
      <c r="G127">
        <v>266</v>
      </c>
      <c r="H127">
        <v>176</v>
      </c>
      <c r="I127" t="s">
        <v>32</v>
      </c>
      <c r="J127">
        <v>5</v>
      </c>
      <c r="K127" t="s">
        <v>22</v>
      </c>
      <c r="L127">
        <v>23659</v>
      </c>
      <c r="M127">
        <v>3.6</v>
      </c>
      <c r="N127" s="6">
        <f t="shared" si="1"/>
        <v>1164538093.02</v>
      </c>
    </row>
    <row r="128" spans="1:14" x14ac:dyDescent="0.35">
      <c r="A128" t="s">
        <v>45</v>
      </c>
      <c r="B128" t="s">
        <v>88</v>
      </c>
      <c r="C128">
        <v>2021</v>
      </c>
      <c r="D128" t="s">
        <v>20</v>
      </c>
      <c r="E128">
        <v>78313.97</v>
      </c>
      <c r="F128">
        <v>76.099999999999994</v>
      </c>
      <c r="G128">
        <v>270</v>
      </c>
      <c r="H128">
        <v>135</v>
      </c>
      <c r="I128" t="s">
        <v>40</v>
      </c>
      <c r="J128">
        <v>4</v>
      </c>
      <c r="K128" t="s">
        <v>20</v>
      </c>
      <c r="L128">
        <v>235914</v>
      </c>
      <c r="M128">
        <v>3.5</v>
      </c>
      <c r="N128" s="6">
        <f t="shared" si="1"/>
        <v>18475361918.580002</v>
      </c>
    </row>
    <row r="129" spans="1:14" x14ac:dyDescent="0.35">
      <c r="A129" t="s">
        <v>23</v>
      </c>
      <c r="B129" t="s">
        <v>83</v>
      </c>
      <c r="C129">
        <v>2021</v>
      </c>
      <c r="D129" t="s">
        <v>15</v>
      </c>
      <c r="E129">
        <v>65656.759999999995</v>
      </c>
      <c r="F129">
        <v>86.5</v>
      </c>
      <c r="G129">
        <v>340</v>
      </c>
      <c r="H129">
        <v>190</v>
      </c>
      <c r="I129" t="s">
        <v>21</v>
      </c>
      <c r="J129">
        <v>5</v>
      </c>
      <c r="K129" t="s">
        <v>20</v>
      </c>
      <c r="L129">
        <v>12802</v>
      </c>
      <c r="M129">
        <v>3.96</v>
      </c>
      <c r="N129" s="6">
        <f t="shared" si="1"/>
        <v>840537841.51999998</v>
      </c>
    </row>
    <row r="130" spans="1:14" x14ac:dyDescent="0.35">
      <c r="A130" t="s">
        <v>18</v>
      </c>
      <c r="B130" t="s">
        <v>19</v>
      </c>
      <c r="C130">
        <v>2022</v>
      </c>
      <c r="D130" t="s">
        <v>20</v>
      </c>
      <c r="E130">
        <v>48217.41</v>
      </c>
      <c r="F130">
        <v>58.8</v>
      </c>
      <c r="G130">
        <v>219</v>
      </c>
      <c r="H130">
        <v>159</v>
      </c>
      <c r="I130" t="s">
        <v>21</v>
      </c>
      <c r="J130">
        <v>4</v>
      </c>
      <c r="K130" t="s">
        <v>22</v>
      </c>
      <c r="L130">
        <v>7146</v>
      </c>
      <c r="M130">
        <v>3.56</v>
      </c>
      <c r="N130" s="6">
        <f t="shared" ref="N130:N193" si="2">E130*L130</f>
        <v>344561611.86000001</v>
      </c>
    </row>
    <row r="131" spans="1:14" x14ac:dyDescent="0.35">
      <c r="A131" t="s">
        <v>29</v>
      </c>
      <c r="B131" t="s">
        <v>30</v>
      </c>
      <c r="C131">
        <v>2022</v>
      </c>
      <c r="D131" t="s">
        <v>28</v>
      </c>
      <c r="E131">
        <v>144079.87</v>
      </c>
      <c r="F131">
        <v>93.9</v>
      </c>
      <c r="G131">
        <v>314</v>
      </c>
      <c r="H131">
        <v>165</v>
      </c>
      <c r="I131" t="s">
        <v>21</v>
      </c>
      <c r="J131">
        <v>4</v>
      </c>
      <c r="K131" t="s">
        <v>17</v>
      </c>
      <c r="L131">
        <v>196401</v>
      </c>
      <c r="M131">
        <v>3.83</v>
      </c>
      <c r="N131" s="6">
        <f t="shared" si="2"/>
        <v>28297430547.869999</v>
      </c>
    </row>
    <row r="132" spans="1:14" x14ac:dyDescent="0.35">
      <c r="A132" t="s">
        <v>80</v>
      </c>
      <c r="B132" t="s">
        <v>81</v>
      </c>
      <c r="C132">
        <v>2022</v>
      </c>
      <c r="D132" t="s">
        <v>28</v>
      </c>
      <c r="E132">
        <v>101897.93</v>
      </c>
      <c r="F132">
        <v>76.099999999999994</v>
      </c>
      <c r="G132">
        <v>254</v>
      </c>
      <c r="H132">
        <v>163</v>
      </c>
      <c r="I132" t="s">
        <v>16</v>
      </c>
      <c r="J132">
        <v>5</v>
      </c>
      <c r="K132" t="s">
        <v>17</v>
      </c>
      <c r="L132">
        <v>26972</v>
      </c>
      <c r="M132">
        <v>3.68</v>
      </c>
      <c r="N132" s="6">
        <f t="shared" si="2"/>
        <v>2748390967.96</v>
      </c>
    </row>
    <row r="133" spans="1:14" x14ac:dyDescent="0.35">
      <c r="A133" t="s">
        <v>45</v>
      </c>
      <c r="B133" t="s">
        <v>88</v>
      </c>
      <c r="C133">
        <v>2022</v>
      </c>
      <c r="D133" t="s">
        <v>43</v>
      </c>
      <c r="E133">
        <v>37515.42</v>
      </c>
      <c r="F133">
        <v>52.5</v>
      </c>
      <c r="G133">
        <v>194</v>
      </c>
      <c r="H133">
        <v>137</v>
      </c>
      <c r="I133" t="s">
        <v>16</v>
      </c>
      <c r="J133">
        <v>4</v>
      </c>
      <c r="K133" t="s">
        <v>22</v>
      </c>
      <c r="L133">
        <v>192045</v>
      </c>
      <c r="M133">
        <v>3.31</v>
      </c>
      <c r="N133" s="6">
        <f t="shared" si="2"/>
        <v>7204648833.8999996</v>
      </c>
    </row>
    <row r="134" spans="1:14" x14ac:dyDescent="0.35">
      <c r="A134" t="s">
        <v>49</v>
      </c>
      <c r="B134" t="s">
        <v>50</v>
      </c>
      <c r="C134">
        <v>2022</v>
      </c>
      <c r="D134" t="s">
        <v>28</v>
      </c>
      <c r="E134">
        <v>84513.62</v>
      </c>
      <c r="F134">
        <v>109.9</v>
      </c>
      <c r="G134">
        <v>400</v>
      </c>
      <c r="H134">
        <v>165</v>
      </c>
      <c r="I134" t="s">
        <v>33</v>
      </c>
      <c r="J134">
        <v>4</v>
      </c>
      <c r="K134" t="s">
        <v>20</v>
      </c>
      <c r="L134">
        <v>95418</v>
      </c>
      <c r="M134">
        <v>3.69</v>
      </c>
      <c r="N134" s="6">
        <f t="shared" si="2"/>
        <v>8064120593.1599998</v>
      </c>
    </row>
    <row r="135" spans="1:14" x14ac:dyDescent="0.35">
      <c r="A135" t="s">
        <v>73</v>
      </c>
      <c r="B135" t="s">
        <v>91</v>
      </c>
      <c r="C135">
        <v>2022</v>
      </c>
      <c r="D135" t="s">
        <v>38</v>
      </c>
      <c r="E135">
        <v>53544.18</v>
      </c>
      <c r="F135">
        <v>45</v>
      </c>
      <c r="G135">
        <v>186</v>
      </c>
      <c r="H135">
        <v>172</v>
      </c>
      <c r="I135" t="s">
        <v>21</v>
      </c>
      <c r="J135">
        <v>4</v>
      </c>
      <c r="K135" t="s">
        <v>22</v>
      </c>
      <c r="L135">
        <v>10495</v>
      </c>
      <c r="M135">
        <v>3.38</v>
      </c>
      <c r="N135" s="6">
        <f t="shared" si="2"/>
        <v>561946169.10000002</v>
      </c>
    </row>
    <row r="136" spans="1:14" x14ac:dyDescent="0.35">
      <c r="A136" t="s">
        <v>41</v>
      </c>
      <c r="B136" t="s">
        <v>92</v>
      </c>
      <c r="C136">
        <v>2022</v>
      </c>
      <c r="D136" t="s">
        <v>28</v>
      </c>
      <c r="E136">
        <v>59484.88</v>
      </c>
      <c r="F136">
        <v>82.4</v>
      </c>
      <c r="G136">
        <v>287</v>
      </c>
      <c r="H136">
        <v>163</v>
      </c>
      <c r="I136" t="s">
        <v>32</v>
      </c>
      <c r="J136">
        <v>5</v>
      </c>
      <c r="K136" t="s">
        <v>22</v>
      </c>
      <c r="L136">
        <v>23860</v>
      </c>
      <c r="M136">
        <v>3.43</v>
      </c>
      <c r="N136" s="6">
        <f t="shared" si="2"/>
        <v>1419309236.8</v>
      </c>
    </row>
    <row r="137" spans="1:14" x14ac:dyDescent="0.35">
      <c r="A137" t="s">
        <v>29</v>
      </c>
      <c r="B137" t="s">
        <v>39</v>
      </c>
      <c r="C137">
        <v>2022</v>
      </c>
      <c r="D137" t="s">
        <v>28</v>
      </c>
      <c r="E137">
        <v>133033.76</v>
      </c>
      <c r="F137">
        <v>83.6</v>
      </c>
      <c r="G137">
        <v>310</v>
      </c>
      <c r="H137">
        <v>181</v>
      </c>
      <c r="I137" t="s">
        <v>33</v>
      </c>
      <c r="J137">
        <v>5</v>
      </c>
      <c r="K137" t="s">
        <v>17</v>
      </c>
      <c r="L137">
        <v>213496</v>
      </c>
      <c r="M137">
        <v>3.81</v>
      </c>
      <c r="N137" s="6">
        <f t="shared" si="2"/>
        <v>28402175624.960003</v>
      </c>
    </row>
    <row r="138" spans="1:14" x14ac:dyDescent="0.35">
      <c r="A138" t="s">
        <v>26</v>
      </c>
      <c r="B138" t="s">
        <v>96</v>
      </c>
      <c r="C138">
        <v>2022</v>
      </c>
      <c r="D138" t="s">
        <v>38</v>
      </c>
      <c r="E138">
        <v>59652.7</v>
      </c>
      <c r="F138">
        <v>67.900000000000006</v>
      </c>
      <c r="G138">
        <v>238</v>
      </c>
      <c r="H138">
        <v>156</v>
      </c>
      <c r="I138" t="s">
        <v>21</v>
      </c>
      <c r="J138">
        <v>5</v>
      </c>
      <c r="K138" t="s">
        <v>22</v>
      </c>
      <c r="L138">
        <v>145797</v>
      </c>
      <c r="M138">
        <v>3.55</v>
      </c>
      <c r="N138" s="6">
        <f t="shared" si="2"/>
        <v>8697184701.8999996</v>
      </c>
    </row>
    <row r="139" spans="1:14" x14ac:dyDescent="0.35">
      <c r="A139" t="s">
        <v>23</v>
      </c>
      <c r="B139" t="s">
        <v>37</v>
      </c>
      <c r="C139">
        <v>2022</v>
      </c>
      <c r="D139" t="s">
        <v>38</v>
      </c>
      <c r="E139">
        <v>24572.41</v>
      </c>
      <c r="F139">
        <v>46.5</v>
      </c>
      <c r="G139">
        <v>182</v>
      </c>
      <c r="H139">
        <v>168</v>
      </c>
      <c r="I139" t="s">
        <v>16</v>
      </c>
      <c r="J139">
        <v>4</v>
      </c>
      <c r="K139" t="s">
        <v>47</v>
      </c>
      <c r="L139">
        <v>9346</v>
      </c>
      <c r="M139">
        <v>3.53</v>
      </c>
      <c r="N139" s="6">
        <f t="shared" si="2"/>
        <v>229653743.85999998</v>
      </c>
    </row>
    <row r="140" spans="1:14" x14ac:dyDescent="0.35">
      <c r="A140" t="s">
        <v>49</v>
      </c>
      <c r="B140" t="s">
        <v>90</v>
      </c>
      <c r="C140">
        <v>2022</v>
      </c>
      <c r="D140" t="s">
        <v>43</v>
      </c>
      <c r="E140">
        <v>35583.1</v>
      </c>
      <c r="F140">
        <v>60.1</v>
      </c>
      <c r="G140">
        <v>220</v>
      </c>
      <c r="H140">
        <v>157</v>
      </c>
      <c r="I140" t="s">
        <v>40</v>
      </c>
      <c r="J140">
        <v>5</v>
      </c>
      <c r="K140" t="s">
        <v>22</v>
      </c>
      <c r="L140">
        <v>116403</v>
      </c>
      <c r="M140">
        <v>3.38</v>
      </c>
      <c r="N140" s="6">
        <f t="shared" si="2"/>
        <v>4141979589.2999997</v>
      </c>
    </row>
    <row r="141" spans="1:14" x14ac:dyDescent="0.35">
      <c r="A141" t="s">
        <v>45</v>
      </c>
      <c r="B141" t="s">
        <v>54</v>
      </c>
      <c r="C141">
        <v>2022</v>
      </c>
      <c r="D141" t="s">
        <v>43</v>
      </c>
      <c r="E141">
        <v>27939.32</v>
      </c>
      <c r="F141">
        <v>56.5</v>
      </c>
      <c r="G141">
        <v>182</v>
      </c>
      <c r="H141">
        <v>141</v>
      </c>
      <c r="I141" t="s">
        <v>21</v>
      </c>
      <c r="J141">
        <v>5</v>
      </c>
      <c r="K141" t="s">
        <v>47</v>
      </c>
      <c r="L141">
        <v>100593</v>
      </c>
      <c r="M141">
        <v>3.2</v>
      </c>
      <c r="N141" s="6">
        <f t="shared" si="2"/>
        <v>2810500016.7599998</v>
      </c>
    </row>
    <row r="142" spans="1:14" x14ac:dyDescent="0.35">
      <c r="A142" t="s">
        <v>29</v>
      </c>
      <c r="B142" t="s">
        <v>31</v>
      </c>
      <c r="C142">
        <v>2022</v>
      </c>
      <c r="D142" t="s">
        <v>28</v>
      </c>
      <c r="E142">
        <v>112382.86</v>
      </c>
      <c r="F142">
        <v>81.900000000000006</v>
      </c>
      <c r="G142">
        <v>270</v>
      </c>
      <c r="H142">
        <v>182</v>
      </c>
      <c r="I142" t="s">
        <v>33</v>
      </c>
      <c r="J142">
        <v>4</v>
      </c>
      <c r="K142" t="s">
        <v>17</v>
      </c>
      <c r="L142">
        <v>494879</v>
      </c>
      <c r="M142">
        <v>3.77</v>
      </c>
      <c r="N142" s="6">
        <f t="shared" si="2"/>
        <v>55615917373.940002</v>
      </c>
    </row>
    <row r="143" spans="1:14" x14ac:dyDescent="0.35">
      <c r="A143" t="s">
        <v>13</v>
      </c>
      <c r="B143" t="s">
        <v>55</v>
      </c>
      <c r="C143">
        <v>2022</v>
      </c>
      <c r="D143" t="s">
        <v>20</v>
      </c>
      <c r="E143">
        <v>62108.39</v>
      </c>
      <c r="F143">
        <v>82.1</v>
      </c>
      <c r="G143">
        <v>268</v>
      </c>
      <c r="H143">
        <v>137</v>
      </c>
      <c r="I143" t="s">
        <v>21</v>
      </c>
      <c r="J143">
        <v>5</v>
      </c>
      <c r="K143" t="s">
        <v>22</v>
      </c>
      <c r="L143">
        <v>222675</v>
      </c>
      <c r="M143">
        <v>3.19</v>
      </c>
      <c r="N143" s="6">
        <f t="shared" si="2"/>
        <v>13829985743.25</v>
      </c>
    </row>
    <row r="144" spans="1:14" x14ac:dyDescent="0.35">
      <c r="A144" t="s">
        <v>26</v>
      </c>
      <c r="B144" t="s">
        <v>52</v>
      </c>
      <c r="C144">
        <v>2022</v>
      </c>
      <c r="D144" t="s">
        <v>15</v>
      </c>
      <c r="E144">
        <v>111175.38</v>
      </c>
      <c r="F144">
        <v>89.2</v>
      </c>
      <c r="G144">
        <v>319</v>
      </c>
      <c r="H144">
        <v>190</v>
      </c>
      <c r="I144" t="s">
        <v>32</v>
      </c>
      <c r="J144">
        <v>5</v>
      </c>
      <c r="K144" t="s">
        <v>17</v>
      </c>
      <c r="L144">
        <v>51798</v>
      </c>
      <c r="M144">
        <v>3.75</v>
      </c>
      <c r="N144" s="6">
        <f t="shared" si="2"/>
        <v>5758662333.2399998</v>
      </c>
    </row>
    <row r="145" spans="1:14" x14ac:dyDescent="0.35">
      <c r="A145" t="s">
        <v>73</v>
      </c>
      <c r="B145" t="s">
        <v>100</v>
      </c>
      <c r="C145">
        <v>2022</v>
      </c>
      <c r="D145" t="s">
        <v>43</v>
      </c>
      <c r="E145">
        <v>69452.42</v>
      </c>
      <c r="F145">
        <v>47.9</v>
      </c>
      <c r="G145">
        <v>170</v>
      </c>
      <c r="H145">
        <v>147</v>
      </c>
      <c r="I145" t="s">
        <v>40</v>
      </c>
      <c r="J145">
        <v>5</v>
      </c>
      <c r="K145" t="s">
        <v>20</v>
      </c>
      <c r="L145">
        <v>28334</v>
      </c>
      <c r="M145">
        <v>3.19</v>
      </c>
      <c r="N145" s="6">
        <f t="shared" si="2"/>
        <v>1967864868.28</v>
      </c>
    </row>
    <row r="146" spans="1:14" x14ac:dyDescent="0.35">
      <c r="A146" t="s">
        <v>45</v>
      </c>
      <c r="B146" t="s">
        <v>48</v>
      </c>
      <c r="C146">
        <v>2022</v>
      </c>
      <c r="D146" t="s">
        <v>15</v>
      </c>
      <c r="E146">
        <v>38276.480000000003</v>
      </c>
      <c r="F146">
        <v>92</v>
      </c>
      <c r="G146">
        <v>283</v>
      </c>
      <c r="H146">
        <v>199</v>
      </c>
      <c r="I146" t="s">
        <v>25</v>
      </c>
      <c r="J146">
        <v>4</v>
      </c>
      <c r="K146" t="s">
        <v>22</v>
      </c>
      <c r="L146">
        <v>175542</v>
      </c>
      <c r="M146">
        <v>3.44</v>
      </c>
      <c r="N146" s="6">
        <f t="shared" si="2"/>
        <v>6719129852.1600008</v>
      </c>
    </row>
    <row r="147" spans="1:14" x14ac:dyDescent="0.35">
      <c r="A147" t="s">
        <v>26</v>
      </c>
      <c r="B147" t="s">
        <v>52</v>
      </c>
      <c r="C147">
        <v>2022</v>
      </c>
      <c r="D147" t="s">
        <v>28</v>
      </c>
      <c r="E147">
        <v>76439.210000000006</v>
      </c>
      <c r="F147">
        <v>93</v>
      </c>
      <c r="G147">
        <v>337</v>
      </c>
      <c r="H147">
        <v>164</v>
      </c>
      <c r="I147" t="s">
        <v>16</v>
      </c>
      <c r="J147">
        <v>5</v>
      </c>
      <c r="K147" t="s">
        <v>20</v>
      </c>
      <c r="L147">
        <v>85577</v>
      </c>
      <c r="M147">
        <v>3.72</v>
      </c>
      <c r="N147" s="6">
        <f t="shared" si="2"/>
        <v>6541438274.1700001</v>
      </c>
    </row>
    <row r="148" spans="1:14" x14ac:dyDescent="0.35">
      <c r="A148" t="s">
        <v>67</v>
      </c>
      <c r="B148" t="s">
        <v>68</v>
      </c>
      <c r="C148">
        <v>2022</v>
      </c>
      <c r="D148" t="s">
        <v>20</v>
      </c>
      <c r="E148">
        <v>98374.44</v>
      </c>
      <c r="F148">
        <v>50.7</v>
      </c>
      <c r="G148">
        <v>166</v>
      </c>
      <c r="H148">
        <v>164</v>
      </c>
      <c r="I148" t="s">
        <v>16</v>
      </c>
      <c r="J148">
        <v>5</v>
      </c>
      <c r="K148" t="s">
        <v>20</v>
      </c>
      <c r="L148">
        <v>45293</v>
      </c>
      <c r="M148">
        <v>3.1</v>
      </c>
      <c r="N148" s="6">
        <f t="shared" si="2"/>
        <v>4455673510.9200001</v>
      </c>
    </row>
    <row r="149" spans="1:14" x14ac:dyDescent="0.35">
      <c r="A149" t="s">
        <v>49</v>
      </c>
      <c r="B149" t="s">
        <v>87</v>
      </c>
      <c r="C149">
        <v>2022</v>
      </c>
      <c r="D149" t="s">
        <v>20</v>
      </c>
      <c r="E149">
        <v>72159.44</v>
      </c>
      <c r="F149">
        <v>56.2</v>
      </c>
      <c r="G149">
        <v>163</v>
      </c>
      <c r="H149">
        <v>132</v>
      </c>
      <c r="I149" t="s">
        <v>25</v>
      </c>
      <c r="J149">
        <v>4</v>
      </c>
      <c r="K149" t="s">
        <v>20</v>
      </c>
      <c r="L149">
        <v>119329</v>
      </c>
      <c r="M149">
        <v>3.43</v>
      </c>
      <c r="N149" s="6">
        <f t="shared" si="2"/>
        <v>8610713815.7600002</v>
      </c>
    </row>
    <row r="150" spans="1:14" x14ac:dyDescent="0.35">
      <c r="A150" t="s">
        <v>26</v>
      </c>
      <c r="B150" t="s">
        <v>96</v>
      </c>
      <c r="C150">
        <v>2022</v>
      </c>
      <c r="D150" t="s">
        <v>28</v>
      </c>
      <c r="E150">
        <v>90771.15</v>
      </c>
      <c r="F150">
        <v>86.2</v>
      </c>
      <c r="G150">
        <v>305</v>
      </c>
      <c r="H150">
        <v>179</v>
      </c>
      <c r="I150" t="s">
        <v>16</v>
      </c>
      <c r="J150">
        <v>4</v>
      </c>
      <c r="K150" t="s">
        <v>20</v>
      </c>
      <c r="L150">
        <v>86318</v>
      </c>
      <c r="M150">
        <v>3.46</v>
      </c>
      <c r="N150" s="6">
        <f t="shared" si="2"/>
        <v>7835184125.6999998</v>
      </c>
    </row>
    <row r="151" spans="1:14" x14ac:dyDescent="0.35">
      <c r="A151" t="s">
        <v>29</v>
      </c>
      <c r="B151" t="s">
        <v>39</v>
      </c>
      <c r="C151">
        <v>2022</v>
      </c>
      <c r="D151" t="s">
        <v>20</v>
      </c>
      <c r="E151">
        <v>59089.35</v>
      </c>
      <c r="F151">
        <v>76.7</v>
      </c>
      <c r="G151">
        <v>268</v>
      </c>
      <c r="H151">
        <v>153</v>
      </c>
      <c r="I151" t="s">
        <v>40</v>
      </c>
      <c r="J151">
        <v>5</v>
      </c>
      <c r="K151" t="s">
        <v>22</v>
      </c>
      <c r="L151">
        <v>130707</v>
      </c>
      <c r="M151">
        <v>3.64</v>
      </c>
      <c r="N151" s="6">
        <f t="shared" si="2"/>
        <v>7723391670.4499998</v>
      </c>
    </row>
    <row r="152" spans="1:14" x14ac:dyDescent="0.35">
      <c r="A152" t="s">
        <v>29</v>
      </c>
      <c r="B152" t="s">
        <v>53</v>
      </c>
      <c r="C152">
        <v>2022</v>
      </c>
      <c r="D152" t="s">
        <v>15</v>
      </c>
      <c r="E152">
        <v>170128.32</v>
      </c>
      <c r="F152">
        <v>84.4</v>
      </c>
      <c r="G152">
        <v>303</v>
      </c>
      <c r="H152">
        <v>186</v>
      </c>
      <c r="I152" t="s">
        <v>16</v>
      </c>
      <c r="J152">
        <v>4</v>
      </c>
      <c r="K152" t="s">
        <v>17</v>
      </c>
      <c r="L152">
        <v>163960</v>
      </c>
      <c r="M152">
        <v>4.09</v>
      </c>
      <c r="N152" s="6">
        <f t="shared" si="2"/>
        <v>27894239347.200001</v>
      </c>
    </row>
    <row r="153" spans="1:14" x14ac:dyDescent="0.35">
      <c r="A153" t="s">
        <v>26</v>
      </c>
      <c r="B153" t="s">
        <v>52</v>
      </c>
      <c r="C153">
        <v>2022</v>
      </c>
      <c r="D153" t="s">
        <v>38</v>
      </c>
      <c r="E153">
        <v>43745.72</v>
      </c>
      <c r="F153">
        <v>58.3</v>
      </c>
      <c r="G153">
        <v>197</v>
      </c>
      <c r="H153">
        <v>141</v>
      </c>
      <c r="I153" t="s">
        <v>32</v>
      </c>
      <c r="J153">
        <v>5</v>
      </c>
      <c r="K153" t="s">
        <v>22</v>
      </c>
      <c r="L153">
        <v>77441</v>
      </c>
      <c r="M153">
        <v>3.34</v>
      </c>
      <c r="N153" s="6">
        <f t="shared" si="2"/>
        <v>3387712302.52</v>
      </c>
    </row>
    <row r="154" spans="1:14" x14ac:dyDescent="0.35">
      <c r="A154" t="s">
        <v>18</v>
      </c>
      <c r="B154" t="s">
        <v>93</v>
      </c>
      <c r="C154">
        <v>2022</v>
      </c>
      <c r="D154" t="s">
        <v>43</v>
      </c>
      <c r="E154">
        <v>69982.490000000005</v>
      </c>
      <c r="F154">
        <v>42.6</v>
      </c>
      <c r="G154">
        <v>156</v>
      </c>
      <c r="H154">
        <v>153</v>
      </c>
      <c r="I154" t="s">
        <v>16</v>
      </c>
      <c r="J154">
        <v>5</v>
      </c>
      <c r="K154" t="s">
        <v>20</v>
      </c>
      <c r="L154">
        <v>8818</v>
      </c>
      <c r="M154">
        <v>3.15</v>
      </c>
      <c r="N154" s="6">
        <f t="shared" si="2"/>
        <v>617105596.82000005</v>
      </c>
    </row>
    <row r="155" spans="1:14" x14ac:dyDescent="0.35">
      <c r="A155" t="s">
        <v>23</v>
      </c>
      <c r="B155" t="s">
        <v>24</v>
      </c>
      <c r="C155">
        <v>2022</v>
      </c>
      <c r="D155" t="s">
        <v>28</v>
      </c>
      <c r="E155">
        <v>49443.87</v>
      </c>
      <c r="F155">
        <v>82.7</v>
      </c>
      <c r="G155">
        <v>262</v>
      </c>
      <c r="H155">
        <v>179</v>
      </c>
      <c r="I155" t="s">
        <v>25</v>
      </c>
      <c r="J155">
        <v>4</v>
      </c>
      <c r="K155" t="s">
        <v>22</v>
      </c>
      <c r="L155">
        <v>17112</v>
      </c>
      <c r="M155">
        <v>3.4</v>
      </c>
      <c r="N155" s="6">
        <f t="shared" si="2"/>
        <v>846083503.44000006</v>
      </c>
    </row>
    <row r="156" spans="1:14" x14ac:dyDescent="0.35">
      <c r="A156" t="s">
        <v>45</v>
      </c>
      <c r="B156" t="s">
        <v>48</v>
      </c>
      <c r="C156">
        <v>2022</v>
      </c>
      <c r="D156" t="s">
        <v>20</v>
      </c>
      <c r="E156">
        <v>36072.31</v>
      </c>
      <c r="F156">
        <v>77.7</v>
      </c>
      <c r="G156">
        <v>251</v>
      </c>
      <c r="H156">
        <v>154</v>
      </c>
      <c r="I156" t="s">
        <v>25</v>
      </c>
      <c r="J156">
        <v>4</v>
      </c>
      <c r="K156" t="s">
        <v>22</v>
      </c>
      <c r="L156">
        <v>159638</v>
      </c>
      <c r="M156">
        <v>3.48</v>
      </c>
      <c r="N156" s="6">
        <f t="shared" si="2"/>
        <v>5758511423.7799997</v>
      </c>
    </row>
    <row r="157" spans="1:14" x14ac:dyDescent="0.35">
      <c r="A157" t="s">
        <v>13</v>
      </c>
      <c r="B157" t="s">
        <v>66</v>
      </c>
      <c r="C157">
        <v>2022</v>
      </c>
      <c r="D157" t="s">
        <v>43</v>
      </c>
      <c r="E157">
        <v>73902.850000000006</v>
      </c>
      <c r="F157">
        <v>64</v>
      </c>
      <c r="G157">
        <v>231</v>
      </c>
      <c r="H157">
        <v>168</v>
      </c>
      <c r="I157" t="s">
        <v>25</v>
      </c>
      <c r="J157">
        <v>4</v>
      </c>
      <c r="K157" t="s">
        <v>20</v>
      </c>
      <c r="L157">
        <v>251288</v>
      </c>
      <c r="M157">
        <v>3.32</v>
      </c>
      <c r="N157" s="6">
        <f t="shared" si="2"/>
        <v>18570899370.800003</v>
      </c>
    </row>
    <row r="158" spans="1:14" x14ac:dyDescent="0.35">
      <c r="A158" t="s">
        <v>18</v>
      </c>
      <c r="B158" t="s">
        <v>19</v>
      </c>
      <c r="C158">
        <v>2022</v>
      </c>
      <c r="D158" t="s">
        <v>38</v>
      </c>
      <c r="E158">
        <v>59240.75</v>
      </c>
      <c r="F158">
        <v>70.099999999999994</v>
      </c>
      <c r="G158">
        <v>267</v>
      </c>
      <c r="H158">
        <v>162</v>
      </c>
      <c r="I158" t="s">
        <v>21</v>
      </c>
      <c r="J158">
        <v>4</v>
      </c>
      <c r="K158" t="s">
        <v>22</v>
      </c>
      <c r="L158">
        <v>18789</v>
      </c>
      <c r="M158">
        <v>3.47</v>
      </c>
      <c r="N158" s="6">
        <f t="shared" si="2"/>
        <v>1113074451.75</v>
      </c>
    </row>
    <row r="159" spans="1:14" x14ac:dyDescent="0.35">
      <c r="A159" t="s">
        <v>64</v>
      </c>
      <c r="B159" t="s">
        <v>65</v>
      </c>
      <c r="C159">
        <v>2022</v>
      </c>
      <c r="D159" t="s">
        <v>43</v>
      </c>
      <c r="E159">
        <v>69932.429999999993</v>
      </c>
      <c r="F159">
        <v>67</v>
      </c>
      <c r="G159">
        <v>249</v>
      </c>
      <c r="H159">
        <v>140</v>
      </c>
      <c r="I159" t="s">
        <v>32</v>
      </c>
      <c r="J159">
        <v>5</v>
      </c>
      <c r="K159" t="s">
        <v>20</v>
      </c>
      <c r="L159">
        <v>52868</v>
      </c>
      <c r="M159">
        <v>3.54</v>
      </c>
      <c r="N159" s="6">
        <f t="shared" si="2"/>
        <v>3697187709.2399998</v>
      </c>
    </row>
    <row r="160" spans="1:14" x14ac:dyDescent="0.35">
      <c r="A160" t="s">
        <v>26</v>
      </c>
      <c r="B160" t="s">
        <v>61</v>
      </c>
      <c r="C160">
        <v>2022</v>
      </c>
      <c r="D160" t="s">
        <v>15</v>
      </c>
      <c r="E160">
        <v>67330.570000000007</v>
      </c>
      <c r="F160">
        <v>77.099999999999994</v>
      </c>
      <c r="G160">
        <v>284</v>
      </c>
      <c r="H160">
        <v>194</v>
      </c>
      <c r="I160" t="s">
        <v>21</v>
      </c>
      <c r="J160">
        <v>5</v>
      </c>
      <c r="K160" t="s">
        <v>20</v>
      </c>
      <c r="L160">
        <v>91349</v>
      </c>
      <c r="M160">
        <v>3.46</v>
      </c>
      <c r="N160" s="6">
        <f t="shared" si="2"/>
        <v>6150580238.9300003</v>
      </c>
    </row>
    <row r="161" spans="1:14" x14ac:dyDescent="0.35">
      <c r="A161" t="s">
        <v>13</v>
      </c>
      <c r="B161" t="s">
        <v>51</v>
      </c>
      <c r="C161">
        <v>2022</v>
      </c>
      <c r="D161" t="s">
        <v>15</v>
      </c>
      <c r="E161">
        <v>102466.68</v>
      </c>
      <c r="F161">
        <v>77.599999999999994</v>
      </c>
      <c r="G161">
        <v>281</v>
      </c>
      <c r="H161">
        <v>189</v>
      </c>
      <c r="I161" t="s">
        <v>16</v>
      </c>
      <c r="J161">
        <v>5</v>
      </c>
      <c r="K161" t="s">
        <v>17</v>
      </c>
      <c r="L161">
        <v>252835</v>
      </c>
      <c r="M161">
        <v>3.37</v>
      </c>
      <c r="N161" s="6">
        <f t="shared" si="2"/>
        <v>25907163037.799999</v>
      </c>
    </row>
    <row r="162" spans="1:14" x14ac:dyDescent="0.35">
      <c r="A162" t="s">
        <v>29</v>
      </c>
      <c r="B162" t="s">
        <v>39</v>
      </c>
      <c r="C162">
        <v>2022</v>
      </c>
      <c r="D162" t="s">
        <v>28</v>
      </c>
      <c r="E162">
        <v>119080.01</v>
      </c>
      <c r="F162">
        <v>82.3</v>
      </c>
      <c r="G162">
        <v>284</v>
      </c>
      <c r="H162">
        <v>159</v>
      </c>
      <c r="I162" t="s">
        <v>16</v>
      </c>
      <c r="J162">
        <v>5</v>
      </c>
      <c r="K162" t="s">
        <v>17</v>
      </c>
      <c r="L162">
        <v>124340</v>
      </c>
      <c r="M162">
        <v>3.98</v>
      </c>
      <c r="N162" s="6">
        <f t="shared" si="2"/>
        <v>14806408443.4</v>
      </c>
    </row>
    <row r="163" spans="1:14" x14ac:dyDescent="0.35">
      <c r="A163" t="s">
        <v>64</v>
      </c>
      <c r="B163" t="s">
        <v>85</v>
      </c>
      <c r="C163">
        <v>2022</v>
      </c>
      <c r="D163" t="s">
        <v>38</v>
      </c>
      <c r="E163">
        <v>61657.41</v>
      </c>
      <c r="F163">
        <v>79.900000000000006</v>
      </c>
      <c r="G163">
        <v>273</v>
      </c>
      <c r="H163">
        <v>174</v>
      </c>
      <c r="I163" t="s">
        <v>21</v>
      </c>
      <c r="J163">
        <v>5</v>
      </c>
      <c r="K163" t="s">
        <v>22</v>
      </c>
      <c r="L163">
        <v>21575</v>
      </c>
      <c r="M163">
        <v>3.67</v>
      </c>
      <c r="N163" s="6">
        <f t="shared" si="2"/>
        <v>1330258620.75</v>
      </c>
    </row>
    <row r="164" spans="1:14" x14ac:dyDescent="0.35">
      <c r="A164" t="s">
        <v>29</v>
      </c>
      <c r="B164" t="s">
        <v>31</v>
      </c>
      <c r="C164">
        <v>2022</v>
      </c>
      <c r="D164" t="s">
        <v>20</v>
      </c>
      <c r="E164">
        <v>74321.009999999995</v>
      </c>
      <c r="F164">
        <v>61.2</v>
      </c>
      <c r="G164">
        <v>226</v>
      </c>
      <c r="H164">
        <v>118</v>
      </c>
      <c r="I164" t="s">
        <v>16</v>
      </c>
      <c r="J164">
        <v>5</v>
      </c>
      <c r="K164" t="s">
        <v>20</v>
      </c>
      <c r="L164">
        <v>438573</v>
      </c>
      <c r="M164">
        <v>3.82</v>
      </c>
      <c r="N164" s="6">
        <f t="shared" si="2"/>
        <v>32595188318.73</v>
      </c>
    </row>
    <row r="165" spans="1:14" x14ac:dyDescent="0.35">
      <c r="A165" t="s">
        <v>67</v>
      </c>
      <c r="B165" t="s">
        <v>86</v>
      </c>
      <c r="C165">
        <v>2022</v>
      </c>
      <c r="D165" t="s">
        <v>38</v>
      </c>
      <c r="E165">
        <v>87894.85</v>
      </c>
      <c r="F165">
        <v>84.4</v>
      </c>
      <c r="G165">
        <v>315</v>
      </c>
      <c r="H165">
        <v>136</v>
      </c>
      <c r="I165" t="s">
        <v>32</v>
      </c>
      <c r="J165">
        <v>5</v>
      </c>
      <c r="K165" t="s">
        <v>20</v>
      </c>
      <c r="L165">
        <v>64291</v>
      </c>
      <c r="M165">
        <v>3.45</v>
      </c>
      <c r="N165" s="6">
        <f t="shared" si="2"/>
        <v>5650847801.3500004</v>
      </c>
    </row>
    <row r="166" spans="1:14" x14ac:dyDescent="0.35">
      <c r="A166" t="s">
        <v>18</v>
      </c>
      <c r="B166" t="s">
        <v>19</v>
      </c>
      <c r="C166">
        <v>2022</v>
      </c>
      <c r="D166" t="s">
        <v>15</v>
      </c>
      <c r="E166">
        <v>56751.98</v>
      </c>
      <c r="F166">
        <v>90.8</v>
      </c>
      <c r="G166">
        <v>324</v>
      </c>
      <c r="H166">
        <v>191</v>
      </c>
      <c r="I166" t="s">
        <v>21</v>
      </c>
      <c r="J166">
        <v>5</v>
      </c>
      <c r="K166" t="s">
        <v>22</v>
      </c>
      <c r="L166">
        <v>9887</v>
      </c>
      <c r="M166">
        <v>3.39</v>
      </c>
      <c r="N166" s="6">
        <f t="shared" si="2"/>
        <v>561106826.25999999</v>
      </c>
    </row>
    <row r="167" spans="1:14" x14ac:dyDescent="0.35">
      <c r="A167" t="s">
        <v>23</v>
      </c>
      <c r="B167" t="s">
        <v>37</v>
      </c>
      <c r="C167">
        <v>2022</v>
      </c>
      <c r="D167" t="s">
        <v>43</v>
      </c>
      <c r="E167">
        <v>55685.25</v>
      </c>
      <c r="F167">
        <v>80.400000000000006</v>
      </c>
      <c r="G167">
        <v>288</v>
      </c>
      <c r="H167">
        <v>158</v>
      </c>
      <c r="I167" t="s">
        <v>40</v>
      </c>
      <c r="J167">
        <v>4</v>
      </c>
      <c r="K167" t="s">
        <v>22</v>
      </c>
      <c r="L167">
        <v>22694</v>
      </c>
      <c r="M167">
        <v>3.58</v>
      </c>
      <c r="N167" s="6">
        <f t="shared" si="2"/>
        <v>1263721063.5</v>
      </c>
    </row>
    <row r="168" spans="1:14" x14ac:dyDescent="0.35">
      <c r="A168" t="s">
        <v>29</v>
      </c>
      <c r="B168" t="s">
        <v>30</v>
      </c>
      <c r="C168">
        <v>2022</v>
      </c>
      <c r="D168" t="s">
        <v>20</v>
      </c>
      <c r="E168">
        <v>74667.63</v>
      </c>
      <c r="F168">
        <v>60.5</v>
      </c>
      <c r="G168">
        <v>201</v>
      </c>
      <c r="H168">
        <v>159</v>
      </c>
      <c r="I168" t="s">
        <v>16</v>
      </c>
      <c r="J168">
        <v>5</v>
      </c>
      <c r="K168" t="s">
        <v>20</v>
      </c>
      <c r="L168">
        <v>245609</v>
      </c>
      <c r="M168">
        <v>3.71</v>
      </c>
      <c r="N168" s="6">
        <f t="shared" si="2"/>
        <v>18339041936.670002</v>
      </c>
    </row>
    <row r="169" spans="1:14" x14ac:dyDescent="0.35">
      <c r="A169" t="s">
        <v>29</v>
      </c>
      <c r="B169" t="s">
        <v>59</v>
      </c>
      <c r="C169">
        <v>2022</v>
      </c>
      <c r="D169" t="s">
        <v>15</v>
      </c>
      <c r="E169">
        <v>66277.97</v>
      </c>
      <c r="F169">
        <v>97.7</v>
      </c>
      <c r="G169">
        <v>340</v>
      </c>
      <c r="H169">
        <v>189</v>
      </c>
      <c r="I169" t="s">
        <v>16</v>
      </c>
      <c r="J169">
        <v>3</v>
      </c>
      <c r="K169" t="s">
        <v>20</v>
      </c>
      <c r="L169">
        <v>108652</v>
      </c>
      <c r="M169">
        <v>4.1100000000000003</v>
      </c>
      <c r="N169" s="6">
        <f t="shared" si="2"/>
        <v>7201233996.4400005</v>
      </c>
    </row>
    <row r="170" spans="1:14" x14ac:dyDescent="0.35">
      <c r="A170" t="s">
        <v>49</v>
      </c>
      <c r="B170" t="s">
        <v>87</v>
      </c>
      <c r="C170">
        <v>2022</v>
      </c>
      <c r="D170" t="s">
        <v>15</v>
      </c>
      <c r="E170">
        <v>81725.25</v>
      </c>
      <c r="F170">
        <v>71.7</v>
      </c>
      <c r="G170">
        <v>234</v>
      </c>
      <c r="H170">
        <v>197</v>
      </c>
      <c r="I170" t="s">
        <v>40</v>
      </c>
      <c r="J170">
        <v>5</v>
      </c>
      <c r="K170" t="s">
        <v>20</v>
      </c>
      <c r="L170">
        <v>72070</v>
      </c>
      <c r="M170">
        <v>3.48</v>
      </c>
      <c r="N170" s="6">
        <f t="shared" si="2"/>
        <v>5889938767.5</v>
      </c>
    </row>
    <row r="171" spans="1:14" x14ac:dyDescent="0.35">
      <c r="A171" t="s">
        <v>45</v>
      </c>
      <c r="B171" t="s">
        <v>48</v>
      </c>
      <c r="C171">
        <v>2022</v>
      </c>
      <c r="D171" t="s">
        <v>20</v>
      </c>
      <c r="E171">
        <v>107436.09</v>
      </c>
      <c r="F171">
        <v>65.7</v>
      </c>
      <c r="G171">
        <v>255</v>
      </c>
      <c r="H171">
        <v>137</v>
      </c>
      <c r="I171" t="s">
        <v>21</v>
      </c>
      <c r="J171">
        <v>5</v>
      </c>
      <c r="K171" t="s">
        <v>17</v>
      </c>
      <c r="L171">
        <v>201045</v>
      </c>
      <c r="M171">
        <v>3.64</v>
      </c>
      <c r="N171" s="6">
        <f t="shared" si="2"/>
        <v>21599488714.049999</v>
      </c>
    </row>
    <row r="172" spans="1:14" x14ac:dyDescent="0.35">
      <c r="A172" t="s">
        <v>23</v>
      </c>
      <c r="B172" t="s">
        <v>37</v>
      </c>
      <c r="C172">
        <v>2022</v>
      </c>
      <c r="D172" t="s">
        <v>28</v>
      </c>
      <c r="E172">
        <v>54305.64</v>
      </c>
      <c r="F172">
        <v>86.4</v>
      </c>
      <c r="G172">
        <v>289</v>
      </c>
      <c r="H172">
        <v>162</v>
      </c>
      <c r="I172" t="s">
        <v>25</v>
      </c>
      <c r="J172">
        <v>5</v>
      </c>
      <c r="K172" t="s">
        <v>22</v>
      </c>
      <c r="L172">
        <v>18445</v>
      </c>
      <c r="M172">
        <v>3.56</v>
      </c>
      <c r="N172" s="6">
        <f t="shared" si="2"/>
        <v>1001667529.8</v>
      </c>
    </row>
    <row r="173" spans="1:14" x14ac:dyDescent="0.35">
      <c r="A173" t="s">
        <v>29</v>
      </c>
      <c r="B173" t="s">
        <v>53</v>
      </c>
      <c r="C173">
        <v>2022</v>
      </c>
      <c r="D173" t="s">
        <v>15</v>
      </c>
      <c r="E173">
        <v>161513.5</v>
      </c>
      <c r="F173">
        <v>115.3</v>
      </c>
      <c r="G173">
        <v>420</v>
      </c>
      <c r="H173">
        <v>200</v>
      </c>
      <c r="I173" t="s">
        <v>16</v>
      </c>
      <c r="J173">
        <v>4</v>
      </c>
      <c r="K173" t="s">
        <v>17</v>
      </c>
      <c r="L173">
        <v>172224</v>
      </c>
      <c r="M173">
        <v>4.09</v>
      </c>
      <c r="N173" s="6">
        <f t="shared" si="2"/>
        <v>27816501024</v>
      </c>
    </row>
    <row r="174" spans="1:14" x14ac:dyDescent="0.35">
      <c r="A174" t="s">
        <v>29</v>
      </c>
      <c r="B174" t="s">
        <v>31</v>
      </c>
      <c r="C174">
        <v>2022</v>
      </c>
      <c r="D174" t="s">
        <v>38</v>
      </c>
      <c r="E174">
        <v>75540.09</v>
      </c>
      <c r="F174">
        <v>49.6</v>
      </c>
      <c r="G174">
        <v>150</v>
      </c>
      <c r="H174">
        <v>154</v>
      </c>
      <c r="I174" t="s">
        <v>33</v>
      </c>
      <c r="J174">
        <v>5</v>
      </c>
      <c r="K174" t="s">
        <v>20</v>
      </c>
      <c r="L174">
        <v>455317</v>
      </c>
      <c r="M174">
        <v>3.27</v>
      </c>
      <c r="N174" s="6">
        <f t="shared" si="2"/>
        <v>34394687158.529999</v>
      </c>
    </row>
    <row r="175" spans="1:14" x14ac:dyDescent="0.35">
      <c r="A175" t="s">
        <v>29</v>
      </c>
      <c r="B175" t="s">
        <v>53</v>
      </c>
      <c r="C175">
        <v>2022</v>
      </c>
      <c r="D175" t="s">
        <v>15</v>
      </c>
      <c r="E175">
        <v>39719.769999999997</v>
      </c>
      <c r="F175">
        <v>75.3</v>
      </c>
      <c r="G175">
        <v>297</v>
      </c>
      <c r="H175">
        <v>200</v>
      </c>
      <c r="I175" t="s">
        <v>16</v>
      </c>
      <c r="J175">
        <v>5</v>
      </c>
      <c r="K175" t="s">
        <v>22</v>
      </c>
      <c r="L175">
        <v>220959</v>
      </c>
      <c r="M175">
        <v>4</v>
      </c>
      <c r="N175" s="6">
        <f t="shared" si="2"/>
        <v>8776440659.4299984</v>
      </c>
    </row>
    <row r="176" spans="1:14" x14ac:dyDescent="0.35">
      <c r="A176" t="s">
        <v>64</v>
      </c>
      <c r="B176" t="s">
        <v>65</v>
      </c>
      <c r="C176">
        <v>2022</v>
      </c>
      <c r="D176" t="s">
        <v>28</v>
      </c>
      <c r="E176">
        <v>115394.15</v>
      </c>
      <c r="F176">
        <v>98.5</v>
      </c>
      <c r="G176">
        <v>343</v>
      </c>
      <c r="H176">
        <v>167</v>
      </c>
      <c r="I176" t="s">
        <v>40</v>
      </c>
      <c r="J176">
        <v>5</v>
      </c>
      <c r="K176" t="s">
        <v>17</v>
      </c>
      <c r="L176">
        <v>58674</v>
      </c>
      <c r="M176">
        <v>3.4</v>
      </c>
      <c r="N176" s="6">
        <f t="shared" si="2"/>
        <v>6770636357.0999994</v>
      </c>
    </row>
    <row r="177" spans="1:14" x14ac:dyDescent="0.35">
      <c r="A177" t="s">
        <v>49</v>
      </c>
      <c r="B177" t="s">
        <v>71</v>
      </c>
      <c r="C177">
        <v>2022</v>
      </c>
      <c r="D177" t="s">
        <v>28</v>
      </c>
      <c r="E177">
        <v>67747.05</v>
      </c>
      <c r="F177">
        <v>89.8</v>
      </c>
      <c r="G177">
        <v>333</v>
      </c>
      <c r="H177">
        <v>173</v>
      </c>
      <c r="I177" t="s">
        <v>33</v>
      </c>
      <c r="J177">
        <v>5</v>
      </c>
      <c r="K177" t="s">
        <v>20</v>
      </c>
      <c r="L177">
        <v>100096</v>
      </c>
      <c r="M177">
        <v>3.57</v>
      </c>
      <c r="N177" s="6">
        <f t="shared" si="2"/>
        <v>6781208716.8000002</v>
      </c>
    </row>
    <row r="178" spans="1:14" x14ac:dyDescent="0.35">
      <c r="A178" t="s">
        <v>29</v>
      </c>
      <c r="B178" t="s">
        <v>59</v>
      </c>
      <c r="C178">
        <v>2022</v>
      </c>
      <c r="D178" t="s">
        <v>43</v>
      </c>
      <c r="E178">
        <v>45367.75</v>
      </c>
      <c r="F178">
        <v>80.8</v>
      </c>
      <c r="G178">
        <v>287</v>
      </c>
      <c r="H178">
        <v>134</v>
      </c>
      <c r="I178" t="s">
        <v>40</v>
      </c>
      <c r="J178">
        <v>5</v>
      </c>
      <c r="K178" t="s">
        <v>22</v>
      </c>
      <c r="L178">
        <v>112809</v>
      </c>
      <c r="M178">
        <v>3.72</v>
      </c>
      <c r="N178" s="6">
        <f t="shared" si="2"/>
        <v>5117890509.75</v>
      </c>
    </row>
    <row r="179" spans="1:14" x14ac:dyDescent="0.35">
      <c r="A179" t="s">
        <v>23</v>
      </c>
      <c r="B179" t="s">
        <v>99</v>
      </c>
      <c r="C179">
        <v>2022</v>
      </c>
      <c r="D179" t="s">
        <v>38</v>
      </c>
      <c r="E179">
        <v>39747.919999999998</v>
      </c>
      <c r="F179">
        <v>47.2</v>
      </c>
      <c r="G179">
        <v>152</v>
      </c>
      <c r="H179">
        <v>152</v>
      </c>
      <c r="I179" t="s">
        <v>25</v>
      </c>
      <c r="J179">
        <v>5</v>
      </c>
      <c r="K179" t="s">
        <v>22</v>
      </c>
      <c r="L179">
        <v>29407</v>
      </c>
      <c r="M179">
        <v>3.09</v>
      </c>
      <c r="N179" s="6">
        <f t="shared" si="2"/>
        <v>1168867083.4400001</v>
      </c>
    </row>
    <row r="180" spans="1:14" x14ac:dyDescent="0.35">
      <c r="A180" t="s">
        <v>29</v>
      </c>
      <c r="B180" t="s">
        <v>53</v>
      </c>
      <c r="C180">
        <v>2022</v>
      </c>
      <c r="D180" t="s">
        <v>38</v>
      </c>
      <c r="E180">
        <v>83011.59</v>
      </c>
      <c r="F180">
        <v>78.2</v>
      </c>
      <c r="G180">
        <v>288</v>
      </c>
      <c r="H180">
        <v>147</v>
      </c>
      <c r="I180" t="s">
        <v>16</v>
      </c>
      <c r="J180">
        <v>4</v>
      </c>
      <c r="K180" t="s">
        <v>20</v>
      </c>
      <c r="L180">
        <v>132378</v>
      </c>
      <c r="M180">
        <v>4.12</v>
      </c>
      <c r="N180" s="6">
        <f t="shared" si="2"/>
        <v>10988908261.02</v>
      </c>
    </row>
    <row r="181" spans="1:14" x14ac:dyDescent="0.35">
      <c r="A181" t="s">
        <v>64</v>
      </c>
      <c r="B181" t="s">
        <v>97</v>
      </c>
      <c r="C181">
        <v>2022</v>
      </c>
      <c r="D181" t="s">
        <v>38</v>
      </c>
      <c r="E181">
        <v>87727.18</v>
      </c>
      <c r="F181">
        <v>75.099999999999994</v>
      </c>
      <c r="G181">
        <v>238</v>
      </c>
      <c r="H181">
        <v>150</v>
      </c>
      <c r="I181" t="s">
        <v>25</v>
      </c>
      <c r="J181">
        <v>5</v>
      </c>
      <c r="K181" t="s">
        <v>20</v>
      </c>
      <c r="L181">
        <v>35030</v>
      </c>
      <c r="M181">
        <v>3.42</v>
      </c>
      <c r="N181" s="6">
        <f t="shared" si="2"/>
        <v>3073083115.3999996</v>
      </c>
    </row>
    <row r="182" spans="1:14" x14ac:dyDescent="0.35">
      <c r="A182" t="s">
        <v>26</v>
      </c>
      <c r="B182" t="s">
        <v>52</v>
      </c>
      <c r="C182">
        <v>2022</v>
      </c>
      <c r="D182" t="s">
        <v>43</v>
      </c>
      <c r="E182">
        <v>39229.86</v>
      </c>
      <c r="F182">
        <v>42.7</v>
      </c>
      <c r="G182">
        <v>154</v>
      </c>
      <c r="H182">
        <v>170</v>
      </c>
      <c r="I182" t="s">
        <v>32</v>
      </c>
      <c r="J182">
        <v>4</v>
      </c>
      <c r="K182" t="s">
        <v>22</v>
      </c>
      <c r="L182">
        <v>92917</v>
      </c>
      <c r="M182">
        <v>3.02</v>
      </c>
      <c r="N182" s="6">
        <f t="shared" si="2"/>
        <v>3645120901.6199999</v>
      </c>
    </row>
    <row r="183" spans="1:14" x14ac:dyDescent="0.35">
      <c r="A183" t="s">
        <v>13</v>
      </c>
      <c r="B183" t="s">
        <v>55</v>
      </c>
      <c r="C183">
        <v>2022</v>
      </c>
      <c r="D183" t="s">
        <v>20</v>
      </c>
      <c r="E183">
        <v>90567.3</v>
      </c>
      <c r="F183">
        <v>69.5</v>
      </c>
      <c r="G183">
        <v>208</v>
      </c>
      <c r="H183">
        <v>147</v>
      </c>
      <c r="I183" t="s">
        <v>16</v>
      </c>
      <c r="J183">
        <v>5</v>
      </c>
      <c r="K183" t="s">
        <v>20</v>
      </c>
      <c r="L183">
        <v>266134</v>
      </c>
      <c r="M183">
        <v>3.28</v>
      </c>
      <c r="N183" s="6">
        <f t="shared" si="2"/>
        <v>24103037818.200001</v>
      </c>
    </row>
    <row r="184" spans="1:14" x14ac:dyDescent="0.35">
      <c r="A184" t="s">
        <v>29</v>
      </c>
      <c r="B184" t="s">
        <v>59</v>
      </c>
      <c r="C184">
        <v>2022</v>
      </c>
      <c r="D184" t="s">
        <v>43</v>
      </c>
      <c r="E184">
        <v>98265.87</v>
      </c>
      <c r="F184">
        <v>83.7</v>
      </c>
      <c r="G184">
        <v>298</v>
      </c>
      <c r="H184">
        <v>173</v>
      </c>
      <c r="I184" t="s">
        <v>32</v>
      </c>
      <c r="J184">
        <v>4</v>
      </c>
      <c r="K184" t="s">
        <v>20</v>
      </c>
      <c r="L184">
        <v>144367</v>
      </c>
      <c r="M184">
        <v>3.63</v>
      </c>
      <c r="N184" s="6">
        <f t="shared" si="2"/>
        <v>14186348854.289999</v>
      </c>
    </row>
    <row r="185" spans="1:14" x14ac:dyDescent="0.35">
      <c r="A185" t="s">
        <v>29</v>
      </c>
      <c r="B185" t="s">
        <v>53</v>
      </c>
      <c r="C185">
        <v>2022</v>
      </c>
      <c r="D185" t="s">
        <v>20</v>
      </c>
      <c r="E185">
        <v>154962.64000000001</v>
      </c>
      <c r="F185">
        <v>53.2</v>
      </c>
      <c r="G185">
        <v>157</v>
      </c>
      <c r="H185">
        <v>135</v>
      </c>
      <c r="I185" t="s">
        <v>16</v>
      </c>
      <c r="J185">
        <v>5</v>
      </c>
      <c r="K185" t="s">
        <v>17</v>
      </c>
      <c r="L185">
        <v>148718</v>
      </c>
      <c r="M185">
        <v>3.67</v>
      </c>
      <c r="N185" s="6">
        <f t="shared" si="2"/>
        <v>23045733895.52</v>
      </c>
    </row>
    <row r="186" spans="1:14" x14ac:dyDescent="0.35">
      <c r="A186" t="s">
        <v>75</v>
      </c>
      <c r="B186" t="s">
        <v>108</v>
      </c>
      <c r="C186">
        <v>2022</v>
      </c>
      <c r="D186" t="s">
        <v>38</v>
      </c>
      <c r="E186">
        <v>64347.55</v>
      </c>
      <c r="F186">
        <v>45.6</v>
      </c>
      <c r="G186">
        <v>150</v>
      </c>
      <c r="H186">
        <v>152</v>
      </c>
      <c r="I186" t="s">
        <v>21</v>
      </c>
      <c r="J186">
        <v>5</v>
      </c>
      <c r="K186" t="s">
        <v>22</v>
      </c>
      <c r="L186">
        <v>3522</v>
      </c>
      <c r="M186">
        <v>3.26</v>
      </c>
      <c r="N186" s="6">
        <f t="shared" si="2"/>
        <v>226632071.10000002</v>
      </c>
    </row>
    <row r="187" spans="1:14" x14ac:dyDescent="0.35">
      <c r="A187" t="s">
        <v>45</v>
      </c>
      <c r="B187" t="s">
        <v>48</v>
      </c>
      <c r="C187">
        <v>2022</v>
      </c>
      <c r="D187" t="s">
        <v>38</v>
      </c>
      <c r="E187">
        <v>21384.75</v>
      </c>
      <c r="F187">
        <v>62.9</v>
      </c>
      <c r="G187">
        <v>201</v>
      </c>
      <c r="H187">
        <v>146</v>
      </c>
      <c r="I187" t="s">
        <v>32</v>
      </c>
      <c r="J187">
        <v>5</v>
      </c>
      <c r="K187" t="s">
        <v>47</v>
      </c>
      <c r="L187">
        <v>233873</v>
      </c>
      <c r="M187">
        <v>3.28</v>
      </c>
      <c r="N187" s="6">
        <f t="shared" si="2"/>
        <v>5001315636.75</v>
      </c>
    </row>
    <row r="188" spans="1:14" x14ac:dyDescent="0.35">
      <c r="A188" t="s">
        <v>29</v>
      </c>
      <c r="B188" t="s">
        <v>53</v>
      </c>
      <c r="C188">
        <v>2022</v>
      </c>
      <c r="D188" t="s">
        <v>28</v>
      </c>
      <c r="E188">
        <v>93999.45</v>
      </c>
      <c r="F188">
        <v>88.3</v>
      </c>
      <c r="G188">
        <v>333</v>
      </c>
      <c r="H188">
        <v>167</v>
      </c>
      <c r="I188" t="s">
        <v>16</v>
      </c>
      <c r="J188">
        <v>5</v>
      </c>
      <c r="K188" t="s">
        <v>20</v>
      </c>
      <c r="L188">
        <v>124977</v>
      </c>
      <c r="M188">
        <v>3.96</v>
      </c>
      <c r="N188" s="6">
        <f t="shared" si="2"/>
        <v>11747769262.65</v>
      </c>
    </row>
    <row r="189" spans="1:14" x14ac:dyDescent="0.35">
      <c r="A189" t="s">
        <v>29</v>
      </c>
      <c r="B189" t="s">
        <v>31</v>
      </c>
      <c r="C189">
        <v>2022</v>
      </c>
      <c r="D189" t="s">
        <v>28</v>
      </c>
      <c r="E189">
        <v>38805.29</v>
      </c>
      <c r="F189">
        <v>86.7</v>
      </c>
      <c r="G189">
        <v>295</v>
      </c>
      <c r="H189">
        <v>190</v>
      </c>
      <c r="I189" t="s">
        <v>16</v>
      </c>
      <c r="J189">
        <v>5</v>
      </c>
      <c r="K189" t="s">
        <v>22</v>
      </c>
      <c r="L189">
        <v>424786</v>
      </c>
      <c r="M189">
        <v>4.1399999999999997</v>
      </c>
      <c r="N189" s="6">
        <f t="shared" si="2"/>
        <v>16483943917.940001</v>
      </c>
    </row>
    <row r="190" spans="1:14" x14ac:dyDescent="0.35">
      <c r="A190" t="s">
        <v>13</v>
      </c>
      <c r="B190" t="s">
        <v>55</v>
      </c>
      <c r="C190">
        <v>2022</v>
      </c>
      <c r="D190" t="s">
        <v>20</v>
      </c>
      <c r="E190">
        <v>70140.570000000007</v>
      </c>
      <c r="F190">
        <v>83.5</v>
      </c>
      <c r="G190">
        <v>319</v>
      </c>
      <c r="H190">
        <v>142</v>
      </c>
      <c r="I190" t="s">
        <v>32</v>
      </c>
      <c r="J190">
        <v>5</v>
      </c>
      <c r="K190" t="s">
        <v>20</v>
      </c>
      <c r="L190">
        <v>203826</v>
      </c>
      <c r="M190">
        <v>3.8</v>
      </c>
      <c r="N190" s="6">
        <f t="shared" si="2"/>
        <v>14296471820.820002</v>
      </c>
    </row>
    <row r="191" spans="1:14" x14ac:dyDescent="0.35">
      <c r="A191" t="s">
        <v>18</v>
      </c>
      <c r="B191" t="s">
        <v>93</v>
      </c>
      <c r="C191">
        <v>2022</v>
      </c>
      <c r="D191" t="s">
        <v>43</v>
      </c>
      <c r="E191">
        <v>55775.75</v>
      </c>
      <c r="F191">
        <v>84.6</v>
      </c>
      <c r="G191">
        <v>281</v>
      </c>
      <c r="H191">
        <v>163</v>
      </c>
      <c r="I191" t="s">
        <v>33</v>
      </c>
      <c r="J191">
        <v>4</v>
      </c>
      <c r="K191" t="s">
        <v>22</v>
      </c>
      <c r="L191">
        <v>18523</v>
      </c>
      <c r="M191">
        <v>3.32</v>
      </c>
      <c r="N191" s="6">
        <f t="shared" si="2"/>
        <v>1033134217.25</v>
      </c>
    </row>
    <row r="192" spans="1:14" x14ac:dyDescent="0.35">
      <c r="A192" t="s">
        <v>29</v>
      </c>
      <c r="B192" t="s">
        <v>39</v>
      </c>
      <c r="C192">
        <v>2022</v>
      </c>
      <c r="D192" t="s">
        <v>20</v>
      </c>
      <c r="E192">
        <v>163492.79999999999</v>
      </c>
      <c r="F192">
        <v>65.400000000000006</v>
      </c>
      <c r="G192">
        <v>193</v>
      </c>
      <c r="H192">
        <v>154</v>
      </c>
      <c r="I192" t="s">
        <v>32</v>
      </c>
      <c r="J192">
        <v>5</v>
      </c>
      <c r="K192" t="s">
        <v>17</v>
      </c>
      <c r="L192">
        <v>241709</v>
      </c>
      <c r="M192">
        <v>3.96</v>
      </c>
      <c r="N192" s="6">
        <f t="shared" si="2"/>
        <v>39517681195.199997</v>
      </c>
    </row>
    <row r="193" spans="1:14" x14ac:dyDescent="0.35">
      <c r="A193" t="s">
        <v>45</v>
      </c>
      <c r="B193" t="s">
        <v>48</v>
      </c>
      <c r="C193">
        <v>2022</v>
      </c>
      <c r="D193" t="s">
        <v>38</v>
      </c>
      <c r="E193">
        <v>49226.29</v>
      </c>
      <c r="F193">
        <v>46.7</v>
      </c>
      <c r="G193">
        <v>177</v>
      </c>
      <c r="H193">
        <v>160</v>
      </c>
      <c r="I193" t="s">
        <v>33</v>
      </c>
      <c r="J193">
        <v>5</v>
      </c>
      <c r="K193" t="s">
        <v>22</v>
      </c>
      <c r="L193">
        <v>172454</v>
      </c>
      <c r="M193">
        <v>3.29</v>
      </c>
      <c r="N193" s="6">
        <f t="shared" si="2"/>
        <v>8489270615.6599998</v>
      </c>
    </row>
    <row r="194" spans="1:14" x14ac:dyDescent="0.35">
      <c r="A194" t="s">
        <v>67</v>
      </c>
      <c r="B194" t="s">
        <v>68</v>
      </c>
      <c r="C194">
        <v>2022</v>
      </c>
      <c r="D194" t="s">
        <v>20</v>
      </c>
      <c r="E194">
        <v>137631.97</v>
      </c>
      <c r="F194">
        <v>43.1</v>
      </c>
      <c r="G194">
        <v>150</v>
      </c>
      <c r="H194">
        <v>168</v>
      </c>
      <c r="I194" t="s">
        <v>16</v>
      </c>
      <c r="J194">
        <v>4</v>
      </c>
      <c r="K194" t="s">
        <v>17</v>
      </c>
      <c r="L194">
        <v>74974</v>
      </c>
      <c r="M194">
        <v>3.3</v>
      </c>
      <c r="N194" s="6">
        <f t="shared" ref="N194:N257" si="3">E194*L194</f>
        <v>10318819318.780001</v>
      </c>
    </row>
    <row r="195" spans="1:14" x14ac:dyDescent="0.35">
      <c r="A195" t="s">
        <v>26</v>
      </c>
      <c r="B195" t="s">
        <v>36</v>
      </c>
      <c r="C195">
        <v>2022</v>
      </c>
      <c r="D195" t="s">
        <v>20</v>
      </c>
      <c r="E195">
        <v>93773.43</v>
      </c>
      <c r="F195">
        <v>61.9</v>
      </c>
      <c r="G195">
        <v>194</v>
      </c>
      <c r="H195">
        <v>152</v>
      </c>
      <c r="I195" t="s">
        <v>16</v>
      </c>
      <c r="J195">
        <v>5</v>
      </c>
      <c r="K195" t="s">
        <v>20</v>
      </c>
      <c r="L195">
        <v>126881</v>
      </c>
      <c r="M195">
        <v>3.6</v>
      </c>
      <c r="N195" s="6">
        <f t="shared" si="3"/>
        <v>11898066571.83</v>
      </c>
    </row>
    <row r="196" spans="1:14" x14ac:dyDescent="0.35">
      <c r="A196" t="s">
        <v>64</v>
      </c>
      <c r="B196" t="s">
        <v>95</v>
      </c>
      <c r="C196">
        <v>2022</v>
      </c>
      <c r="D196" t="s">
        <v>15</v>
      </c>
      <c r="E196">
        <v>102440.51</v>
      </c>
      <c r="F196">
        <v>94.7</v>
      </c>
      <c r="G196">
        <v>337</v>
      </c>
      <c r="H196">
        <v>184</v>
      </c>
      <c r="I196" t="s">
        <v>32</v>
      </c>
      <c r="J196">
        <v>3</v>
      </c>
      <c r="K196" t="s">
        <v>17</v>
      </c>
      <c r="L196">
        <v>23392</v>
      </c>
      <c r="M196">
        <v>3.69</v>
      </c>
      <c r="N196" s="6">
        <f t="shared" si="3"/>
        <v>2396288409.9200001</v>
      </c>
    </row>
    <row r="197" spans="1:14" x14ac:dyDescent="0.35">
      <c r="A197" t="s">
        <v>26</v>
      </c>
      <c r="B197" t="s">
        <v>96</v>
      </c>
      <c r="C197">
        <v>2022</v>
      </c>
      <c r="D197" t="s">
        <v>15</v>
      </c>
      <c r="E197">
        <v>48028.480000000003</v>
      </c>
      <c r="F197">
        <v>102.7</v>
      </c>
      <c r="G197">
        <v>351</v>
      </c>
      <c r="H197">
        <v>200</v>
      </c>
      <c r="I197" t="s">
        <v>32</v>
      </c>
      <c r="J197">
        <v>4</v>
      </c>
      <c r="K197" t="s">
        <v>22</v>
      </c>
      <c r="L197">
        <v>81607</v>
      </c>
      <c r="M197">
        <v>3.7</v>
      </c>
      <c r="N197" s="6">
        <f t="shared" si="3"/>
        <v>3919460167.3600001</v>
      </c>
    </row>
    <row r="198" spans="1:14" x14ac:dyDescent="0.35">
      <c r="A198" t="s">
        <v>49</v>
      </c>
      <c r="B198" t="s">
        <v>90</v>
      </c>
      <c r="C198">
        <v>2022</v>
      </c>
      <c r="D198" t="s">
        <v>38</v>
      </c>
      <c r="E198">
        <v>52457.02</v>
      </c>
      <c r="F198">
        <v>61.6</v>
      </c>
      <c r="G198">
        <v>184</v>
      </c>
      <c r="H198">
        <v>139</v>
      </c>
      <c r="I198" t="s">
        <v>40</v>
      </c>
      <c r="J198">
        <v>5</v>
      </c>
      <c r="K198" t="s">
        <v>22</v>
      </c>
      <c r="L198">
        <v>72150</v>
      </c>
      <c r="M198">
        <v>3.34</v>
      </c>
      <c r="N198" s="6">
        <f t="shared" si="3"/>
        <v>3784773993</v>
      </c>
    </row>
    <row r="199" spans="1:14" x14ac:dyDescent="0.35">
      <c r="A199" t="s">
        <v>57</v>
      </c>
      <c r="B199" t="s">
        <v>62</v>
      </c>
      <c r="C199">
        <v>2022</v>
      </c>
      <c r="D199" t="s">
        <v>20</v>
      </c>
      <c r="E199">
        <v>72686.399999999994</v>
      </c>
      <c r="F199">
        <v>58.3</v>
      </c>
      <c r="G199">
        <v>197</v>
      </c>
      <c r="H199">
        <v>135</v>
      </c>
      <c r="I199" t="s">
        <v>33</v>
      </c>
      <c r="J199">
        <v>3</v>
      </c>
      <c r="K199" t="s">
        <v>20</v>
      </c>
      <c r="L199">
        <v>32038</v>
      </c>
      <c r="M199">
        <v>3.44</v>
      </c>
      <c r="N199" s="6">
        <f t="shared" si="3"/>
        <v>2328726883.1999998</v>
      </c>
    </row>
    <row r="200" spans="1:14" x14ac:dyDescent="0.35">
      <c r="A200" t="s">
        <v>29</v>
      </c>
      <c r="B200" t="s">
        <v>30</v>
      </c>
      <c r="C200">
        <v>2022</v>
      </c>
      <c r="D200" t="s">
        <v>28</v>
      </c>
      <c r="E200">
        <v>84609.91</v>
      </c>
      <c r="F200">
        <v>107.2</v>
      </c>
      <c r="G200">
        <v>365</v>
      </c>
      <c r="H200">
        <v>165</v>
      </c>
      <c r="I200" t="s">
        <v>21</v>
      </c>
      <c r="J200">
        <v>4</v>
      </c>
      <c r="K200" t="s">
        <v>20</v>
      </c>
      <c r="L200">
        <v>171529</v>
      </c>
      <c r="M200">
        <v>4.12</v>
      </c>
      <c r="N200" s="6">
        <f t="shared" si="3"/>
        <v>14513053252.390001</v>
      </c>
    </row>
    <row r="201" spans="1:14" x14ac:dyDescent="0.35">
      <c r="A201" t="s">
        <v>34</v>
      </c>
      <c r="B201" t="s">
        <v>84</v>
      </c>
      <c r="C201">
        <v>2022</v>
      </c>
      <c r="D201" t="s">
        <v>38</v>
      </c>
      <c r="E201">
        <v>94570.880000000005</v>
      </c>
      <c r="F201">
        <v>72.7</v>
      </c>
      <c r="G201">
        <v>257</v>
      </c>
      <c r="H201">
        <v>162</v>
      </c>
      <c r="I201" t="s">
        <v>16</v>
      </c>
      <c r="J201">
        <v>5</v>
      </c>
      <c r="K201" t="s">
        <v>20</v>
      </c>
      <c r="L201">
        <v>59270</v>
      </c>
      <c r="M201">
        <v>3.75</v>
      </c>
      <c r="N201" s="6">
        <f t="shared" si="3"/>
        <v>5605216057.6000004</v>
      </c>
    </row>
    <row r="202" spans="1:14" x14ac:dyDescent="0.35">
      <c r="A202" t="s">
        <v>29</v>
      </c>
      <c r="B202" t="s">
        <v>30</v>
      </c>
      <c r="C202">
        <v>2022</v>
      </c>
      <c r="D202" t="s">
        <v>43</v>
      </c>
      <c r="E202">
        <v>112086.56</v>
      </c>
      <c r="F202">
        <v>61.2</v>
      </c>
      <c r="G202">
        <v>215</v>
      </c>
      <c r="H202">
        <v>152</v>
      </c>
      <c r="I202" t="s">
        <v>40</v>
      </c>
      <c r="J202">
        <v>5</v>
      </c>
      <c r="K202" t="s">
        <v>17</v>
      </c>
      <c r="L202">
        <v>140793</v>
      </c>
      <c r="M202">
        <v>3.65</v>
      </c>
      <c r="N202" s="6">
        <f t="shared" si="3"/>
        <v>15781003042.08</v>
      </c>
    </row>
    <row r="203" spans="1:14" x14ac:dyDescent="0.35">
      <c r="A203" t="s">
        <v>34</v>
      </c>
      <c r="B203" t="s">
        <v>44</v>
      </c>
      <c r="C203">
        <v>2022</v>
      </c>
      <c r="D203" t="s">
        <v>38</v>
      </c>
      <c r="E203">
        <v>64416.89</v>
      </c>
      <c r="F203">
        <v>70</v>
      </c>
      <c r="G203">
        <v>262</v>
      </c>
      <c r="H203">
        <v>142</v>
      </c>
      <c r="I203" t="s">
        <v>21</v>
      </c>
      <c r="J203">
        <v>5</v>
      </c>
      <c r="K203" t="s">
        <v>22</v>
      </c>
      <c r="L203">
        <v>31870</v>
      </c>
      <c r="M203">
        <v>3.9</v>
      </c>
      <c r="N203" s="6">
        <f t="shared" si="3"/>
        <v>2052966284.3</v>
      </c>
    </row>
    <row r="204" spans="1:14" x14ac:dyDescent="0.35">
      <c r="A204" t="s">
        <v>57</v>
      </c>
      <c r="B204" t="s">
        <v>72</v>
      </c>
      <c r="C204">
        <v>2022</v>
      </c>
      <c r="D204" t="s">
        <v>20</v>
      </c>
      <c r="E204">
        <v>39147.79</v>
      </c>
      <c r="F204">
        <v>52.5</v>
      </c>
      <c r="G204">
        <v>215</v>
      </c>
      <c r="H204">
        <v>170</v>
      </c>
      <c r="I204" t="s">
        <v>16</v>
      </c>
      <c r="J204">
        <v>4</v>
      </c>
      <c r="K204" t="s">
        <v>22</v>
      </c>
      <c r="L204">
        <v>78104</v>
      </c>
      <c r="M204">
        <v>3.41</v>
      </c>
      <c r="N204" s="6">
        <f t="shared" si="3"/>
        <v>3057598990.1599998</v>
      </c>
    </row>
    <row r="205" spans="1:14" x14ac:dyDescent="0.35">
      <c r="A205" t="s">
        <v>13</v>
      </c>
      <c r="B205" t="s">
        <v>55</v>
      </c>
      <c r="C205">
        <v>2022</v>
      </c>
      <c r="D205" t="s">
        <v>15</v>
      </c>
      <c r="E205">
        <v>46348.56</v>
      </c>
      <c r="F205">
        <v>90</v>
      </c>
      <c r="G205">
        <v>333</v>
      </c>
      <c r="H205">
        <v>188</v>
      </c>
      <c r="I205" t="s">
        <v>21</v>
      </c>
      <c r="J205">
        <v>4</v>
      </c>
      <c r="K205" t="s">
        <v>22</v>
      </c>
      <c r="L205">
        <v>219975</v>
      </c>
      <c r="M205">
        <v>3.79</v>
      </c>
      <c r="N205" s="6">
        <f t="shared" si="3"/>
        <v>10195524486</v>
      </c>
    </row>
    <row r="206" spans="1:14" x14ac:dyDescent="0.35">
      <c r="A206" t="s">
        <v>29</v>
      </c>
      <c r="B206" t="s">
        <v>53</v>
      </c>
      <c r="C206">
        <v>2022</v>
      </c>
      <c r="D206" t="s">
        <v>28</v>
      </c>
      <c r="E206">
        <v>109130.05</v>
      </c>
      <c r="F206">
        <v>91.6</v>
      </c>
      <c r="G206">
        <v>339</v>
      </c>
      <c r="H206">
        <v>160</v>
      </c>
      <c r="I206" t="s">
        <v>16</v>
      </c>
      <c r="J206">
        <v>5</v>
      </c>
      <c r="K206" t="s">
        <v>17</v>
      </c>
      <c r="L206">
        <v>161385</v>
      </c>
      <c r="M206">
        <v>4.17</v>
      </c>
      <c r="N206" s="6">
        <f t="shared" si="3"/>
        <v>17611953119.25</v>
      </c>
    </row>
    <row r="207" spans="1:14" x14ac:dyDescent="0.35">
      <c r="A207" t="s">
        <v>45</v>
      </c>
      <c r="B207" t="s">
        <v>48</v>
      </c>
      <c r="C207">
        <v>2022</v>
      </c>
      <c r="D207" t="s">
        <v>28</v>
      </c>
      <c r="E207">
        <v>59084.31</v>
      </c>
      <c r="F207">
        <v>100.3</v>
      </c>
      <c r="G207">
        <v>349</v>
      </c>
      <c r="H207">
        <v>182</v>
      </c>
      <c r="I207" t="s">
        <v>32</v>
      </c>
      <c r="J207">
        <v>4</v>
      </c>
      <c r="K207" t="s">
        <v>22</v>
      </c>
      <c r="L207">
        <v>242445</v>
      </c>
      <c r="M207">
        <v>3.57</v>
      </c>
      <c r="N207" s="6">
        <f t="shared" si="3"/>
        <v>14324695537.949999</v>
      </c>
    </row>
    <row r="208" spans="1:14" x14ac:dyDescent="0.35">
      <c r="A208" t="s">
        <v>64</v>
      </c>
      <c r="B208" t="s">
        <v>95</v>
      </c>
      <c r="C208">
        <v>2022</v>
      </c>
      <c r="D208" t="s">
        <v>15</v>
      </c>
      <c r="E208">
        <v>74178.539999999994</v>
      </c>
      <c r="F208">
        <v>74</v>
      </c>
      <c r="G208">
        <v>257</v>
      </c>
      <c r="H208">
        <v>187</v>
      </c>
      <c r="I208" t="s">
        <v>33</v>
      </c>
      <c r="J208">
        <v>5</v>
      </c>
      <c r="K208" t="s">
        <v>20</v>
      </c>
      <c r="L208">
        <v>60959</v>
      </c>
      <c r="M208">
        <v>3.29</v>
      </c>
      <c r="N208" s="6">
        <f t="shared" si="3"/>
        <v>4521849619.8599997</v>
      </c>
    </row>
    <row r="209" spans="1:14" x14ac:dyDescent="0.35">
      <c r="A209" t="s">
        <v>45</v>
      </c>
      <c r="B209" t="s">
        <v>88</v>
      </c>
      <c r="C209">
        <v>2022</v>
      </c>
      <c r="D209" t="s">
        <v>38</v>
      </c>
      <c r="E209">
        <v>51140.49</v>
      </c>
      <c r="F209">
        <v>58.3</v>
      </c>
      <c r="G209">
        <v>209</v>
      </c>
      <c r="H209">
        <v>182</v>
      </c>
      <c r="I209" t="s">
        <v>25</v>
      </c>
      <c r="J209">
        <v>5</v>
      </c>
      <c r="K209" t="s">
        <v>22</v>
      </c>
      <c r="L209">
        <v>122452</v>
      </c>
      <c r="M209">
        <v>3.62</v>
      </c>
      <c r="N209" s="6">
        <f t="shared" si="3"/>
        <v>6262255281.4799995</v>
      </c>
    </row>
    <row r="210" spans="1:14" x14ac:dyDescent="0.35">
      <c r="A210" t="s">
        <v>75</v>
      </c>
      <c r="B210" t="s">
        <v>108</v>
      </c>
      <c r="C210">
        <v>2022</v>
      </c>
      <c r="D210" t="s">
        <v>20</v>
      </c>
      <c r="E210">
        <v>102878.64</v>
      </c>
      <c r="F210">
        <v>67.400000000000006</v>
      </c>
      <c r="G210">
        <v>249</v>
      </c>
      <c r="H210">
        <v>161</v>
      </c>
      <c r="I210" t="s">
        <v>40</v>
      </c>
      <c r="J210">
        <v>5</v>
      </c>
      <c r="K210" t="s">
        <v>17</v>
      </c>
      <c r="L210">
        <v>27062</v>
      </c>
      <c r="M210">
        <v>3.19</v>
      </c>
      <c r="N210" s="6">
        <f t="shared" si="3"/>
        <v>2784101755.6799998</v>
      </c>
    </row>
    <row r="211" spans="1:14" x14ac:dyDescent="0.35">
      <c r="A211" t="s">
        <v>102</v>
      </c>
      <c r="B211" t="s">
        <v>103</v>
      </c>
      <c r="C211">
        <v>2022</v>
      </c>
      <c r="D211" t="s">
        <v>15</v>
      </c>
      <c r="E211">
        <v>74428.14</v>
      </c>
      <c r="F211">
        <v>86.1</v>
      </c>
      <c r="G211">
        <v>316</v>
      </c>
      <c r="H211">
        <v>191</v>
      </c>
      <c r="I211" t="s">
        <v>16</v>
      </c>
      <c r="J211">
        <v>5</v>
      </c>
      <c r="K211" t="s">
        <v>20</v>
      </c>
      <c r="L211">
        <v>3031</v>
      </c>
      <c r="M211">
        <v>3.51</v>
      </c>
      <c r="N211" s="6">
        <f t="shared" si="3"/>
        <v>225591692.34</v>
      </c>
    </row>
    <row r="212" spans="1:14" x14ac:dyDescent="0.35">
      <c r="A212" t="s">
        <v>26</v>
      </c>
      <c r="B212" t="s">
        <v>61</v>
      </c>
      <c r="C212">
        <v>2022</v>
      </c>
      <c r="D212" t="s">
        <v>28</v>
      </c>
      <c r="E212">
        <v>73675.86</v>
      </c>
      <c r="F212">
        <v>96</v>
      </c>
      <c r="G212">
        <v>333</v>
      </c>
      <c r="H212">
        <v>183</v>
      </c>
      <c r="I212" t="s">
        <v>21</v>
      </c>
      <c r="J212">
        <v>5</v>
      </c>
      <c r="K212" t="s">
        <v>20</v>
      </c>
      <c r="L212">
        <v>89937</v>
      </c>
      <c r="M212">
        <v>3.58</v>
      </c>
      <c r="N212" s="6">
        <f t="shared" si="3"/>
        <v>6626185820.8199997</v>
      </c>
    </row>
    <row r="213" spans="1:14" x14ac:dyDescent="0.35">
      <c r="A213" t="s">
        <v>18</v>
      </c>
      <c r="B213" t="s">
        <v>93</v>
      </c>
      <c r="C213">
        <v>2022</v>
      </c>
      <c r="D213" t="s">
        <v>38</v>
      </c>
      <c r="E213">
        <v>35115.72</v>
      </c>
      <c r="F213">
        <v>61.4</v>
      </c>
      <c r="G213">
        <v>238</v>
      </c>
      <c r="H213">
        <v>138</v>
      </c>
      <c r="I213" t="s">
        <v>32</v>
      </c>
      <c r="J213">
        <v>4</v>
      </c>
      <c r="K213" t="s">
        <v>22</v>
      </c>
      <c r="L213">
        <v>3528</v>
      </c>
      <c r="M213">
        <v>3.67</v>
      </c>
      <c r="N213" s="6">
        <f t="shared" si="3"/>
        <v>123888260.16000001</v>
      </c>
    </row>
    <row r="214" spans="1:14" x14ac:dyDescent="0.35">
      <c r="A214" t="s">
        <v>64</v>
      </c>
      <c r="B214" t="s">
        <v>97</v>
      </c>
      <c r="C214">
        <v>2022</v>
      </c>
      <c r="D214" t="s">
        <v>43</v>
      </c>
      <c r="E214">
        <v>99869.64</v>
      </c>
      <c r="F214">
        <v>50.6</v>
      </c>
      <c r="G214">
        <v>193</v>
      </c>
      <c r="H214">
        <v>135</v>
      </c>
      <c r="I214" t="s">
        <v>33</v>
      </c>
      <c r="J214">
        <v>4</v>
      </c>
      <c r="K214" t="s">
        <v>20</v>
      </c>
      <c r="L214">
        <v>76842</v>
      </c>
      <c r="M214">
        <v>3.62</v>
      </c>
      <c r="N214" s="6">
        <f t="shared" si="3"/>
        <v>7674182876.8800001</v>
      </c>
    </row>
    <row r="215" spans="1:14" x14ac:dyDescent="0.35">
      <c r="A215" t="s">
        <v>45</v>
      </c>
      <c r="B215" t="s">
        <v>77</v>
      </c>
      <c r="C215">
        <v>2022</v>
      </c>
      <c r="D215" t="s">
        <v>43</v>
      </c>
      <c r="E215">
        <v>30805.35</v>
      </c>
      <c r="F215">
        <v>40</v>
      </c>
      <c r="G215">
        <v>150</v>
      </c>
      <c r="H215">
        <v>141</v>
      </c>
      <c r="I215" t="s">
        <v>16</v>
      </c>
      <c r="J215">
        <v>5</v>
      </c>
      <c r="K215" t="s">
        <v>47</v>
      </c>
      <c r="L215">
        <v>133529</v>
      </c>
      <c r="M215">
        <v>3.4</v>
      </c>
      <c r="N215" s="6">
        <f t="shared" si="3"/>
        <v>4113407580.1499996</v>
      </c>
    </row>
    <row r="216" spans="1:14" x14ac:dyDescent="0.35">
      <c r="A216" t="s">
        <v>34</v>
      </c>
      <c r="B216" t="s">
        <v>44</v>
      </c>
      <c r="C216">
        <v>2022</v>
      </c>
      <c r="D216" t="s">
        <v>43</v>
      </c>
      <c r="E216">
        <v>126403.53</v>
      </c>
      <c r="F216">
        <v>64.900000000000006</v>
      </c>
      <c r="G216">
        <v>225</v>
      </c>
      <c r="H216">
        <v>137</v>
      </c>
      <c r="I216" t="s">
        <v>21</v>
      </c>
      <c r="J216">
        <v>4</v>
      </c>
      <c r="K216" t="s">
        <v>17</v>
      </c>
      <c r="L216">
        <v>37272</v>
      </c>
      <c r="M216">
        <v>3.78</v>
      </c>
      <c r="N216" s="6">
        <f t="shared" si="3"/>
        <v>4711312370.1599998</v>
      </c>
    </row>
    <row r="217" spans="1:14" x14ac:dyDescent="0.35">
      <c r="A217" t="s">
        <v>45</v>
      </c>
      <c r="B217" t="s">
        <v>46</v>
      </c>
      <c r="C217">
        <v>2022</v>
      </c>
      <c r="D217" t="s">
        <v>28</v>
      </c>
      <c r="E217">
        <v>53237.26</v>
      </c>
      <c r="F217">
        <v>103</v>
      </c>
      <c r="G217">
        <v>376</v>
      </c>
      <c r="H217">
        <v>186</v>
      </c>
      <c r="I217" t="s">
        <v>16</v>
      </c>
      <c r="J217">
        <v>5</v>
      </c>
      <c r="K217" t="s">
        <v>22</v>
      </c>
      <c r="L217">
        <v>163016</v>
      </c>
      <c r="M217">
        <v>3.81</v>
      </c>
      <c r="N217" s="6">
        <f t="shared" si="3"/>
        <v>8678525176.1599998</v>
      </c>
    </row>
    <row r="218" spans="1:14" x14ac:dyDescent="0.35">
      <c r="A218" t="s">
        <v>34</v>
      </c>
      <c r="B218" t="s">
        <v>78</v>
      </c>
      <c r="C218">
        <v>2022</v>
      </c>
      <c r="D218" t="s">
        <v>20</v>
      </c>
      <c r="E218">
        <v>155446.31</v>
      </c>
      <c r="F218">
        <v>72.7</v>
      </c>
      <c r="G218">
        <v>265</v>
      </c>
      <c r="H218">
        <v>175</v>
      </c>
      <c r="I218" t="s">
        <v>40</v>
      </c>
      <c r="J218">
        <v>5</v>
      </c>
      <c r="K218" t="s">
        <v>17</v>
      </c>
      <c r="L218">
        <v>41853</v>
      </c>
      <c r="M218">
        <v>3.77</v>
      </c>
      <c r="N218" s="6">
        <f t="shared" si="3"/>
        <v>6505894412.4300003</v>
      </c>
    </row>
    <row r="219" spans="1:14" x14ac:dyDescent="0.35">
      <c r="A219" t="s">
        <v>49</v>
      </c>
      <c r="B219" t="s">
        <v>87</v>
      </c>
      <c r="C219">
        <v>2022</v>
      </c>
      <c r="D219" t="s">
        <v>20</v>
      </c>
      <c r="E219">
        <v>55487.47</v>
      </c>
      <c r="F219">
        <v>41.2</v>
      </c>
      <c r="G219">
        <v>154</v>
      </c>
      <c r="H219">
        <v>169</v>
      </c>
      <c r="I219" t="s">
        <v>40</v>
      </c>
      <c r="J219">
        <v>3</v>
      </c>
      <c r="K219" t="s">
        <v>22</v>
      </c>
      <c r="L219">
        <v>52238</v>
      </c>
      <c r="M219">
        <v>3.21</v>
      </c>
      <c r="N219" s="6">
        <f t="shared" si="3"/>
        <v>2898554457.8600001</v>
      </c>
    </row>
    <row r="220" spans="1:14" x14ac:dyDescent="0.35">
      <c r="A220" t="s">
        <v>64</v>
      </c>
      <c r="B220" t="s">
        <v>85</v>
      </c>
      <c r="C220">
        <v>2022</v>
      </c>
      <c r="D220" t="s">
        <v>38</v>
      </c>
      <c r="E220">
        <v>51043.69</v>
      </c>
      <c r="F220">
        <v>76</v>
      </c>
      <c r="G220">
        <v>263</v>
      </c>
      <c r="H220">
        <v>172</v>
      </c>
      <c r="I220" t="s">
        <v>33</v>
      </c>
      <c r="J220">
        <v>4</v>
      </c>
      <c r="K220" t="s">
        <v>22</v>
      </c>
      <c r="L220">
        <v>44259</v>
      </c>
      <c r="M220">
        <v>3.39</v>
      </c>
      <c r="N220" s="6">
        <f t="shared" si="3"/>
        <v>2259142675.71</v>
      </c>
    </row>
    <row r="221" spans="1:14" x14ac:dyDescent="0.35">
      <c r="A221" t="s">
        <v>57</v>
      </c>
      <c r="B221" t="s">
        <v>58</v>
      </c>
      <c r="C221">
        <v>2022</v>
      </c>
      <c r="D221" t="s">
        <v>43</v>
      </c>
      <c r="E221">
        <v>56513.760000000002</v>
      </c>
      <c r="F221">
        <v>52.3</v>
      </c>
      <c r="G221">
        <v>189</v>
      </c>
      <c r="H221">
        <v>162</v>
      </c>
      <c r="I221" t="s">
        <v>16</v>
      </c>
      <c r="J221">
        <v>3</v>
      </c>
      <c r="K221" t="s">
        <v>22</v>
      </c>
      <c r="L221">
        <v>39584</v>
      </c>
      <c r="M221">
        <v>3.23</v>
      </c>
      <c r="N221" s="6">
        <f t="shared" si="3"/>
        <v>2237040675.8400002</v>
      </c>
    </row>
    <row r="222" spans="1:14" x14ac:dyDescent="0.35">
      <c r="A222" t="s">
        <v>29</v>
      </c>
      <c r="B222" t="s">
        <v>59</v>
      </c>
      <c r="C222">
        <v>2022</v>
      </c>
      <c r="D222" t="s">
        <v>38</v>
      </c>
      <c r="E222">
        <v>53235.86</v>
      </c>
      <c r="F222">
        <v>84.7</v>
      </c>
      <c r="G222">
        <v>305</v>
      </c>
      <c r="H222">
        <v>178</v>
      </c>
      <c r="I222" t="s">
        <v>33</v>
      </c>
      <c r="J222">
        <v>4</v>
      </c>
      <c r="K222" t="s">
        <v>22</v>
      </c>
      <c r="L222">
        <v>178460</v>
      </c>
      <c r="M222">
        <v>3.67</v>
      </c>
      <c r="N222" s="6">
        <f t="shared" si="3"/>
        <v>9500471575.6000004</v>
      </c>
    </row>
    <row r="223" spans="1:14" x14ac:dyDescent="0.35">
      <c r="A223" t="s">
        <v>45</v>
      </c>
      <c r="B223" t="s">
        <v>48</v>
      </c>
      <c r="C223">
        <v>2022</v>
      </c>
      <c r="D223" t="s">
        <v>28</v>
      </c>
      <c r="E223">
        <v>101092.71</v>
      </c>
      <c r="F223">
        <v>80.099999999999994</v>
      </c>
      <c r="G223">
        <v>278</v>
      </c>
      <c r="H223">
        <v>177</v>
      </c>
      <c r="I223" t="s">
        <v>40</v>
      </c>
      <c r="J223">
        <v>5</v>
      </c>
      <c r="K223" t="s">
        <v>17</v>
      </c>
      <c r="L223">
        <v>230522</v>
      </c>
      <c r="M223">
        <v>3.61</v>
      </c>
      <c r="N223" s="6">
        <f t="shared" si="3"/>
        <v>23304093694.620003</v>
      </c>
    </row>
    <row r="224" spans="1:14" x14ac:dyDescent="0.35">
      <c r="A224" t="s">
        <v>13</v>
      </c>
      <c r="B224" t="s">
        <v>56</v>
      </c>
      <c r="C224">
        <v>2022</v>
      </c>
      <c r="D224" t="s">
        <v>15</v>
      </c>
      <c r="E224">
        <v>94244.35</v>
      </c>
      <c r="F224">
        <v>75.7</v>
      </c>
      <c r="G224">
        <v>264</v>
      </c>
      <c r="H224">
        <v>200</v>
      </c>
      <c r="I224" t="s">
        <v>21</v>
      </c>
      <c r="J224">
        <v>4</v>
      </c>
      <c r="K224" t="s">
        <v>20</v>
      </c>
      <c r="L224">
        <v>251606</v>
      </c>
      <c r="M224">
        <v>3.39</v>
      </c>
      <c r="N224" s="6">
        <f t="shared" si="3"/>
        <v>23712443926.100002</v>
      </c>
    </row>
    <row r="225" spans="1:14" x14ac:dyDescent="0.35">
      <c r="A225" t="s">
        <v>13</v>
      </c>
      <c r="B225" t="s">
        <v>14</v>
      </c>
      <c r="C225">
        <v>2022</v>
      </c>
      <c r="D225" t="s">
        <v>15</v>
      </c>
      <c r="E225">
        <v>46160.26</v>
      </c>
      <c r="F225">
        <v>117.4</v>
      </c>
      <c r="G225">
        <v>399</v>
      </c>
      <c r="H225">
        <v>198</v>
      </c>
      <c r="I225" t="s">
        <v>33</v>
      </c>
      <c r="J225">
        <v>5</v>
      </c>
      <c r="K225" t="s">
        <v>22</v>
      </c>
      <c r="L225">
        <v>298179</v>
      </c>
      <c r="M225">
        <v>3.96</v>
      </c>
      <c r="N225" s="6">
        <f t="shared" si="3"/>
        <v>13764020166.540001</v>
      </c>
    </row>
    <row r="226" spans="1:14" x14ac:dyDescent="0.35">
      <c r="A226" t="s">
        <v>67</v>
      </c>
      <c r="B226" t="s">
        <v>98</v>
      </c>
      <c r="C226">
        <v>2022</v>
      </c>
      <c r="D226" t="s">
        <v>38</v>
      </c>
      <c r="E226">
        <v>84689.7</v>
      </c>
      <c r="F226">
        <v>69.599999999999994</v>
      </c>
      <c r="G226">
        <v>254</v>
      </c>
      <c r="H226">
        <v>135</v>
      </c>
      <c r="I226" t="s">
        <v>25</v>
      </c>
      <c r="J226">
        <v>5</v>
      </c>
      <c r="K226" t="s">
        <v>20</v>
      </c>
      <c r="L226">
        <v>55401</v>
      </c>
      <c r="M226">
        <v>3.66</v>
      </c>
      <c r="N226" s="6">
        <f t="shared" si="3"/>
        <v>4691894069.6999998</v>
      </c>
    </row>
    <row r="227" spans="1:14" x14ac:dyDescent="0.35">
      <c r="A227" t="s">
        <v>57</v>
      </c>
      <c r="B227" t="s">
        <v>62</v>
      </c>
      <c r="C227">
        <v>2022</v>
      </c>
      <c r="D227" t="s">
        <v>28</v>
      </c>
      <c r="E227">
        <v>44715.21</v>
      </c>
      <c r="F227">
        <v>85</v>
      </c>
      <c r="G227">
        <v>299</v>
      </c>
      <c r="H227">
        <v>179</v>
      </c>
      <c r="I227" t="s">
        <v>21</v>
      </c>
      <c r="J227">
        <v>5</v>
      </c>
      <c r="K227" t="s">
        <v>22</v>
      </c>
      <c r="L227">
        <v>77918</v>
      </c>
      <c r="M227">
        <v>3.48</v>
      </c>
      <c r="N227" s="6">
        <f t="shared" si="3"/>
        <v>3484119732.7799997</v>
      </c>
    </row>
    <row r="228" spans="1:14" x14ac:dyDescent="0.35">
      <c r="A228" t="s">
        <v>29</v>
      </c>
      <c r="B228" t="s">
        <v>53</v>
      </c>
      <c r="C228">
        <v>2022</v>
      </c>
      <c r="D228" t="s">
        <v>38</v>
      </c>
      <c r="E228">
        <v>33281.599999999999</v>
      </c>
      <c r="F228">
        <v>82.5</v>
      </c>
      <c r="G228">
        <v>281</v>
      </c>
      <c r="H228">
        <v>175</v>
      </c>
      <c r="I228" t="s">
        <v>16</v>
      </c>
      <c r="J228">
        <v>5</v>
      </c>
      <c r="K228" t="s">
        <v>47</v>
      </c>
      <c r="L228">
        <v>223257</v>
      </c>
      <c r="M228">
        <v>3.91</v>
      </c>
      <c r="N228" s="6">
        <f t="shared" si="3"/>
        <v>7430350171.1999998</v>
      </c>
    </row>
    <row r="229" spans="1:14" x14ac:dyDescent="0.35">
      <c r="A229" t="s">
        <v>45</v>
      </c>
      <c r="B229" t="s">
        <v>88</v>
      </c>
      <c r="C229">
        <v>2022</v>
      </c>
      <c r="D229" t="s">
        <v>38</v>
      </c>
      <c r="E229">
        <v>24219.14</v>
      </c>
      <c r="F229">
        <v>71.400000000000006</v>
      </c>
      <c r="G229">
        <v>265</v>
      </c>
      <c r="H229">
        <v>170</v>
      </c>
      <c r="I229" t="s">
        <v>33</v>
      </c>
      <c r="J229">
        <v>4</v>
      </c>
      <c r="K229" t="s">
        <v>47</v>
      </c>
      <c r="L229">
        <v>166519</v>
      </c>
      <c r="M229">
        <v>3.3</v>
      </c>
      <c r="N229" s="6">
        <f t="shared" si="3"/>
        <v>4032946973.6599998</v>
      </c>
    </row>
    <row r="230" spans="1:14" x14ac:dyDescent="0.35">
      <c r="A230" t="s">
        <v>45</v>
      </c>
      <c r="B230" t="s">
        <v>77</v>
      </c>
      <c r="C230">
        <v>2022</v>
      </c>
      <c r="D230" t="s">
        <v>28</v>
      </c>
      <c r="E230">
        <v>43671.62</v>
      </c>
      <c r="F230">
        <v>95.1</v>
      </c>
      <c r="G230">
        <v>328</v>
      </c>
      <c r="H230">
        <v>173</v>
      </c>
      <c r="I230" t="s">
        <v>33</v>
      </c>
      <c r="J230">
        <v>3</v>
      </c>
      <c r="K230" t="s">
        <v>22</v>
      </c>
      <c r="L230">
        <v>203792</v>
      </c>
      <c r="M230">
        <v>3.47</v>
      </c>
      <c r="N230" s="6">
        <f t="shared" si="3"/>
        <v>8899926783.0400009</v>
      </c>
    </row>
    <row r="231" spans="1:14" x14ac:dyDescent="0.35">
      <c r="A231" t="s">
        <v>23</v>
      </c>
      <c r="B231" t="s">
        <v>24</v>
      </c>
      <c r="C231">
        <v>2022</v>
      </c>
      <c r="D231" t="s">
        <v>38</v>
      </c>
      <c r="E231">
        <v>44453.56</v>
      </c>
      <c r="F231">
        <v>69.7</v>
      </c>
      <c r="G231">
        <v>242</v>
      </c>
      <c r="H231">
        <v>145</v>
      </c>
      <c r="I231" t="s">
        <v>25</v>
      </c>
      <c r="J231">
        <v>5</v>
      </c>
      <c r="K231" t="s">
        <v>22</v>
      </c>
      <c r="L231">
        <v>19383</v>
      </c>
      <c r="M231">
        <v>3.42</v>
      </c>
      <c r="N231" s="6">
        <f t="shared" si="3"/>
        <v>861643353.4799999</v>
      </c>
    </row>
    <row r="232" spans="1:14" x14ac:dyDescent="0.35">
      <c r="A232" t="s">
        <v>29</v>
      </c>
      <c r="B232" t="s">
        <v>59</v>
      </c>
      <c r="C232">
        <v>2022</v>
      </c>
      <c r="D232" t="s">
        <v>20</v>
      </c>
      <c r="E232">
        <v>78153.08</v>
      </c>
      <c r="F232">
        <v>79.8</v>
      </c>
      <c r="G232">
        <v>277</v>
      </c>
      <c r="H232">
        <v>130</v>
      </c>
      <c r="I232" t="s">
        <v>32</v>
      </c>
      <c r="J232">
        <v>4</v>
      </c>
      <c r="K232" t="s">
        <v>20</v>
      </c>
      <c r="L232">
        <v>114033</v>
      </c>
      <c r="M232">
        <v>3.63</v>
      </c>
      <c r="N232" s="6">
        <f t="shared" si="3"/>
        <v>8912030171.6399994</v>
      </c>
    </row>
    <row r="233" spans="1:14" x14ac:dyDescent="0.35">
      <c r="A233" t="s">
        <v>34</v>
      </c>
      <c r="B233" t="s">
        <v>84</v>
      </c>
      <c r="C233">
        <v>2022</v>
      </c>
      <c r="D233" t="s">
        <v>20</v>
      </c>
      <c r="E233">
        <v>93751.44</v>
      </c>
      <c r="F233">
        <v>73.400000000000006</v>
      </c>
      <c r="G233">
        <v>267</v>
      </c>
      <c r="H233">
        <v>166</v>
      </c>
      <c r="I233" t="s">
        <v>25</v>
      </c>
      <c r="J233">
        <v>5</v>
      </c>
      <c r="K233" t="s">
        <v>20</v>
      </c>
      <c r="L233">
        <v>32471</v>
      </c>
      <c r="M233">
        <v>3.81</v>
      </c>
      <c r="N233" s="6">
        <f t="shared" si="3"/>
        <v>3044203008.2400002</v>
      </c>
    </row>
    <row r="234" spans="1:14" x14ac:dyDescent="0.35">
      <c r="A234" t="s">
        <v>13</v>
      </c>
      <c r="B234" t="s">
        <v>56</v>
      </c>
      <c r="C234">
        <v>2022</v>
      </c>
      <c r="D234" t="s">
        <v>38</v>
      </c>
      <c r="E234">
        <v>29912.83</v>
      </c>
      <c r="F234">
        <v>40.5</v>
      </c>
      <c r="G234">
        <v>150</v>
      </c>
      <c r="H234">
        <v>140</v>
      </c>
      <c r="I234" t="s">
        <v>25</v>
      </c>
      <c r="J234">
        <v>5</v>
      </c>
      <c r="K234" t="s">
        <v>47</v>
      </c>
      <c r="L234">
        <v>200434</v>
      </c>
      <c r="M234">
        <v>3.19</v>
      </c>
      <c r="N234" s="6">
        <f t="shared" si="3"/>
        <v>5995548168.2200003</v>
      </c>
    </row>
    <row r="235" spans="1:14" x14ac:dyDescent="0.35">
      <c r="A235" t="s">
        <v>29</v>
      </c>
      <c r="B235" t="s">
        <v>59</v>
      </c>
      <c r="C235">
        <v>2022</v>
      </c>
      <c r="D235" t="s">
        <v>15</v>
      </c>
      <c r="E235">
        <v>117706.38</v>
      </c>
      <c r="F235">
        <v>71.400000000000006</v>
      </c>
      <c r="G235">
        <v>249</v>
      </c>
      <c r="H235">
        <v>189</v>
      </c>
      <c r="I235" t="s">
        <v>16</v>
      </c>
      <c r="J235">
        <v>5</v>
      </c>
      <c r="K235" t="s">
        <v>17</v>
      </c>
      <c r="L235">
        <v>160982</v>
      </c>
      <c r="M235">
        <v>3.75</v>
      </c>
      <c r="N235" s="6">
        <f t="shared" si="3"/>
        <v>18948608465.16</v>
      </c>
    </row>
    <row r="236" spans="1:14" x14ac:dyDescent="0.35">
      <c r="A236" t="s">
        <v>45</v>
      </c>
      <c r="B236" t="s">
        <v>48</v>
      </c>
      <c r="C236">
        <v>2022</v>
      </c>
      <c r="D236" t="s">
        <v>15</v>
      </c>
      <c r="E236">
        <v>98782.03</v>
      </c>
      <c r="F236">
        <v>77.8</v>
      </c>
      <c r="G236">
        <v>278</v>
      </c>
      <c r="H236">
        <v>192</v>
      </c>
      <c r="I236" t="s">
        <v>33</v>
      </c>
      <c r="J236">
        <v>4</v>
      </c>
      <c r="K236" t="s">
        <v>20</v>
      </c>
      <c r="L236">
        <v>130723</v>
      </c>
      <c r="M236">
        <v>3.47</v>
      </c>
      <c r="N236" s="6">
        <f t="shared" si="3"/>
        <v>12913083307.690001</v>
      </c>
    </row>
    <row r="237" spans="1:14" x14ac:dyDescent="0.35">
      <c r="A237" t="s">
        <v>26</v>
      </c>
      <c r="B237" t="s">
        <v>96</v>
      </c>
      <c r="C237">
        <v>2022</v>
      </c>
      <c r="D237" t="s">
        <v>20</v>
      </c>
      <c r="E237">
        <v>40060.04</v>
      </c>
      <c r="F237">
        <v>63</v>
      </c>
      <c r="G237">
        <v>235</v>
      </c>
      <c r="H237">
        <v>153</v>
      </c>
      <c r="I237" t="s">
        <v>40</v>
      </c>
      <c r="J237">
        <v>4</v>
      </c>
      <c r="K237" t="s">
        <v>22</v>
      </c>
      <c r="L237">
        <v>51025</v>
      </c>
      <c r="M237">
        <v>3.4</v>
      </c>
      <c r="N237" s="6">
        <f t="shared" si="3"/>
        <v>2044063541</v>
      </c>
    </row>
    <row r="238" spans="1:14" x14ac:dyDescent="0.35">
      <c r="A238" t="s">
        <v>29</v>
      </c>
      <c r="B238" t="s">
        <v>59</v>
      </c>
      <c r="C238">
        <v>2022</v>
      </c>
      <c r="D238" t="s">
        <v>38</v>
      </c>
      <c r="E238">
        <v>43328.14</v>
      </c>
      <c r="F238">
        <v>65.3</v>
      </c>
      <c r="G238">
        <v>226</v>
      </c>
      <c r="H238">
        <v>134</v>
      </c>
      <c r="I238" t="s">
        <v>25</v>
      </c>
      <c r="J238">
        <v>3</v>
      </c>
      <c r="K238" t="s">
        <v>22</v>
      </c>
      <c r="L238">
        <v>148395</v>
      </c>
      <c r="M238">
        <v>3.64</v>
      </c>
      <c r="N238" s="6">
        <f t="shared" si="3"/>
        <v>6429679335.3000002</v>
      </c>
    </row>
    <row r="239" spans="1:14" x14ac:dyDescent="0.35">
      <c r="A239" t="s">
        <v>64</v>
      </c>
      <c r="B239" t="s">
        <v>97</v>
      </c>
      <c r="C239">
        <v>2022</v>
      </c>
      <c r="D239" t="s">
        <v>15</v>
      </c>
      <c r="E239">
        <v>102335.06</v>
      </c>
      <c r="F239">
        <v>106.5</v>
      </c>
      <c r="G239">
        <v>365</v>
      </c>
      <c r="H239">
        <v>200</v>
      </c>
      <c r="I239" t="s">
        <v>32</v>
      </c>
      <c r="J239">
        <v>5</v>
      </c>
      <c r="K239" t="s">
        <v>17</v>
      </c>
      <c r="L239">
        <v>57345</v>
      </c>
      <c r="M239">
        <v>3.89</v>
      </c>
      <c r="N239" s="6">
        <f t="shared" si="3"/>
        <v>5868404015.6999998</v>
      </c>
    </row>
    <row r="240" spans="1:14" x14ac:dyDescent="0.35">
      <c r="A240" t="s">
        <v>26</v>
      </c>
      <c r="B240" t="s">
        <v>27</v>
      </c>
      <c r="C240">
        <v>2022</v>
      </c>
      <c r="D240" t="s">
        <v>43</v>
      </c>
      <c r="E240">
        <v>38543.18</v>
      </c>
      <c r="F240">
        <v>45.8</v>
      </c>
      <c r="G240">
        <v>159</v>
      </c>
      <c r="H240">
        <v>175</v>
      </c>
      <c r="I240" t="s">
        <v>21</v>
      </c>
      <c r="J240">
        <v>5</v>
      </c>
      <c r="K240" t="s">
        <v>22</v>
      </c>
      <c r="L240">
        <v>117943</v>
      </c>
      <c r="M240">
        <v>3.08</v>
      </c>
      <c r="N240" s="6">
        <f t="shared" si="3"/>
        <v>4545898278.7399998</v>
      </c>
    </row>
    <row r="241" spans="1:14" x14ac:dyDescent="0.35">
      <c r="A241" t="s">
        <v>13</v>
      </c>
      <c r="B241" t="s">
        <v>66</v>
      </c>
      <c r="C241">
        <v>2022</v>
      </c>
      <c r="D241" t="s">
        <v>38</v>
      </c>
      <c r="E241">
        <v>53614.66</v>
      </c>
      <c r="F241">
        <v>63.7</v>
      </c>
      <c r="G241">
        <v>213</v>
      </c>
      <c r="H241">
        <v>160</v>
      </c>
      <c r="I241" t="s">
        <v>21</v>
      </c>
      <c r="J241">
        <v>4</v>
      </c>
      <c r="K241" t="s">
        <v>22</v>
      </c>
      <c r="L241">
        <v>208794</v>
      </c>
      <c r="M241">
        <v>3.39</v>
      </c>
      <c r="N241" s="6">
        <f t="shared" si="3"/>
        <v>11194419320.040001</v>
      </c>
    </row>
    <row r="242" spans="1:14" x14ac:dyDescent="0.35">
      <c r="A242" t="s">
        <v>34</v>
      </c>
      <c r="B242" t="s">
        <v>44</v>
      </c>
      <c r="C242">
        <v>2022</v>
      </c>
      <c r="D242" t="s">
        <v>28</v>
      </c>
      <c r="E242">
        <v>74524.3</v>
      </c>
      <c r="F242">
        <v>84.1</v>
      </c>
      <c r="G242">
        <v>298</v>
      </c>
      <c r="H242">
        <v>180</v>
      </c>
      <c r="I242" t="s">
        <v>32</v>
      </c>
      <c r="J242">
        <v>5</v>
      </c>
      <c r="K242" t="s">
        <v>20</v>
      </c>
      <c r="L242">
        <v>75343</v>
      </c>
      <c r="M242">
        <v>3.85</v>
      </c>
      <c r="N242" s="6">
        <f t="shared" si="3"/>
        <v>5614884334.9000006</v>
      </c>
    </row>
    <row r="243" spans="1:14" x14ac:dyDescent="0.35">
      <c r="A243" t="s">
        <v>34</v>
      </c>
      <c r="B243" t="s">
        <v>84</v>
      </c>
      <c r="C243">
        <v>2022</v>
      </c>
      <c r="D243" t="s">
        <v>28</v>
      </c>
      <c r="E243">
        <v>100017.14</v>
      </c>
      <c r="F243">
        <v>108.6</v>
      </c>
      <c r="G243">
        <v>382</v>
      </c>
      <c r="H243">
        <v>157</v>
      </c>
      <c r="I243" t="s">
        <v>32</v>
      </c>
      <c r="J243">
        <v>5</v>
      </c>
      <c r="K243" t="s">
        <v>17</v>
      </c>
      <c r="L243">
        <v>39100</v>
      </c>
      <c r="M243">
        <v>3.99</v>
      </c>
      <c r="N243" s="6">
        <f t="shared" si="3"/>
        <v>3910670174</v>
      </c>
    </row>
    <row r="244" spans="1:14" x14ac:dyDescent="0.35">
      <c r="A244" t="s">
        <v>34</v>
      </c>
      <c r="B244" t="s">
        <v>78</v>
      </c>
      <c r="C244">
        <v>2022</v>
      </c>
      <c r="D244" t="s">
        <v>28</v>
      </c>
      <c r="E244">
        <v>117361.83</v>
      </c>
      <c r="F244">
        <v>91.3</v>
      </c>
      <c r="G244">
        <v>335</v>
      </c>
      <c r="H244">
        <v>158</v>
      </c>
      <c r="I244" t="s">
        <v>21</v>
      </c>
      <c r="J244">
        <v>4</v>
      </c>
      <c r="K244" t="s">
        <v>17</v>
      </c>
      <c r="L244">
        <v>75929</v>
      </c>
      <c r="M244">
        <v>3.88</v>
      </c>
      <c r="N244" s="6">
        <f t="shared" si="3"/>
        <v>8911166390.0699997</v>
      </c>
    </row>
    <row r="245" spans="1:14" x14ac:dyDescent="0.35">
      <c r="A245" t="s">
        <v>109</v>
      </c>
      <c r="B245" t="s">
        <v>118</v>
      </c>
      <c r="C245">
        <v>2022</v>
      </c>
      <c r="D245" t="s">
        <v>20</v>
      </c>
      <c r="E245">
        <v>60662.04</v>
      </c>
      <c r="F245">
        <v>67.2</v>
      </c>
      <c r="G245">
        <v>242</v>
      </c>
      <c r="H245">
        <v>154</v>
      </c>
      <c r="I245" t="s">
        <v>21</v>
      </c>
      <c r="J245">
        <v>4</v>
      </c>
      <c r="K245" t="s">
        <v>22</v>
      </c>
      <c r="L245">
        <v>10748</v>
      </c>
      <c r="M245">
        <v>3.54</v>
      </c>
      <c r="N245" s="6">
        <f t="shared" si="3"/>
        <v>651995605.91999996</v>
      </c>
    </row>
    <row r="246" spans="1:14" x14ac:dyDescent="0.35">
      <c r="A246" t="s">
        <v>57</v>
      </c>
      <c r="B246" t="s">
        <v>58</v>
      </c>
      <c r="C246">
        <v>2022</v>
      </c>
      <c r="D246" t="s">
        <v>38</v>
      </c>
      <c r="E246">
        <v>64696.27</v>
      </c>
      <c r="F246">
        <v>51.7</v>
      </c>
      <c r="G246">
        <v>165</v>
      </c>
      <c r="H246">
        <v>144</v>
      </c>
      <c r="I246" t="s">
        <v>25</v>
      </c>
      <c r="J246">
        <v>4</v>
      </c>
      <c r="K246" t="s">
        <v>22</v>
      </c>
      <c r="L246">
        <v>37967</v>
      </c>
      <c r="M246">
        <v>3.06</v>
      </c>
      <c r="N246" s="6">
        <f t="shared" si="3"/>
        <v>2456323283.0899997</v>
      </c>
    </row>
    <row r="247" spans="1:14" x14ac:dyDescent="0.35">
      <c r="A247" t="s">
        <v>45</v>
      </c>
      <c r="B247" t="s">
        <v>69</v>
      </c>
      <c r="C247">
        <v>2022</v>
      </c>
      <c r="D247" t="s">
        <v>43</v>
      </c>
      <c r="E247">
        <v>59138.53</v>
      </c>
      <c r="F247">
        <v>43.2</v>
      </c>
      <c r="G247">
        <v>160</v>
      </c>
      <c r="H247">
        <v>141</v>
      </c>
      <c r="I247" t="s">
        <v>40</v>
      </c>
      <c r="J247">
        <v>4</v>
      </c>
      <c r="K247" t="s">
        <v>22</v>
      </c>
      <c r="L247">
        <v>241442</v>
      </c>
      <c r="M247">
        <v>3.15</v>
      </c>
      <c r="N247" s="6">
        <f t="shared" si="3"/>
        <v>14278524960.26</v>
      </c>
    </row>
    <row r="248" spans="1:14" x14ac:dyDescent="0.35">
      <c r="A248" t="s">
        <v>23</v>
      </c>
      <c r="B248" t="s">
        <v>83</v>
      </c>
      <c r="C248">
        <v>2022</v>
      </c>
      <c r="D248" t="s">
        <v>38</v>
      </c>
      <c r="E248">
        <v>33771.620000000003</v>
      </c>
      <c r="F248">
        <v>73.400000000000006</v>
      </c>
      <c r="G248">
        <v>250</v>
      </c>
      <c r="H248">
        <v>157</v>
      </c>
      <c r="I248" t="s">
        <v>21</v>
      </c>
      <c r="J248">
        <v>4</v>
      </c>
      <c r="K248" t="s">
        <v>47</v>
      </c>
      <c r="L248">
        <v>22698</v>
      </c>
      <c r="M248">
        <v>3.33</v>
      </c>
      <c r="N248" s="6">
        <f t="shared" si="3"/>
        <v>766548230.76000011</v>
      </c>
    </row>
    <row r="249" spans="1:14" x14ac:dyDescent="0.35">
      <c r="A249" t="s">
        <v>45</v>
      </c>
      <c r="B249" t="s">
        <v>88</v>
      </c>
      <c r="C249">
        <v>2022</v>
      </c>
      <c r="D249" t="s">
        <v>38</v>
      </c>
      <c r="E249">
        <v>30225.18</v>
      </c>
      <c r="F249">
        <v>54.4</v>
      </c>
      <c r="G249">
        <v>172</v>
      </c>
      <c r="H249">
        <v>162</v>
      </c>
      <c r="I249" t="s">
        <v>33</v>
      </c>
      <c r="J249">
        <v>4</v>
      </c>
      <c r="K249" t="s">
        <v>47</v>
      </c>
      <c r="L249">
        <v>237770</v>
      </c>
      <c r="M249">
        <v>3.36</v>
      </c>
      <c r="N249" s="6">
        <f t="shared" si="3"/>
        <v>7186641048.6000004</v>
      </c>
    </row>
    <row r="250" spans="1:14" x14ac:dyDescent="0.35">
      <c r="A250" t="s">
        <v>45</v>
      </c>
      <c r="B250" t="s">
        <v>69</v>
      </c>
      <c r="C250">
        <v>2022</v>
      </c>
      <c r="D250" t="s">
        <v>43</v>
      </c>
      <c r="E250">
        <v>72612.58</v>
      </c>
      <c r="F250">
        <v>73.400000000000006</v>
      </c>
      <c r="G250">
        <v>257</v>
      </c>
      <c r="H250">
        <v>142</v>
      </c>
      <c r="I250" t="s">
        <v>25</v>
      </c>
      <c r="J250">
        <v>4</v>
      </c>
      <c r="K250" t="s">
        <v>20</v>
      </c>
      <c r="L250">
        <v>232843</v>
      </c>
      <c r="M250">
        <v>3.32</v>
      </c>
      <c r="N250" s="6">
        <f t="shared" si="3"/>
        <v>16907330964.940001</v>
      </c>
    </row>
    <row r="251" spans="1:14" x14ac:dyDescent="0.35">
      <c r="A251" t="s">
        <v>26</v>
      </c>
      <c r="B251" t="s">
        <v>36</v>
      </c>
      <c r="C251">
        <v>2022</v>
      </c>
      <c r="D251" t="s">
        <v>38</v>
      </c>
      <c r="E251">
        <v>34817.25</v>
      </c>
      <c r="F251">
        <v>56.3</v>
      </c>
      <c r="G251">
        <v>207</v>
      </c>
      <c r="H251">
        <v>173</v>
      </c>
      <c r="I251" t="s">
        <v>16</v>
      </c>
      <c r="J251">
        <v>4</v>
      </c>
      <c r="K251" t="s">
        <v>47</v>
      </c>
      <c r="L251">
        <v>109878</v>
      </c>
      <c r="M251">
        <v>3.27</v>
      </c>
      <c r="N251" s="6">
        <f t="shared" si="3"/>
        <v>3825649795.5</v>
      </c>
    </row>
    <row r="252" spans="1:14" x14ac:dyDescent="0.35">
      <c r="A252" t="s">
        <v>49</v>
      </c>
      <c r="B252" t="s">
        <v>71</v>
      </c>
      <c r="C252">
        <v>2022</v>
      </c>
      <c r="D252" t="s">
        <v>43</v>
      </c>
      <c r="E252">
        <v>39241.19</v>
      </c>
      <c r="F252">
        <v>62.3</v>
      </c>
      <c r="G252">
        <v>205</v>
      </c>
      <c r="H252">
        <v>173</v>
      </c>
      <c r="I252" t="s">
        <v>21</v>
      </c>
      <c r="J252">
        <v>5</v>
      </c>
      <c r="K252" t="s">
        <v>22</v>
      </c>
      <c r="L252">
        <v>50222</v>
      </c>
      <c r="M252">
        <v>3.32</v>
      </c>
      <c r="N252" s="6">
        <f t="shared" si="3"/>
        <v>1970771044.1800001</v>
      </c>
    </row>
    <row r="253" spans="1:14" x14ac:dyDescent="0.35">
      <c r="A253" t="s">
        <v>49</v>
      </c>
      <c r="B253" t="s">
        <v>60</v>
      </c>
      <c r="C253">
        <v>2022</v>
      </c>
      <c r="D253" t="s">
        <v>15</v>
      </c>
      <c r="E253">
        <v>56768.4</v>
      </c>
      <c r="F253">
        <v>117.3</v>
      </c>
      <c r="G253">
        <v>400</v>
      </c>
      <c r="H253">
        <v>200</v>
      </c>
      <c r="I253" t="s">
        <v>33</v>
      </c>
      <c r="J253">
        <v>5</v>
      </c>
      <c r="K253" t="s">
        <v>22</v>
      </c>
      <c r="L253">
        <v>141874</v>
      </c>
      <c r="M253">
        <v>4.18</v>
      </c>
      <c r="N253" s="6">
        <f t="shared" si="3"/>
        <v>8053959981.6000004</v>
      </c>
    </row>
    <row r="254" spans="1:14" x14ac:dyDescent="0.35">
      <c r="A254" t="s">
        <v>57</v>
      </c>
      <c r="B254" t="s">
        <v>79</v>
      </c>
      <c r="C254">
        <v>2022</v>
      </c>
      <c r="D254" t="s">
        <v>28</v>
      </c>
      <c r="E254">
        <v>86649.72</v>
      </c>
      <c r="F254">
        <v>78.8</v>
      </c>
      <c r="G254">
        <v>301</v>
      </c>
      <c r="H254">
        <v>175</v>
      </c>
      <c r="I254" t="s">
        <v>16</v>
      </c>
      <c r="J254">
        <v>5</v>
      </c>
      <c r="K254" t="s">
        <v>20</v>
      </c>
      <c r="L254">
        <v>45060</v>
      </c>
      <c r="M254">
        <v>3.95</v>
      </c>
      <c r="N254" s="6">
        <f t="shared" si="3"/>
        <v>3904436383.2000003</v>
      </c>
    </row>
    <row r="255" spans="1:14" x14ac:dyDescent="0.35">
      <c r="A255" t="s">
        <v>45</v>
      </c>
      <c r="B255" t="s">
        <v>88</v>
      </c>
      <c r="C255">
        <v>2022</v>
      </c>
      <c r="D255" t="s">
        <v>20</v>
      </c>
      <c r="E255">
        <v>39142.51</v>
      </c>
      <c r="F255">
        <v>67.400000000000006</v>
      </c>
      <c r="G255">
        <v>236</v>
      </c>
      <c r="H255">
        <v>159</v>
      </c>
      <c r="I255" t="s">
        <v>32</v>
      </c>
      <c r="J255">
        <v>3</v>
      </c>
      <c r="K255" t="s">
        <v>22</v>
      </c>
      <c r="L255">
        <v>143146</v>
      </c>
      <c r="M255">
        <v>3.46</v>
      </c>
      <c r="N255" s="6">
        <f t="shared" si="3"/>
        <v>5603093736.46</v>
      </c>
    </row>
    <row r="256" spans="1:14" x14ac:dyDescent="0.35">
      <c r="A256" t="s">
        <v>13</v>
      </c>
      <c r="B256" t="s">
        <v>56</v>
      </c>
      <c r="C256">
        <v>2022</v>
      </c>
      <c r="D256" t="s">
        <v>28</v>
      </c>
      <c r="E256">
        <v>73265.41</v>
      </c>
      <c r="F256">
        <v>102.2</v>
      </c>
      <c r="G256">
        <v>363</v>
      </c>
      <c r="H256">
        <v>187</v>
      </c>
      <c r="I256" t="s">
        <v>16</v>
      </c>
      <c r="J256">
        <v>3</v>
      </c>
      <c r="K256" t="s">
        <v>20</v>
      </c>
      <c r="L256">
        <v>255210</v>
      </c>
      <c r="M256">
        <v>3.55</v>
      </c>
      <c r="N256" s="6">
        <f t="shared" si="3"/>
        <v>18698065286.100002</v>
      </c>
    </row>
    <row r="257" spans="1:14" x14ac:dyDescent="0.35">
      <c r="A257" t="s">
        <v>34</v>
      </c>
      <c r="B257" t="s">
        <v>35</v>
      </c>
      <c r="C257">
        <v>2022</v>
      </c>
      <c r="D257" t="s">
        <v>28</v>
      </c>
      <c r="E257">
        <v>178840.11</v>
      </c>
      <c r="F257">
        <v>102.1</v>
      </c>
      <c r="G257">
        <v>380</v>
      </c>
      <c r="H257">
        <v>182</v>
      </c>
      <c r="I257" t="s">
        <v>16</v>
      </c>
      <c r="J257">
        <v>5</v>
      </c>
      <c r="K257" t="s">
        <v>17</v>
      </c>
      <c r="L257">
        <v>49341</v>
      </c>
      <c r="M257">
        <v>4.26</v>
      </c>
      <c r="N257" s="6">
        <f t="shared" si="3"/>
        <v>8824149867.5100002</v>
      </c>
    </row>
    <row r="258" spans="1:14" x14ac:dyDescent="0.35">
      <c r="A258" t="s">
        <v>45</v>
      </c>
      <c r="B258" t="s">
        <v>88</v>
      </c>
      <c r="C258">
        <v>2022</v>
      </c>
      <c r="D258" t="s">
        <v>38</v>
      </c>
      <c r="E258">
        <v>46766.53</v>
      </c>
      <c r="F258">
        <v>44.5</v>
      </c>
      <c r="G258">
        <v>150</v>
      </c>
      <c r="H258">
        <v>162</v>
      </c>
      <c r="I258" t="s">
        <v>40</v>
      </c>
      <c r="J258">
        <v>3</v>
      </c>
      <c r="K258" t="s">
        <v>22</v>
      </c>
      <c r="L258">
        <v>150601</v>
      </c>
      <c r="M258">
        <v>3.18</v>
      </c>
      <c r="N258" s="6">
        <f t="shared" ref="N258:N321" si="4">E258*L258</f>
        <v>7043086184.5299997</v>
      </c>
    </row>
    <row r="259" spans="1:14" x14ac:dyDescent="0.35">
      <c r="A259" t="s">
        <v>29</v>
      </c>
      <c r="B259" t="s">
        <v>53</v>
      </c>
      <c r="C259">
        <v>2022</v>
      </c>
      <c r="D259" t="s">
        <v>15</v>
      </c>
      <c r="E259">
        <v>57537.68</v>
      </c>
      <c r="F259">
        <v>103.2</v>
      </c>
      <c r="G259">
        <v>386</v>
      </c>
      <c r="H259">
        <v>199</v>
      </c>
      <c r="I259" t="s">
        <v>16</v>
      </c>
      <c r="J259">
        <v>5</v>
      </c>
      <c r="K259" t="s">
        <v>22</v>
      </c>
      <c r="L259">
        <v>194936</v>
      </c>
      <c r="M259">
        <v>4.0599999999999996</v>
      </c>
      <c r="N259" s="6">
        <f t="shared" si="4"/>
        <v>11216165188.48</v>
      </c>
    </row>
    <row r="260" spans="1:14" x14ac:dyDescent="0.35">
      <c r="A260" t="s">
        <v>13</v>
      </c>
      <c r="B260" t="s">
        <v>55</v>
      </c>
      <c r="C260">
        <v>2022</v>
      </c>
      <c r="D260" t="s">
        <v>38</v>
      </c>
      <c r="E260">
        <v>27966.77</v>
      </c>
      <c r="F260">
        <v>59.8</v>
      </c>
      <c r="G260">
        <v>195</v>
      </c>
      <c r="H260">
        <v>172</v>
      </c>
      <c r="I260" t="s">
        <v>40</v>
      </c>
      <c r="J260">
        <v>5</v>
      </c>
      <c r="K260" t="s">
        <v>47</v>
      </c>
      <c r="L260">
        <v>258777</v>
      </c>
      <c r="M260">
        <v>3.29</v>
      </c>
      <c r="N260" s="6">
        <f t="shared" si="4"/>
        <v>7237156840.29</v>
      </c>
    </row>
    <row r="261" spans="1:14" x14ac:dyDescent="0.35">
      <c r="A261" t="s">
        <v>29</v>
      </c>
      <c r="B261" t="s">
        <v>31</v>
      </c>
      <c r="C261">
        <v>2022</v>
      </c>
      <c r="D261" t="s">
        <v>28</v>
      </c>
      <c r="E261">
        <v>45169.5</v>
      </c>
      <c r="F261">
        <v>98.8</v>
      </c>
      <c r="G261">
        <v>340</v>
      </c>
      <c r="H261">
        <v>170</v>
      </c>
      <c r="I261" t="s">
        <v>25</v>
      </c>
      <c r="J261">
        <v>4</v>
      </c>
      <c r="K261" t="s">
        <v>22</v>
      </c>
      <c r="L261">
        <v>416114</v>
      </c>
      <c r="M261">
        <v>4.22</v>
      </c>
      <c r="N261" s="6">
        <f t="shared" si="4"/>
        <v>18795661323</v>
      </c>
    </row>
    <row r="262" spans="1:14" x14ac:dyDescent="0.35">
      <c r="A262" t="s">
        <v>49</v>
      </c>
      <c r="B262" t="s">
        <v>71</v>
      </c>
      <c r="C262">
        <v>2022</v>
      </c>
      <c r="D262" t="s">
        <v>38</v>
      </c>
      <c r="E262">
        <v>28093.63</v>
      </c>
      <c r="F262">
        <v>47.2</v>
      </c>
      <c r="G262">
        <v>167</v>
      </c>
      <c r="H262">
        <v>139</v>
      </c>
      <c r="I262" t="s">
        <v>25</v>
      </c>
      <c r="J262">
        <v>3</v>
      </c>
      <c r="K262" t="s">
        <v>47</v>
      </c>
      <c r="L262">
        <v>119899</v>
      </c>
      <c r="M262">
        <v>3.25</v>
      </c>
      <c r="N262" s="6">
        <f t="shared" si="4"/>
        <v>3368398143.3699999</v>
      </c>
    </row>
    <row r="263" spans="1:14" x14ac:dyDescent="0.35">
      <c r="A263" t="s">
        <v>67</v>
      </c>
      <c r="B263" t="s">
        <v>98</v>
      </c>
      <c r="C263">
        <v>2022</v>
      </c>
      <c r="D263" t="s">
        <v>20</v>
      </c>
      <c r="E263">
        <v>144615.75</v>
      </c>
      <c r="F263">
        <v>49.5</v>
      </c>
      <c r="G263">
        <v>161</v>
      </c>
      <c r="H263">
        <v>152</v>
      </c>
      <c r="I263" t="s">
        <v>21</v>
      </c>
      <c r="J263">
        <v>5</v>
      </c>
      <c r="K263" t="s">
        <v>17</v>
      </c>
      <c r="L263">
        <v>57074</v>
      </c>
      <c r="M263">
        <v>3.06</v>
      </c>
      <c r="N263" s="6">
        <f t="shared" si="4"/>
        <v>8253799315.5</v>
      </c>
    </row>
    <row r="264" spans="1:14" x14ac:dyDescent="0.35">
      <c r="A264" t="s">
        <v>49</v>
      </c>
      <c r="B264" t="s">
        <v>87</v>
      </c>
      <c r="C264">
        <v>2022</v>
      </c>
      <c r="D264" t="s">
        <v>20</v>
      </c>
      <c r="E264">
        <v>39046.61</v>
      </c>
      <c r="F264">
        <v>54.4</v>
      </c>
      <c r="G264">
        <v>178</v>
      </c>
      <c r="H264">
        <v>148</v>
      </c>
      <c r="I264" t="s">
        <v>33</v>
      </c>
      <c r="J264">
        <v>4</v>
      </c>
      <c r="K264" t="s">
        <v>22</v>
      </c>
      <c r="L264">
        <v>57836</v>
      </c>
      <c r="M264">
        <v>3.14</v>
      </c>
      <c r="N264" s="6">
        <f t="shared" si="4"/>
        <v>2258299735.96</v>
      </c>
    </row>
    <row r="265" spans="1:14" x14ac:dyDescent="0.35">
      <c r="A265" t="s">
        <v>102</v>
      </c>
      <c r="B265" t="s">
        <v>103</v>
      </c>
      <c r="C265">
        <v>2022</v>
      </c>
      <c r="D265" t="s">
        <v>15</v>
      </c>
      <c r="E265">
        <v>90661.21</v>
      </c>
      <c r="F265">
        <v>108.4</v>
      </c>
      <c r="G265">
        <v>396</v>
      </c>
      <c r="H265">
        <v>200</v>
      </c>
      <c r="I265" t="s">
        <v>21</v>
      </c>
      <c r="J265">
        <v>5</v>
      </c>
      <c r="K265" t="s">
        <v>20</v>
      </c>
      <c r="L265">
        <v>15699</v>
      </c>
      <c r="M265">
        <v>3.68</v>
      </c>
      <c r="N265" s="6">
        <f t="shared" si="4"/>
        <v>1423290335.7900002</v>
      </c>
    </row>
    <row r="266" spans="1:14" x14ac:dyDescent="0.35">
      <c r="A266" t="s">
        <v>64</v>
      </c>
      <c r="B266" t="s">
        <v>65</v>
      </c>
      <c r="C266">
        <v>2022</v>
      </c>
      <c r="D266" t="s">
        <v>15</v>
      </c>
      <c r="E266">
        <v>154009.88</v>
      </c>
      <c r="F266">
        <v>79</v>
      </c>
      <c r="G266">
        <v>275</v>
      </c>
      <c r="H266">
        <v>180</v>
      </c>
      <c r="I266" t="s">
        <v>33</v>
      </c>
      <c r="J266">
        <v>4</v>
      </c>
      <c r="K266" t="s">
        <v>17</v>
      </c>
      <c r="L266">
        <v>26663</v>
      </c>
      <c r="M266">
        <v>3.51</v>
      </c>
      <c r="N266" s="6">
        <f t="shared" si="4"/>
        <v>4106365430.4400001</v>
      </c>
    </row>
    <row r="267" spans="1:14" x14ac:dyDescent="0.35">
      <c r="A267" t="s">
        <v>64</v>
      </c>
      <c r="B267" t="s">
        <v>65</v>
      </c>
      <c r="C267">
        <v>2022</v>
      </c>
      <c r="D267" t="s">
        <v>20</v>
      </c>
      <c r="E267">
        <v>116700.28</v>
      </c>
      <c r="F267">
        <v>62.9</v>
      </c>
      <c r="G267">
        <v>213</v>
      </c>
      <c r="H267">
        <v>146</v>
      </c>
      <c r="I267" t="s">
        <v>25</v>
      </c>
      <c r="J267">
        <v>5</v>
      </c>
      <c r="K267" t="s">
        <v>17</v>
      </c>
      <c r="L267">
        <v>29505</v>
      </c>
      <c r="M267">
        <v>3.78</v>
      </c>
      <c r="N267" s="6">
        <f t="shared" si="4"/>
        <v>3443241761.4000001</v>
      </c>
    </row>
    <row r="268" spans="1:14" x14ac:dyDescent="0.35">
      <c r="A268" t="s">
        <v>29</v>
      </c>
      <c r="B268" t="s">
        <v>53</v>
      </c>
      <c r="C268">
        <v>2022</v>
      </c>
      <c r="D268" t="s">
        <v>28</v>
      </c>
      <c r="E268">
        <v>88720.74</v>
      </c>
      <c r="F268">
        <v>92.2</v>
      </c>
      <c r="G268">
        <v>341</v>
      </c>
      <c r="H268">
        <v>175</v>
      </c>
      <c r="I268" t="s">
        <v>16</v>
      </c>
      <c r="J268">
        <v>4</v>
      </c>
      <c r="K268" t="s">
        <v>20</v>
      </c>
      <c r="L268">
        <v>226922</v>
      </c>
      <c r="M268">
        <v>4.0199999999999996</v>
      </c>
      <c r="N268" s="6">
        <f t="shared" si="4"/>
        <v>20132687762.280003</v>
      </c>
    </row>
    <row r="269" spans="1:14" x14ac:dyDescent="0.35">
      <c r="A269" t="s">
        <v>102</v>
      </c>
      <c r="B269" t="s">
        <v>115</v>
      </c>
      <c r="C269">
        <v>2022</v>
      </c>
      <c r="D269" t="s">
        <v>38</v>
      </c>
      <c r="E269">
        <v>45992.59</v>
      </c>
      <c r="F269">
        <v>83.4</v>
      </c>
      <c r="G269">
        <v>291</v>
      </c>
      <c r="H269">
        <v>175</v>
      </c>
      <c r="I269" t="s">
        <v>32</v>
      </c>
      <c r="J269">
        <v>5</v>
      </c>
      <c r="K269" t="s">
        <v>22</v>
      </c>
      <c r="L269">
        <v>3048</v>
      </c>
      <c r="M269">
        <v>3.39</v>
      </c>
      <c r="N269" s="6">
        <f t="shared" si="4"/>
        <v>140185414.31999999</v>
      </c>
    </row>
    <row r="270" spans="1:14" x14ac:dyDescent="0.35">
      <c r="A270" t="s">
        <v>73</v>
      </c>
      <c r="B270" t="s">
        <v>107</v>
      </c>
      <c r="C270">
        <v>2022</v>
      </c>
      <c r="D270" t="s">
        <v>43</v>
      </c>
      <c r="E270">
        <v>64086.32</v>
      </c>
      <c r="F270">
        <v>52.7</v>
      </c>
      <c r="G270">
        <v>161</v>
      </c>
      <c r="H270">
        <v>169</v>
      </c>
      <c r="I270" t="s">
        <v>21</v>
      </c>
      <c r="J270">
        <v>5</v>
      </c>
      <c r="K270" t="s">
        <v>22</v>
      </c>
      <c r="L270">
        <v>19395</v>
      </c>
      <c r="M270">
        <v>3.46</v>
      </c>
      <c r="N270" s="6">
        <f t="shared" si="4"/>
        <v>1242954176.4000001</v>
      </c>
    </row>
    <row r="271" spans="1:14" x14ac:dyDescent="0.35">
      <c r="A271" t="s">
        <v>13</v>
      </c>
      <c r="B271" t="s">
        <v>56</v>
      </c>
      <c r="C271">
        <v>2022</v>
      </c>
      <c r="D271" t="s">
        <v>28</v>
      </c>
      <c r="E271">
        <v>60508.93</v>
      </c>
      <c r="F271">
        <v>105.5</v>
      </c>
      <c r="G271">
        <v>362</v>
      </c>
      <c r="H271">
        <v>171</v>
      </c>
      <c r="I271" t="s">
        <v>33</v>
      </c>
      <c r="J271">
        <v>5</v>
      </c>
      <c r="K271" t="s">
        <v>22</v>
      </c>
      <c r="L271">
        <v>222081</v>
      </c>
      <c r="M271">
        <v>3.78</v>
      </c>
      <c r="N271" s="6">
        <f t="shared" si="4"/>
        <v>13437883683.33</v>
      </c>
    </row>
    <row r="272" spans="1:14" x14ac:dyDescent="0.35">
      <c r="A272" t="s">
        <v>45</v>
      </c>
      <c r="B272" t="s">
        <v>88</v>
      </c>
      <c r="C272">
        <v>2022</v>
      </c>
      <c r="D272" t="s">
        <v>43</v>
      </c>
      <c r="E272">
        <v>70030.570000000007</v>
      </c>
      <c r="F272">
        <v>41.8</v>
      </c>
      <c r="G272">
        <v>150</v>
      </c>
      <c r="H272">
        <v>133</v>
      </c>
      <c r="I272" t="s">
        <v>32</v>
      </c>
      <c r="J272">
        <v>3</v>
      </c>
      <c r="K272" t="s">
        <v>20</v>
      </c>
      <c r="L272">
        <v>187796</v>
      </c>
      <c r="M272">
        <v>3.45</v>
      </c>
      <c r="N272" s="6">
        <f t="shared" si="4"/>
        <v>13151460923.720001</v>
      </c>
    </row>
    <row r="273" spans="1:14" x14ac:dyDescent="0.35">
      <c r="A273" t="s">
        <v>13</v>
      </c>
      <c r="B273" t="s">
        <v>56</v>
      </c>
      <c r="C273">
        <v>2022</v>
      </c>
      <c r="D273" t="s">
        <v>15</v>
      </c>
      <c r="E273">
        <v>77144.75</v>
      </c>
      <c r="F273">
        <v>109.8</v>
      </c>
      <c r="G273">
        <v>367</v>
      </c>
      <c r="H273">
        <v>200</v>
      </c>
      <c r="I273" t="s">
        <v>33</v>
      </c>
      <c r="J273">
        <v>5</v>
      </c>
      <c r="K273" t="s">
        <v>20</v>
      </c>
      <c r="L273">
        <v>280321</v>
      </c>
      <c r="M273">
        <v>3.69</v>
      </c>
      <c r="N273" s="6">
        <f t="shared" si="4"/>
        <v>21625293464.75</v>
      </c>
    </row>
    <row r="274" spans="1:14" x14ac:dyDescent="0.35">
      <c r="A274" t="s">
        <v>49</v>
      </c>
      <c r="B274" t="s">
        <v>87</v>
      </c>
      <c r="C274">
        <v>2022</v>
      </c>
      <c r="D274" t="s">
        <v>15</v>
      </c>
      <c r="E274">
        <v>87757.22</v>
      </c>
      <c r="F274">
        <v>77.5</v>
      </c>
      <c r="G274">
        <v>262</v>
      </c>
      <c r="H274">
        <v>194</v>
      </c>
      <c r="I274" t="s">
        <v>16</v>
      </c>
      <c r="J274">
        <v>5</v>
      </c>
      <c r="K274" t="s">
        <v>20</v>
      </c>
      <c r="L274">
        <v>73010</v>
      </c>
      <c r="M274">
        <v>3.41</v>
      </c>
      <c r="N274" s="6">
        <f t="shared" si="4"/>
        <v>6407154632.1999998</v>
      </c>
    </row>
    <row r="275" spans="1:14" x14ac:dyDescent="0.35">
      <c r="A275" t="s">
        <v>29</v>
      </c>
      <c r="B275" t="s">
        <v>59</v>
      </c>
      <c r="C275">
        <v>2022</v>
      </c>
      <c r="D275" t="s">
        <v>15</v>
      </c>
      <c r="E275">
        <v>77379.740000000005</v>
      </c>
      <c r="F275">
        <v>110</v>
      </c>
      <c r="G275">
        <v>373</v>
      </c>
      <c r="H275">
        <v>200</v>
      </c>
      <c r="I275" t="s">
        <v>40</v>
      </c>
      <c r="J275">
        <v>3</v>
      </c>
      <c r="K275" t="s">
        <v>20</v>
      </c>
      <c r="L275">
        <v>238571</v>
      </c>
      <c r="M275">
        <v>4.04</v>
      </c>
      <c r="N275" s="6">
        <f t="shared" si="4"/>
        <v>18460561951.540001</v>
      </c>
    </row>
    <row r="276" spans="1:14" x14ac:dyDescent="0.35">
      <c r="A276" t="s">
        <v>23</v>
      </c>
      <c r="B276" t="s">
        <v>83</v>
      </c>
      <c r="C276">
        <v>2022</v>
      </c>
      <c r="D276" t="s">
        <v>38</v>
      </c>
      <c r="E276">
        <v>32829.19</v>
      </c>
      <c r="F276">
        <v>77.7</v>
      </c>
      <c r="G276">
        <v>295</v>
      </c>
      <c r="H276">
        <v>139</v>
      </c>
      <c r="I276" t="s">
        <v>21</v>
      </c>
      <c r="J276">
        <v>5</v>
      </c>
      <c r="K276" t="s">
        <v>47</v>
      </c>
      <c r="L276">
        <v>26546</v>
      </c>
      <c r="M276">
        <v>3.6</v>
      </c>
      <c r="N276" s="6">
        <f t="shared" si="4"/>
        <v>871483677.74000001</v>
      </c>
    </row>
    <row r="277" spans="1:14" x14ac:dyDescent="0.35">
      <c r="A277" t="s">
        <v>29</v>
      </c>
      <c r="B277" t="s">
        <v>31</v>
      </c>
      <c r="C277">
        <v>2022</v>
      </c>
      <c r="D277" t="s">
        <v>43</v>
      </c>
      <c r="E277">
        <v>93506.44</v>
      </c>
      <c r="F277">
        <v>60.2</v>
      </c>
      <c r="G277">
        <v>206</v>
      </c>
      <c r="H277">
        <v>137</v>
      </c>
      <c r="I277" t="s">
        <v>25</v>
      </c>
      <c r="J277">
        <v>5</v>
      </c>
      <c r="K277" t="s">
        <v>20</v>
      </c>
      <c r="L277">
        <v>464918</v>
      </c>
      <c r="M277">
        <v>3.52</v>
      </c>
      <c r="N277" s="6">
        <f t="shared" si="4"/>
        <v>43472827071.919998</v>
      </c>
    </row>
    <row r="278" spans="1:14" x14ac:dyDescent="0.35">
      <c r="A278" t="s">
        <v>57</v>
      </c>
      <c r="B278" t="s">
        <v>62</v>
      </c>
      <c r="C278">
        <v>2022</v>
      </c>
      <c r="D278" t="s">
        <v>15</v>
      </c>
      <c r="E278">
        <v>72683.98</v>
      </c>
      <c r="F278">
        <v>73.7</v>
      </c>
      <c r="G278">
        <v>253</v>
      </c>
      <c r="H278">
        <v>200</v>
      </c>
      <c r="I278" t="s">
        <v>33</v>
      </c>
      <c r="J278">
        <v>4</v>
      </c>
      <c r="K278" t="s">
        <v>20</v>
      </c>
      <c r="L278">
        <v>25267</v>
      </c>
      <c r="M278">
        <v>3.64</v>
      </c>
      <c r="N278" s="6">
        <f t="shared" si="4"/>
        <v>1836506122.6599998</v>
      </c>
    </row>
    <row r="279" spans="1:14" x14ac:dyDescent="0.35">
      <c r="A279" t="s">
        <v>29</v>
      </c>
      <c r="B279" t="s">
        <v>30</v>
      </c>
      <c r="C279">
        <v>2022</v>
      </c>
      <c r="D279" t="s">
        <v>20</v>
      </c>
      <c r="E279">
        <v>78038.19</v>
      </c>
      <c r="F279">
        <v>59.8</v>
      </c>
      <c r="G279">
        <v>219</v>
      </c>
      <c r="H279">
        <v>162</v>
      </c>
      <c r="I279" t="s">
        <v>33</v>
      </c>
      <c r="J279">
        <v>3</v>
      </c>
      <c r="K279" t="s">
        <v>20</v>
      </c>
      <c r="L279">
        <v>156841</v>
      </c>
      <c r="M279">
        <v>3.58</v>
      </c>
      <c r="N279" s="6">
        <f t="shared" si="4"/>
        <v>12239587757.790001</v>
      </c>
    </row>
    <row r="280" spans="1:14" x14ac:dyDescent="0.35">
      <c r="A280" t="s">
        <v>45</v>
      </c>
      <c r="B280" t="s">
        <v>63</v>
      </c>
      <c r="C280">
        <v>2022</v>
      </c>
      <c r="D280" t="s">
        <v>28</v>
      </c>
      <c r="E280">
        <v>80180.179999999993</v>
      </c>
      <c r="F280">
        <v>86.6</v>
      </c>
      <c r="G280">
        <v>329</v>
      </c>
      <c r="H280">
        <v>183</v>
      </c>
      <c r="I280" t="s">
        <v>16</v>
      </c>
      <c r="J280">
        <v>5</v>
      </c>
      <c r="K280" t="s">
        <v>20</v>
      </c>
      <c r="L280">
        <v>170493</v>
      </c>
      <c r="M280">
        <v>3.64</v>
      </c>
      <c r="N280" s="6">
        <f t="shared" si="4"/>
        <v>13670159428.739998</v>
      </c>
    </row>
    <row r="281" spans="1:14" x14ac:dyDescent="0.35">
      <c r="A281" t="s">
        <v>23</v>
      </c>
      <c r="B281" t="s">
        <v>83</v>
      </c>
      <c r="C281">
        <v>2022</v>
      </c>
      <c r="D281" t="s">
        <v>15</v>
      </c>
      <c r="E281">
        <v>59493.52</v>
      </c>
      <c r="F281">
        <v>71.900000000000006</v>
      </c>
      <c r="G281">
        <v>270</v>
      </c>
      <c r="H281">
        <v>200</v>
      </c>
      <c r="I281" t="s">
        <v>21</v>
      </c>
      <c r="J281">
        <v>3</v>
      </c>
      <c r="K281" t="s">
        <v>22</v>
      </c>
      <c r="L281">
        <v>16751</v>
      </c>
      <c r="M281">
        <v>3.44</v>
      </c>
      <c r="N281" s="6">
        <f t="shared" si="4"/>
        <v>996575953.51999998</v>
      </c>
    </row>
    <row r="282" spans="1:14" x14ac:dyDescent="0.35">
      <c r="A282" t="s">
        <v>45</v>
      </c>
      <c r="B282" t="s">
        <v>69</v>
      </c>
      <c r="C282">
        <v>2022</v>
      </c>
      <c r="D282" t="s">
        <v>43</v>
      </c>
      <c r="E282">
        <v>68088.929999999993</v>
      </c>
      <c r="F282">
        <v>51.8</v>
      </c>
      <c r="G282">
        <v>170</v>
      </c>
      <c r="H282">
        <v>173</v>
      </c>
      <c r="I282" t="s">
        <v>32</v>
      </c>
      <c r="J282">
        <v>4</v>
      </c>
      <c r="K282" t="s">
        <v>20</v>
      </c>
      <c r="L282">
        <v>201225</v>
      </c>
      <c r="M282">
        <v>3.25</v>
      </c>
      <c r="N282" s="6">
        <f t="shared" si="4"/>
        <v>13701194939.249998</v>
      </c>
    </row>
    <row r="283" spans="1:14" x14ac:dyDescent="0.35">
      <c r="A283" t="s">
        <v>34</v>
      </c>
      <c r="B283" t="s">
        <v>106</v>
      </c>
      <c r="C283">
        <v>2022</v>
      </c>
      <c r="D283" t="s">
        <v>28</v>
      </c>
      <c r="E283">
        <v>118966.22</v>
      </c>
      <c r="F283">
        <v>83.4</v>
      </c>
      <c r="G283">
        <v>306</v>
      </c>
      <c r="H283">
        <v>187</v>
      </c>
      <c r="I283" t="s">
        <v>32</v>
      </c>
      <c r="J283">
        <v>4</v>
      </c>
      <c r="K283" t="s">
        <v>17</v>
      </c>
      <c r="L283">
        <v>78467</v>
      </c>
      <c r="M283">
        <v>3.86</v>
      </c>
      <c r="N283" s="6">
        <f t="shared" si="4"/>
        <v>9334922384.7399998</v>
      </c>
    </row>
    <row r="284" spans="1:14" x14ac:dyDescent="0.35">
      <c r="A284" t="s">
        <v>34</v>
      </c>
      <c r="B284" t="s">
        <v>44</v>
      </c>
      <c r="C284">
        <v>2022</v>
      </c>
      <c r="D284" t="s">
        <v>28</v>
      </c>
      <c r="E284">
        <v>140186.97</v>
      </c>
      <c r="F284">
        <v>89.7</v>
      </c>
      <c r="G284">
        <v>340</v>
      </c>
      <c r="H284">
        <v>162</v>
      </c>
      <c r="I284" t="s">
        <v>32</v>
      </c>
      <c r="J284">
        <v>4</v>
      </c>
      <c r="K284" t="s">
        <v>17</v>
      </c>
      <c r="L284">
        <v>31832</v>
      </c>
      <c r="M284">
        <v>4.04</v>
      </c>
      <c r="N284" s="6">
        <f t="shared" si="4"/>
        <v>4462431629.04</v>
      </c>
    </row>
    <row r="285" spans="1:14" x14ac:dyDescent="0.35">
      <c r="A285" t="s">
        <v>26</v>
      </c>
      <c r="B285" t="s">
        <v>27</v>
      </c>
      <c r="C285">
        <v>2022</v>
      </c>
      <c r="D285" t="s">
        <v>28</v>
      </c>
      <c r="E285">
        <v>89447.77</v>
      </c>
      <c r="F285">
        <v>97.2</v>
      </c>
      <c r="G285">
        <v>328</v>
      </c>
      <c r="H285">
        <v>187</v>
      </c>
      <c r="I285" t="s">
        <v>21</v>
      </c>
      <c r="J285">
        <v>5</v>
      </c>
      <c r="K285" t="s">
        <v>20</v>
      </c>
      <c r="L285">
        <v>135902</v>
      </c>
      <c r="M285">
        <v>3.67</v>
      </c>
      <c r="N285" s="6">
        <f t="shared" si="4"/>
        <v>12156130838.540001</v>
      </c>
    </row>
    <row r="286" spans="1:14" x14ac:dyDescent="0.35">
      <c r="A286" t="s">
        <v>102</v>
      </c>
      <c r="B286" t="s">
        <v>115</v>
      </c>
      <c r="C286">
        <v>2022</v>
      </c>
      <c r="D286" t="s">
        <v>38</v>
      </c>
      <c r="E286">
        <v>46215.01</v>
      </c>
      <c r="F286">
        <v>45.9</v>
      </c>
      <c r="G286">
        <v>150</v>
      </c>
      <c r="H286">
        <v>165</v>
      </c>
      <c r="I286" t="s">
        <v>32</v>
      </c>
      <c r="J286">
        <v>5</v>
      </c>
      <c r="K286" t="s">
        <v>22</v>
      </c>
      <c r="L286">
        <v>17974</v>
      </c>
      <c r="M286">
        <v>3.32</v>
      </c>
      <c r="N286" s="6">
        <f t="shared" si="4"/>
        <v>830668589.74000001</v>
      </c>
    </row>
    <row r="287" spans="1:14" x14ac:dyDescent="0.35">
      <c r="A287" t="s">
        <v>13</v>
      </c>
      <c r="B287" t="s">
        <v>51</v>
      </c>
      <c r="C287">
        <v>2022</v>
      </c>
      <c r="D287" t="s">
        <v>28</v>
      </c>
      <c r="E287">
        <v>82795.09</v>
      </c>
      <c r="F287">
        <v>103.2</v>
      </c>
      <c r="G287">
        <v>345</v>
      </c>
      <c r="H287">
        <v>181</v>
      </c>
      <c r="I287" t="s">
        <v>33</v>
      </c>
      <c r="J287">
        <v>4</v>
      </c>
      <c r="K287" t="s">
        <v>20</v>
      </c>
      <c r="L287">
        <v>263434</v>
      </c>
      <c r="M287">
        <v>3.53</v>
      </c>
      <c r="N287" s="6">
        <f t="shared" si="4"/>
        <v>21811041739.059998</v>
      </c>
    </row>
    <row r="288" spans="1:14" x14ac:dyDescent="0.35">
      <c r="A288" t="s">
        <v>18</v>
      </c>
      <c r="B288" t="s">
        <v>93</v>
      </c>
      <c r="C288">
        <v>2022</v>
      </c>
      <c r="D288" t="s">
        <v>20</v>
      </c>
      <c r="E288">
        <v>46862.78</v>
      </c>
      <c r="F288">
        <v>63.4</v>
      </c>
      <c r="G288">
        <v>215</v>
      </c>
      <c r="H288">
        <v>151</v>
      </c>
      <c r="I288" t="s">
        <v>40</v>
      </c>
      <c r="J288">
        <v>5</v>
      </c>
      <c r="K288" t="s">
        <v>22</v>
      </c>
      <c r="L288">
        <v>1920</v>
      </c>
      <c r="M288">
        <v>3.39</v>
      </c>
      <c r="N288" s="6">
        <f t="shared" si="4"/>
        <v>89976537.599999994</v>
      </c>
    </row>
    <row r="289" spans="1:14" x14ac:dyDescent="0.35">
      <c r="A289" t="s">
        <v>45</v>
      </c>
      <c r="B289" t="s">
        <v>88</v>
      </c>
      <c r="C289">
        <v>2022</v>
      </c>
      <c r="D289" t="s">
        <v>28</v>
      </c>
      <c r="E289">
        <v>77020.14</v>
      </c>
      <c r="F289">
        <v>86.6</v>
      </c>
      <c r="G289">
        <v>333</v>
      </c>
      <c r="H289">
        <v>161</v>
      </c>
      <c r="I289" t="s">
        <v>25</v>
      </c>
      <c r="J289">
        <v>5</v>
      </c>
      <c r="K289" t="s">
        <v>20</v>
      </c>
      <c r="L289">
        <v>167490</v>
      </c>
      <c r="M289">
        <v>3.58</v>
      </c>
      <c r="N289" s="6">
        <f t="shared" si="4"/>
        <v>12900103248.6</v>
      </c>
    </row>
    <row r="290" spans="1:14" x14ac:dyDescent="0.35">
      <c r="A290" t="s">
        <v>23</v>
      </c>
      <c r="B290" t="s">
        <v>83</v>
      </c>
      <c r="C290">
        <v>2022</v>
      </c>
      <c r="D290" t="s">
        <v>20</v>
      </c>
      <c r="E290">
        <v>82968.06</v>
      </c>
      <c r="F290">
        <v>75.400000000000006</v>
      </c>
      <c r="G290">
        <v>253</v>
      </c>
      <c r="H290">
        <v>163</v>
      </c>
      <c r="I290" t="s">
        <v>21</v>
      </c>
      <c r="J290">
        <v>4</v>
      </c>
      <c r="K290" t="s">
        <v>20</v>
      </c>
      <c r="L290">
        <v>7825</v>
      </c>
      <c r="M290">
        <v>3.4</v>
      </c>
      <c r="N290" s="6">
        <f t="shared" si="4"/>
        <v>649225069.5</v>
      </c>
    </row>
    <row r="291" spans="1:14" x14ac:dyDescent="0.35">
      <c r="A291" t="s">
        <v>13</v>
      </c>
      <c r="B291" t="s">
        <v>51</v>
      </c>
      <c r="C291">
        <v>2022</v>
      </c>
      <c r="D291" t="s">
        <v>15</v>
      </c>
      <c r="E291">
        <v>97372.99</v>
      </c>
      <c r="F291">
        <v>74.099999999999994</v>
      </c>
      <c r="G291">
        <v>240</v>
      </c>
      <c r="H291">
        <v>200</v>
      </c>
      <c r="I291" t="s">
        <v>40</v>
      </c>
      <c r="J291">
        <v>4</v>
      </c>
      <c r="K291" t="s">
        <v>20</v>
      </c>
      <c r="L291">
        <v>246097</v>
      </c>
      <c r="M291">
        <v>3.31</v>
      </c>
      <c r="N291" s="6">
        <f t="shared" si="4"/>
        <v>23963200720.030003</v>
      </c>
    </row>
    <row r="292" spans="1:14" x14ac:dyDescent="0.35">
      <c r="A292" t="s">
        <v>49</v>
      </c>
      <c r="B292" t="s">
        <v>87</v>
      </c>
      <c r="C292">
        <v>2022</v>
      </c>
      <c r="D292" t="s">
        <v>43</v>
      </c>
      <c r="E292">
        <v>34455.089999999997</v>
      </c>
      <c r="F292">
        <v>43.1</v>
      </c>
      <c r="G292">
        <v>150</v>
      </c>
      <c r="H292">
        <v>165</v>
      </c>
      <c r="I292" t="s">
        <v>25</v>
      </c>
      <c r="J292">
        <v>5</v>
      </c>
      <c r="K292" t="s">
        <v>47</v>
      </c>
      <c r="L292">
        <v>120724</v>
      </c>
      <c r="M292">
        <v>3.13</v>
      </c>
      <c r="N292" s="6">
        <f t="shared" si="4"/>
        <v>4159556285.1599994</v>
      </c>
    </row>
    <row r="293" spans="1:14" x14ac:dyDescent="0.35">
      <c r="A293" t="s">
        <v>49</v>
      </c>
      <c r="B293" t="s">
        <v>60</v>
      </c>
      <c r="C293">
        <v>2022</v>
      </c>
      <c r="D293" t="s">
        <v>20</v>
      </c>
      <c r="E293">
        <v>45588.01</v>
      </c>
      <c r="F293">
        <v>53.8</v>
      </c>
      <c r="G293">
        <v>175</v>
      </c>
      <c r="H293">
        <v>159</v>
      </c>
      <c r="I293" t="s">
        <v>16</v>
      </c>
      <c r="J293">
        <v>4</v>
      </c>
      <c r="K293" t="s">
        <v>22</v>
      </c>
      <c r="L293">
        <v>103603</v>
      </c>
      <c r="M293">
        <v>3.49</v>
      </c>
      <c r="N293" s="6">
        <f t="shared" si="4"/>
        <v>4723054600.0300007</v>
      </c>
    </row>
    <row r="294" spans="1:14" x14ac:dyDescent="0.35">
      <c r="A294" t="s">
        <v>29</v>
      </c>
      <c r="B294" t="s">
        <v>31</v>
      </c>
      <c r="C294">
        <v>2022</v>
      </c>
      <c r="D294" t="s">
        <v>28</v>
      </c>
      <c r="E294">
        <v>79776.37</v>
      </c>
      <c r="F294">
        <v>94.5</v>
      </c>
      <c r="G294">
        <v>332</v>
      </c>
      <c r="H294">
        <v>163</v>
      </c>
      <c r="I294" t="s">
        <v>16</v>
      </c>
      <c r="J294">
        <v>3</v>
      </c>
      <c r="K294" t="s">
        <v>20</v>
      </c>
      <c r="L294">
        <v>488350</v>
      </c>
      <c r="M294">
        <v>4</v>
      </c>
      <c r="N294" s="6">
        <f t="shared" si="4"/>
        <v>38958790289.5</v>
      </c>
    </row>
    <row r="295" spans="1:14" x14ac:dyDescent="0.35">
      <c r="A295" t="s">
        <v>29</v>
      </c>
      <c r="B295" t="s">
        <v>39</v>
      </c>
      <c r="C295">
        <v>2022</v>
      </c>
      <c r="D295" t="s">
        <v>43</v>
      </c>
      <c r="E295">
        <v>127540.88</v>
      </c>
      <c r="F295">
        <v>49.1</v>
      </c>
      <c r="G295">
        <v>186</v>
      </c>
      <c r="H295">
        <v>163</v>
      </c>
      <c r="I295" t="s">
        <v>33</v>
      </c>
      <c r="J295">
        <v>3</v>
      </c>
      <c r="K295" t="s">
        <v>17</v>
      </c>
      <c r="L295">
        <v>136670</v>
      </c>
      <c r="M295">
        <v>3.54</v>
      </c>
      <c r="N295" s="6">
        <f t="shared" si="4"/>
        <v>17431012069.600002</v>
      </c>
    </row>
    <row r="296" spans="1:14" x14ac:dyDescent="0.35">
      <c r="A296" t="s">
        <v>29</v>
      </c>
      <c r="B296" t="s">
        <v>59</v>
      </c>
      <c r="C296">
        <v>2022</v>
      </c>
      <c r="D296" t="s">
        <v>28</v>
      </c>
      <c r="E296">
        <v>85291.7</v>
      </c>
      <c r="F296">
        <v>102.2</v>
      </c>
      <c r="G296">
        <v>332</v>
      </c>
      <c r="H296">
        <v>184</v>
      </c>
      <c r="I296" t="s">
        <v>25</v>
      </c>
      <c r="J296">
        <v>5</v>
      </c>
      <c r="K296" t="s">
        <v>20</v>
      </c>
      <c r="L296">
        <v>146415</v>
      </c>
      <c r="M296">
        <v>3.95</v>
      </c>
      <c r="N296" s="6">
        <f t="shared" si="4"/>
        <v>12487984255.5</v>
      </c>
    </row>
    <row r="297" spans="1:14" x14ac:dyDescent="0.35">
      <c r="A297" t="s">
        <v>26</v>
      </c>
      <c r="B297" t="s">
        <v>52</v>
      </c>
      <c r="C297">
        <v>2022</v>
      </c>
      <c r="D297" t="s">
        <v>28</v>
      </c>
      <c r="E297">
        <v>73622.080000000002</v>
      </c>
      <c r="F297">
        <v>94.4</v>
      </c>
      <c r="G297">
        <v>291</v>
      </c>
      <c r="H297">
        <v>187</v>
      </c>
      <c r="I297" t="s">
        <v>21</v>
      </c>
      <c r="J297">
        <v>5</v>
      </c>
      <c r="K297" t="s">
        <v>20</v>
      </c>
      <c r="L297">
        <v>128389</v>
      </c>
      <c r="M297">
        <v>3.38</v>
      </c>
      <c r="N297" s="6">
        <f t="shared" si="4"/>
        <v>9452265229.1200008</v>
      </c>
    </row>
    <row r="298" spans="1:14" x14ac:dyDescent="0.35">
      <c r="A298" t="s">
        <v>45</v>
      </c>
      <c r="B298" t="s">
        <v>77</v>
      </c>
      <c r="C298">
        <v>2022</v>
      </c>
      <c r="D298" t="s">
        <v>38</v>
      </c>
      <c r="E298">
        <v>71011.58</v>
      </c>
      <c r="F298">
        <v>47.4</v>
      </c>
      <c r="G298">
        <v>159</v>
      </c>
      <c r="H298">
        <v>132</v>
      </c>
      <c r="I298" t="s">
        <v>21</v>
      </c>
      <c r="J298">
        <v>4</v>
      </c>
      <c r="K298" t="s">
        <v>20</v>
      </c>
      <c r="L298">
        <v>210658</v>
      </c>
      <c r="M298">
        <v>3.09</v>
      </c>
      <c r="N298" s="6">
        <f t="shared" si="4"/>
        <v>14959157419.640001</v>
      </c>
    </row>
    <row r="299" spans="1:14" x14ac:dyDescent="0.35">
      <c r="A299" t="s">
        <v>13</v>
      </c>
      <c r="B299" t="s">
        <v>14</v>
      </c>
      <c r="C299">
        <v>2023</v>
      </c>
      <c r="D299" t="s">
        <v>15</v>
      </c>
      <c r="E299">
        <v>104880.8</v>
      </c>
      <c r="F299">
        <v>118.7</v>
      </c>
      <c r="G299">
        <v>400</v>
      </c>
      <c r="H299">
        <v>195</v>
      </c>
      <c r="I299" t="s">
        <v>16</v>
      </c>
      <c r="J299">
        <v>4</v>
      </c>
      <c r="K299" t="s">
        <v>17</v>
      </c>
      <c r="L299">
        <v>202182</v>
      </c>
      <c r="M299">
        <v>4</v>
      </c>
      <c r="N299" s="6">
        <f t="shared" si="4"/>
        <v>21205009905.600002</v>
      </c>
    </row>
    <row r="300" spans="1:14" x14ac:dyDescent="0.35">
      <c r="A300" t="s">
        <v>29</v>
      </c>
      <c r="B300" t="s">
        <v>31</v>
      </c>
      <c r="C300">
        <v>2023</v>
      </c>
      <c r="D300" t="s">
        <v>15</v>
      </c>
      <c r="E300">
        <v>119590.27</v>
      </c>
      <c r="F300">
        <v>78.3</v>
      </c>
      <c r="G300">
        <v>251</v>
      </c>
      <c r="H300">
        <v>200</v>
      </c>
      <c r="I300" t="s">
        <v>32</v>
      </c>
      <c r="J300">
        <v>5</v>
      </c>
      <c r="K300" t="s">
        <v>17</v>
      </c>
      <c r="L300">
        <v>411764</v>
      </c>
      <c r="M300">
        <v>3.67</v>
      </c>
      <c r="N300" s="6">
        <f t="shared" si="4"/>
        <v>49242967936.279999</v>
      </c>
    </row>
    <row r="301" spans="1:14" x14ac:dyDescent="0.35">
      <c r="A301" t="s">
        <v>45</v>
      </c>
      <c r="B301" t="s">
        <v>46</v>
      </c>
      <c r="C301">
        <v>2023</v>
      </c>
      <c r="D301" t="s">
        <v>38</v>
      </c>
      <c r="E301">
        <v>16394.330000000002</v>
      </c>
      <c r="F301">
        <v>41.8</v>
      </c>
      <c r="G301">
        <v>158</v>
      </c>
      <c r="H301">
        <v>155</v>
      </c>
      <c r="I301" t="s">
        <v>33</v>
      </c>
      <c r="J301">
        <v>5</v>
      </c>
      <c r="K301" t="s">
        <v>47</v>
      </c>
      <c r="L301">
        <v>224997</v>
      </c>
      <c r="M301">
        <v>3.58</v>
      </c>
      <c r="N301" s="6">
        <f t="shared" si="4"/>
        <v>3688675067.0100002</v>
      </c>
    </row>
    <row r="302" spans="1:14" x14ac:dyDescent="0.35">
      <c r="A302" t="s">
        <v>29</v>
      </c>
      <c r="B302" t="s">
        <v>53</v>
      </c>
      <c r="C302">
        <v>2023</v>
      </c>
      <c r="D302" t="s">
        <v>38</v>
      </c>
      <c r="E302">
        <v>70531.960000000006</v>
      </c>
      <c r="F302">
        <v>70.5</v>
      </c>
      <c r="G302">
        <v>256</v>
      </c>
      <c r="H302">
        <v>165</v>
      </c>
      <c r="I302" t="s">
        <v>16</v>
      </c>
      <c r="J302">
        <v>5</v>
      </c>
      <c r="K302" t="s">
        <v>20</v>
      </c>
      <c r="L302">
        <v>209622</v>
      </c>
      <c r="M302">
        <v>3.6</v>
      </c>
      <c r="N302" s="6">
        <f t="shared" si="4"/>
        <v>14785050519.120001</v>
      </c>
    </row>
    <row r="303" spans="1:14" x14ac:dyDescent="0.35">
      <c r="A303" t="s">
        <v>29</v>
      </c>
      <c r="B303" t="s">
        <v>59</v>
      </c>
      <c r="C303">
        <v>2023</v>
      </c>
      <c r="D303" t="s">
        <v>43</v>
      </c>
      <c r="E303">
        <v>67772.81</v>
      </c>
      <c r="F303">
        <v>53.3</v>
      </c>
      <c r="G303">
        <v>175</v>
      </c>
      <c r="H303">
        <v>128</v>
      </c>
      <c r="I303" t="s">
        <v>40</v>
      </c>
      <c r="J303">
        <v>5</v>
      </c>
      <c r="K303" t="s">
        <v>20</v>
      </c>
      <c r="L303">
        <v>207968</v>
      </c>
      <c r="M303">
        <v>3.36</v>
      </c>
      <c r="N303" s="6">
        <f t="shared" si="4"/>
        <v>14094575750.08</v>
      </c>
    </row>
    <row r="304" spans="1:14" x14ac:dyDescent="0.35">
      <c r="A304" t="s">
        <v>29</v>
      </c>
      <c r="B304" t="s">
        <v>59</v>
      </c>
      <c r="C304">
        <v>2023</v>
      </c>
      <c r="D304" t="s">
        <v>38</v>
      </c>
      <c r="E304">
        <v>109503.65</v>
      </c>
      <c r="F304">
        <v>47.9</v>
      </c>
      <c r="G304">
        <v>155</v>
      </c>
      <c r="H304">
        <v>164</v>
      </c>
      <c r="I304" t="s">
        <v>25</v>
      </c>
      <c r="J304">
        <v>5</v>
      </c>
      <c r="K304" t="s">
        <v>17</v>
      </c>
      <c r="L304">
        <v>174834</v>
      </c>
      <c r="M304">
        <v>3.59</v>
      </c>
      <c r="N304" s="6">
        <f t="shared" si="4"/>
        <v>19144961144.099998</v>
      </c>
    </row>
    <row r="305" spans="1:14" x14ac:dyDescent="0.35">
      <c r="A305" t="s">
        <v>26</v>
      </c>
      <c r="B305" t="s">
        <v>27</v>
      </c>
      <c r="C305">
        <v>2023</v>
      </c>
      <c r="D305" t="s">
        <v>43</v>
      </c>
      <c r="E305">
        <v>77484.789999999994</v>
      </c>
      <c r="F305">
        <v>81.2</v>
      </c>
      <c r="G305">
        <v>284</v>
      </c>
      <c r="H305">
        <v>169</v>
      </c>
      <c r="I305" t="s">
        <v>21</v>
      </c>
      <c r="J305">
        <v>3</v>
      </c>
      <c r="K305" t="s">
        <v>20</v>
      </c>
      <c r="L305">
        <v>101678</v>
      </c>
      <c r="M305">
        <v>3.34</v>
      </c>
      <c r="N305" s="6">
        <f t="shared" si="4"/>
        <v>7878498477.6199989</v>
      </c>
    </row>
    <row r="306" spans="1:14" x14ac:dyDescent="0.35">
      <c r="A306" t="s">
        <v>29</v>
      </c>
      <c r="B306" t="s">
        <v>31</v>
      </c>
      <c r="C306">
        <v>2023</v>
      </c>
      <c r="D306" t="s">
        <v>43</v>
      </c>
      <c r="E306">
        <v>98108.77</v>
      </c>
      <c r="F306">
        <v>46.5</v>
      </c>
      <c r="G306">
        <v>150</v>
      </c>
      <c r="H306">
        <v>174</v>
      </c>
      <c r="I306" t="s">
        <v>21</v>
      </c>
      <c r="J306">
        <v>5</v>
      </c>
      <c r="K306" t="s">
        <v>20</v>
      </c>
      <c r="L306">
        <v>431290</v>
      </c>
      <c r="M306">
        <v>3.33</v>
      </c>
      <c r="N306" s="6">
        <f t="shared" si="4"/>
        <v>42313331413.300003</v>
      </c>
    </row>
    <row r="307" spans="1:14" x14ac:dyDescent="0.35">
      <c r="A307" t="s">
        <v>13</v>
      </c>
      <c r="B307" t="s">
        <v>51</v>
      </c>
      <c r="C307">
        <v>2023</v>
      </c>
      <c r="D307" t="s">
        <v>28</v>
      </c>
      <c r="E307">
        <v>94330.19</v>
      </c>
      <c r="F307">
        <v>105.4</v>
      </c>
      <c r="G307">
        <v>383</v>
      </c>
      <c r="H307">
        <v>177</v>
      </c>
      <c r="I307" t="s">
        <v>40</v>
      </c>
      <c r="J307">
        <v>5</v>
      </c>
      <c r="K307" t="s">
        <v>20</v>
      </c>
      <c r="L307">
        <v>232451</v>
      </c>
      <c r="M307">
        <v>3.95</v>
      </c>
      <c r="N307" s="6">
        <f t="shared" si="4"/>
        <v>21927146995.690002</v>
      </c>
    </row>
    <row r="308" spans="1:14" x14ac:dyDescent="0.35">
      <c r="A308" t="s">
        <v>34</v>
      </c>
      <c r="B308" t="s">
        <v>84</v>
      </c>
      <c r="C308">
        <v>2023</v>
      </c>
      <c r="D308" t="s">
        <v>43</v>
      </c>
      <c r="E308">
        <v>144581.79</v>
      </c>
      <c r="F308">
        <v>42.8</v>
      </c>
      <c r="G308">
        <v>150</v>
      </c>
      <c r="H308">
        <v>156</v>
      </c>
      <c r="I308" t="s">
        <v>21</v>
      </c>
      <c r="J308">
        <v>4</v>
      </c>
      <c r="K308" t="s">
        <v>17</v>
      </c>
      <c r="L308">
        <v>76491</v>
      </c>
      <c r="M308">
        <v>3.42</v>
      </c>
      <c r="N308" s="6">
        <f t="shared" si="4"/>
        <v>11059205698.890001</v>
      </c>
    </row>
    <row r="309" spans="1:14" x14ac:dyDescent="0.35">
      <c r="A309" t="s">
        <v>64</v>
      </c>
      <c r="B309" t="s">
        <v>85</v>
      </c>
      <c r="C309">
        <v>2023</v>
      </c>
      <c r="D309" t="s">
        <v>20</v>
      </c>
      <c r="E309">
        <v>86081.93</v>
      </c>
      <c r="F309">
        <v>72.3</v>
      </c>
      <c r="G309">
        <v>247</v>
      </c>
      <c r="H309">
        <v>166</v>
      </c>
      <c r="I309" t="s">
        <v>16</v>
      </c>
      <c r="J309">
        <v>4</v>
      </c>
      <c r="K309" t="s">
        <v>20</v>
      </c>
      <c r="L309">
        <v>51887</v>
      </c>
      <c r="M309">
        <v>3.42</v>
      </c>
      <c r="N309" s="6">
        <f t="shared" si="4"/>
        <v>4466533101.9099998</v>
      </c>
    </row>
    <row r="310" spans="1:14" x14ac:dyDescent="0.35">
      <c r="A310" t="s">
        <v>45</v>
      </c>
      <c r="B310" t="s">
        <v>54</v>
      </c>
      <c r="C310">
        <v>2023</v>
      </c>
      <c r="D310" t="s">
        <v>43</v>
      </c>
      <c r="E310">
        <v>21523.03</v>
      </c>
      <c r="F310">
        <v>42.4</v>
      </c>
      <c r="G310">
        <v>150</v>
      </c>
      <c r="H310">
        <v>157</v>
      </c>
      <c r="I310" t="s">
        <v>40</v>
      </c>
      <c r="J310">
        <v>4</v>
      </c>
      <c r="K310" t="s">
        <v>47</v>
      </c>
      <c r="L310">
        <v>183596</v>
      </c>
      <c r="M310">
        <v>3.23</v>
      </c>
      <c r="N310" s="6">
        <f t="shared" si="4"/>
        <v>3951542215.8799996</v>
      </c>
    </row>
    <row r="311" spans="1:14" x14ac:dyDescent="0.35">
      <c r="A311" t="s">
        <v>26</v>
      </c>
      <c r="B311" t="s">
        <v>36</v>
      </c>
      <c r="C311">
        <v>2023</v>
      </c>
      <c r="D311" t="s">
        <v>20</v>
      </c>
      <c r="E311">
        <v>92594.29</v>
      </c>
      <c r="F311">
        <v>74.2</v>
      </c>
      <c r="G311">
        <v>257</v>
      </c>
      <c r="H311">
        <v>158</v>
      </c>
      <c r="I311" t="s">
        <v>33</v>
      </c>
      <c r="J311">
        <v>5</v>
      </c>
      <c r="K311" t="s">
        <v>20</v>
      </c>
      <c r="L311">
        <v>83731</v>
      </c>
      <c r="M311">
        <v>3.6</v>
      </c>
      <c r="N311" s="6">
        <f t="shared" si="4"/>
        <v>7753012495.9899998</v>
      </c>
    </row>
    <row r="312" spans="1:14" x14ac:dyDescent="0.35">
      <c r="A312" t="s">
        <v>57</v>
      </c>
      <c r="B312" t="s">
        <v>58</v>
      </c>
      <c r="C312">
        <v>2023</v>
      </c>
      <c r="D312" t="s">
        <v>28</v>
      </c>
      <c r="E312">
        <v>76072</v>
      </c>
      <c r="F312">
        <v>105.6</v>
      </c>
      <c r="G312">
        <v>363</v>
      </c>
      <c r="H312">
        <v>189</v>
      </c>
      <c r="I312" t="s">
        <v>32</v>
      </c>
      <c r="J312">
        <v>5</v>
      </c>
      <c r="K312" t="s">
        <v>20</v>
      </c>
      <c r="L312">
        <v>48060</v>
      </c>
      <c r="M312">
        <v>4.04</v>
      </c>
      <c r="N312" s="6">
        <f t="shared" si="4"/>
        <v>3656020320</v>
      </c>
    </row>
    <row r="313" spans="1:14" x14ac:dyDescent="0.35">
      <c r="A313" t="s">
        <v>13</v>
      </c>
      <c r="B313" t="s">
        <v>51</v>
      </c>
      <c r="C313">
        <v>2023</v>
      </c>
      <c r="D313" t="s">
        <v>15</v>
      </c>
      <c r="E313">
        <v>80921.960000000006</v>
      </c>
      <c r="F313">
        <v>108.9</v>
      </c>
      <c r="G313">
        <v>399</v>
      </c>
      <c r="H313">
        <v>198</v>
      </c>
      <c r="I313" t="s">
        <v>32</v>
      </c>
      <c r="J313">
        <v>3</v>
      </c>
      <c r="K313" t="s">
        <v>20</v>
      </c>
      <c r="L313">
        <v>234095</v>
      </c>
      <c r="M313">
        <v>3.86</v>
      </c>
      <c r="N313" s="6">
        <f t="shared" si="4"/>
        <v>18943426226.200001</v>
      </c>
    </row>
    <row r="314" spans="1:14" x14ac:dyDescent="0.35">
      <c r="A314" t="s">
        <v>29</v>
      </c>
      <c r="B314" t="s">
        <v>59</v>
      </c>
      <c r="C314">
        <v>2023</v>
      </c>
      <c r="D314" t="s">
        <v>15</v>
      </c>
      <c r="E314">
        <v>184745.86</v>
      </c>
      <c r="F314">
        <v>106.3</v>
      </c>
      <c r="G314">
        <v>348</v>
      </c>
      <c r="H314">
        <v>198</v>
      </c>
      <c r="I314" t="s">
        <v>33</v>
      </c>
      <c r="J314">
        <v>3</v>
      </c>
      <c r="K314" t="s">
        <v>17</v>
      </c>
      <c r="L314">
        <v>148529</v>
      </c>
      <c r="M314">
        <v>4.29</v>
      </c>
      <c r="N314" s="6">
        <f t="shared" si="4"/>
        <v>27440117839.939999</v>
      </c>
    </row>
    <row r="315" spans="1:14" x14ac:dyDescent="0.35">
      <c r="A315" t="s">
        <v>45</v>
      </c>
      <c r="B315" t="s">
        <v>69</v>
      </c>
      <c r="C315">
        <v>2023</v>
      </c>
      <c r="D315" t="s">
        <v>15</v>
      </c>
      <c r="E315">
        <v>26461.18</v>
      </c>
      <c r="F315">
        <v>71.3</v>
      </c>
      <c r="G315">
        <v>265</v>
      </c>
      <c r="H315">
        <v>200</v>
      </c>
      <c r="I315" t="s">
        <v>21</v>
      </c>
      <c r="J315">
        <v>3</v>
      </c>
      <c r="K315" t="s">
        <v>47</v>
      </c>
      <c r="L315">
        <v>226324</v>
      </c>
      <c r="M315">
        <v>3.6</v>
      </c>
      <c r="N315" s="6">
        <f t="shared" si="4"/>
        <v>5988800102.3199997</v>
      </c>
    </row>
    <row r="316" spans="1:14" x14ac:dyDescent="0.35">
      <c r="A316" t="s">
        <v>34</v>
      </c>
      <c r="B316" t="s">
        <v>44</v>
      </c>
      <c r="C316">
        <v>2023</v>
      </c>
      <c r="D316" t="s">
        <v>28</v>
      </c>
      <c r="E316">
        <v>163924.89000000001</v>
      </c>
      <c r="F316">
        <v>83.9</v>
      </c>
      <c r="G316">
        <v>285</v>
      </c>
      <c r="H316">
        <v>180</v>
      </c>
      <c r="I316" t="s">
        <v>33</v>
      </c>
      <c r="J316">
        <v>4</v>
      </c>
      <c r="K316" t="s">
        <v>17</v>
      </c>
      <c r="L316">
        <v>50822</v>
      </c>
      <c r="M316">
        <v>3.77</v>
      </c>
      <c r="N316" s="6">
        <f t="shared" si="4"/>
        <v>8330990759.5800009</v>
      </c>
    </row>
    <row r="317" spans="1:14" x14ac:dyDescent="0.35">
      <c r="A317" t="s">
        <v>26</v>
      </c>
      <c r="B317" t="s">
        <v>36</v>
      </c>
      <c r="C317">
        <v>2023</v>
      </c>
      <c r="D317" t="s">
        <v>20</v>
      </c>
      <c r="E317">
        <v>38796.18</v>
      </c>
      <c r="F317">
        <v>49.4</v>
      </c>
      <c r="G317">
        <v>150</v>
      </c>
      <c r="H317">
        <v>168</v>
      </c>
      <c r="I317" t="s">
        <v>33</v>
      </c>
      <c r="J317">
        <v>5</v>
      </c>
      <c r="K317" t="s">
        <v>22</v>
      </c>
      <c r="L317">
        <v>146563</v>
      </c>
      <c r="M317">
        <v>3.09</v>
      </c>
      <c r="N317" s="6">
        <f t="shared" si="4"/>
        <v>5686084529.3400002</v>
      </c>
    </row>
    <row r="318" spans="1:14" x14ac:dyDescent="0.35">
      <c r="A318" t="s">
        <v>57</v>
      </c>
      <c r="B318" t="s">
        <v>58</v>
      </c>
      <c r="C318">
        <v>2023</v>
      </c>
      <c r="D318" t="s">
        <v>38</v>
      </c>
      <c r="E318">
        <v>59885.41</v>
      </c>
      <c r="F318">
        <v>65.900000000000006</v>
      </c>
      <c r="G318">
        <v>231</v>
      </c>
      <c r="H318">
        <v>148</v>
      </c>
      <c r="I318" t="s">
        <v>16</v>
      </c>
      <c r="J318">
        <v>4</v>
      </c>
      <c r="K318" t="s">
        <v>22</v>
      </c>
      <c r="L318">
        <v>28589</v>
      </c>
      <c r="M318">
        <v>3.5</v>
      </c>
      <c r="N318" s="6">
        <f t="shared" si="4"/>
        <v>1712063986.49</v>
      </c>
    </row>
    <row r="319" spans="1:14" x14ac:dyDescent="0.35">
      <c r="A319" t="s">
        <v>29</v>
      </c>
      <c r="B319" t="s">
        <v>39</v>
      </c>
      <c r="C319">
        <v>2023</v>
      </c>
      <c r="D319" t="s">
        <v>15</v>
      </c>
      <c r="E319">
        <v>65004.86</v>
      </c>
      <c r="F319">
        <v>111</v>
      </c>
      <c r="G319">
        <v>405</v>
      </c>
      <c r="H319">
        <v>200</v>
      </c>
      <c r="I319" t="s">
        <v>16</v>
      </c>
      <c r="J319">
        <v>4</v>
      </c>
      <c r="K319" t="s">
        <v>20</v>
      </c>
      <c r="L319">
        <v>208805</v>
      </c>
      <c r="M319">
        <v>4.34</v>
      </c>
      <c r="N319" s="6">
        <f t="shared" si="4"/>
        <v>13573339792.299999</v>
      </c>
    </row>
    <row r="320" spans="1:14" x14ac:dyDescent="0.35">
      <c r="A320" t="s">
        <v>45</v>
      </c>
      <c r="B320" t="s">
        <v>77</v>
      </c>
      <c r="C320">
        <v>2023</v>
      </c>
      <c r="D320" t="s">
        <v>15</v>
      </c>
      <c r="E320">
        <v>33904.31</v>
      </c>
      <c r="F320">
        <v>91.8</v>
      </c>
      <c r="G320">
        <v>310</v>
      </c>
      <c r="H320">
        <v>200</v>
      </c>
      <c r="I320" t="s">
        <v>40</v>
      </c>
      <c r="J320">
        <v>4</v>
      </c>
      <c r="K320" t="s">
        <v>47</v>
      </c>
      <c r="L320">
        <v>106140</v>
      </c>
      <c r="M320">
        <v>3.65</v>
      </c>
      <c r="N320" s="6">
        <f t="shared" si="4"/>
        <v>3598603463.3999996</v>
      </c>
    </row>
    <row r="321" spans="1:14" x14ac:dyDescent="0.35">
      <c r="A321" t="s">
        <v>45</v>
      </c>
      <c r="B321" t="s">
        <v>46</v>
      </c>
      <c r="C321">
        <v>2023</v>
      </c>
      <c r="D321" t="s">
        <v>28</v>
      </c>
      <c r="E321">
        <v>77902.259999999995</v>
      </c>
      <c r="F321">
        <v>85.2</v>
      </c>
      <c r="G321">
        <v>288</v>
      </c>
      <c r="H321">
        <v>183</v>
      </c>
      <c r="I321" t="s">
        <v>21</v>
      </c>
      <c r="J321">
        <v>5</v>
      </c>
      <c r="K321" t="s">
        <v>20</v>
      </c>
      <c r="L321">
        <v>177211</v>
      </c>
      <c r="M321">
        <v>3.38</v>
      </c>
      <c r="N321" s="6">
        <f t="shared" si="4"/>
        <v>13805137396.859999</v>
      </c>
    </row>
    <row r="322" spans="1:14" x14ac:dyDescent="0.35">
      <c r="A322" t="s">
        <v>45</v>
      </c>
      <c r="B322" t="s">
        <v>77</v>
      </c>
      <c r="C322">
        <v>2023</v>
      </c>
      <c r="D322" t="s">
        <v>43</v>
      </c>
      <c r="E322">
        <v>50127.13</v>
      </c>
      <c r="F322">
        <v>47.6</v>
      </c>
      <c r="G322">
        <v>150</v>
      </c>
      <c r="H322">
        <v>140</v>
      </c>
      <c r="I322" t="s">
        <v>40</v>
      </c>
      <c r="J322">
        <v>4</v>
      </c>
      <c r="K322" t="s">
        <v>22</v>
      </c>
      <c r="L322">
        <v>176192</v>
      </c>
      <c r="M322">
        <v>3.19</v>
      </c>
      <c r="N322" s="6">
        <f t="shared" ref="N322:N385" si="5">E322*L322</f>
        <v>8831999288.9599991</v>
      </c>
    </row>
    <row r="323" spans="1:14" x14ac:dyDescent="0.35">
      <c r="A323" t="s">
        <v>45</v>
      </c>
      <c r="B323" t="s">
        <v>69</v>
      </c>
      <c r="C323">
        <v>2023</v>
      </c>
      <c r="D323" t="s">
        <v>20</v>
      </c>
      <c r="E323">
        <v>29372.26</v>
      </c>
      <c r="F323">
        <v>77</v>
      </c>
      <c r="G323">
        <v>257</v>
      </c>
      <c r="H323">
        <v>129</v>
      </c>
      <c r="I323" t="s">
        <v>32</v>
      </c>
      <c r="J323">
        <v>4</v>
      </c>
      <c r="K323" t="s">
        <v>47</v>
      </c>
      <c r="L323">
        <v>240988</v>
      </c>
      <c r="M323">
        <v>3.46</v>
      </c>
      <c r="N323" s="6">
        <f t="shared" si="5"/>
        <v>7078362192.8799992</v>
      </c>
    </row>
    <row r="324" spans="1:14" x14ac:dyDescent="0.35">
      <c r="A324" t="s">
        <v>29</v>
      </c>
      <c r="B324" t="s">
        <v>30</v>
      </c>
      <c r="C324">
        <v>2023</v>
      </c>
      <c r="D324" t="s">
        <v>20</v>
      </c>
      <c r="E324">
        <v>123494.48</v>
      </c>
      <c r="F324">
        <v>79.099999999999994</v>
      </c>
      <c r="G324">
        <v>283</v>
      </c>
      <c r="H324">
        <v>175</v>
      </c>
      <c r="I324" t="s">
        <v>21</v>
      </c>
      <c r="J324">
        <v>5</v>
      </c>
      <c r="K324" t="s">
        <v>17</v>
      </c>
      <c r="L324">
        <v>228731</v>
      </c>
      <c r="M324">
        <v>3.4</v>
      </c>
      <c r="N324" s="6">
        <f t="shared" si="5"/>
        <v>28247015904.879997</v>
      </c>
    </row>
    <row r="325" spans="1:14" x14ac:dyDescent="0.35">
      <c r="A325" t="s">
        <v>29</v>
      </c>
      <c r="B325" t="s">
        <v>59</v>
      </c>
      <c r="C325">
        <v>2023</v>
      </c>
      <c r="D325" t="s">
        <v>20</v>
      </c>
      <c r="E325">
        <v>41055.46</v>
      </c>
      <c r="F325">
        <v>66.5</v>
      </c>
      <c r="G325">
        <v>234</v>
      </c>
      <c r="H325">
        <v>157</v>
      </c>
      <c r="I325" t="s">
        <v>16</v>
      </c>
      <c r="J325">
        <v>5</v>
      </c>
      <c r="K325" t="s">
        <v>22</v>
      </c>
      <c r="L325">
        <v>203412</v>
      </c>
      <c r="M325">
        <v>3.84</v>
      </c>
      <c r="N325" s="6">
        <f t="shared" si="5"/>
        <v>8351173229.5199995</v>
      </c>
    </row>
    <row r="326" spans="1:14" x14ac:dyDescent="0.35">
      <c r="A326" t="s">
        <v>64</v>
      </c>
      <c r="B326" t="s">
        <v>97</v>
      </c>
      <c r="C326">
        <v>2023</v>
      </c>
      <c r="D326" t="s">
        <v>28</v>
      </c>
      <c r="E326">
        <v>76874.69</v>
      </c>
      <c r="F326">
        <v>96.7</v>
      </c>
      <c r="G326">
        <v>338</v>
      </c>
      <c r="H326">
        <v>159</v>
      </c>
      <c r="I326" t="s">
        <v>40</v>
      </c>
      <c r="J326">
        <v>5</v>
      </c>
      <c r="K326" t="s">
        <v>20</v>
      </c>
      <c r="L326">
        <v>29925</v>
      </c>
      <c r="M326">
        <v>3.89</v>
      </c>
      <c r="N326" s="6">
        <f t="shared" si="5"/>
        <v>2300475098.25</v>
      </c>
    </row>
    <row r="327" spans="1:14" x14ac:dyDescent="0.35">
      <c r="A327" t="s">
        <v>64</v>
      </c>
      <c r="B327" t="s">
        <v>95</v>
      </c>
      <c r="C327">
        <v>2023</v>
      </c>
      <c r="D327" t="s">
        <v>38</v>
      </c>
      <c r="E327">
        <v>58951.66</v>
      </c>
      <c r="F327">
        <v>72.400000000000006</v>
      </c>
      <c r="G327">
        <v>252</v>
      </c>
      <c r="H327">
        <v>167</v>
      </c>
      <c r="I327" t="s">
        <v>25</v>
      </c>
      <c r="J327">
        <v>5</v>
      </c>
      <c r="K327" t="s">
        <v>22</v>
      </c>
      <c r="L327">
        <v>20422</v>
      </c>
      <c r="M327">
        <v>3.39</v>
      </c>
      <c r="N327" s="6">
        <f t="shared" si="5"/>
        <v>1203910800.52</v>
      </c>
    </row>
    <row r="328" spans="1:14" x14ac:dyDescent="0.35">
      <c r="A328" t="s">
        <v>29</v>
      </c>
      <c r="B328" t="s">
        <v>53</v>
      </c>
      <c r="C328">
        <v>2023</v>
      </c>
      <c r="D328" t="s">
        <v>38</v>
      </c>
      <c r="E328">
        <v>113861.27</v>
      </c>
      <c r="F328">
        <v>81.2</v>
      </c>
      <c r="G328">
        <v>306</v>
      </c>
      <c r="H328">
        <v>131</v>
      </c>
      <c r="I328" t="s">
        <v>16</v>
      </c>
      <c r="J328">
        <v>5</v>
      </c>
      <c r="K328" t="s">
        <v>17</v>
      </c>
      <c r="L328">
        <v>162424</v>
      </c>
      <c r="M328">
        <v>3.82</v>
      </c>
      <c r="N328" s="6">
        <f t="shared" si="5"/>
        <v>18493802918.48</v>
      </c>
    </row>
    <row r="329" spans="1:14" x14ac:dyDescent="0.35">
      <c r="A329" t="s">
        <v>75</v>
      </c>
      <c r="B329" t="s">
        <v>76</v>
      </c>
      <c r="C329">
        <v>2023</v>
      </c>
      <c r="D329" t="s">
        <v>15</v>
      </c>
      <c r="E329">
        <v>104608.91</v>
      </c>
      <c r="F329">
        <v>116.3</v>
      </c>
      <c r="G329">
        <v>395</v>
      </c>
      <c r="H329">
        <v>200</v>
      </c>
      <c r="I329" t="s">
        <v>40</v>
      </c>
      <c r="J329">
        <v>5</v>
      </c>
      <c r="K329" t="s">
        <v>17</v>
      </c>
      <c r="L329">
        <v>4453</v>
      </c>
      <c r="M329">
        <v>3.72</v>
      </c>
      <c r="N329" s="6">
        <f t="shared" si="5"/>
        <v>465823476.23000002</v>
      </c>
    </row>
    <row r="330" spans="1:14" x14ac:dyDescent="0.35">
      <c r="A330" t="s">
        <v>64</v>
      </c>
      <c r="B330" t="s">
        <v>85</v>
      </c>
      <c r="C330">
        <v>2023</v>
      </c>
      <c r="D330" t="s">
        <v>38</v>
      </c>
      <c r="E330">
        <v>90267.93</v>
      </c>
      <c r="F330">
        <v>63</v>
      </c>
      <c r="G330">
        <v>260</v>
      </c>
      <c r="H330">
        <v>172</v>
      </c>
      <c r="I330" t="s">
        <v>32</v>
      </c>
      <c r="J330">
        <v>4</v>
      </c>
      <c r="K330" t="s">
        <v>20</v>
      </c>
      <c r="L330">
        <v>26056</v>
      </c>
      <c r="M330">
        <v>3.46</v>
      </c>
      <c r="N330" s="6">
        <f t="shared" si="5"/>
        <v>2352021184.0799999</v>
      </c>
    </row>
    <row r="331" spans="1:14" x14ac:dyDescent="0.35">
      <c r="A331" t="s">
        <v>29</v>
      </c>
      <c r="B331" t="s">
        <v>53</v>
      </c>
      <c r="C331">
        <v>2023</v>
      </c>
      <c r="D331" t="s">
        <v>38</v>
      </c>
      <c r="E331">
        <v>46210.19</v>
      </c>
      <c r="F331">
        <v>70.099999999999994</v>
      </c>
      <c r="G331">
        <v>244</v>
      </c>
      <c r="H331">
        <v>171</v>
      </c>
      <c r="I331" t="s">
        <v>16</v>
      </c>
      <c r="J331">
        <v>4</v>
      </c>
      <c r="K331" t="s">
        <v>22</v>
      </c>
      <c r="L331">
        <v>187848</v>
      </c>
      <c r="M331">
        <v>3.58</v>
      </c>
      <c r="N331" s="6">
        <f t="shared" si="5"/>
        <v>8680491771.1200008</v>
      </c>
    </row>
    <row r="332" spans="1:14" x14ac:dyDescent="0.35">
      <c r="A332" t="s">
        <v>64</v>
      </c>
      <c r="B332" t="s">
        <v>70</v>
      </c>
      <c r="C332">
        <v>2023</v>
      </c>
      <c r="D332" t="s">
        <v>20</v>
      </c>
      <c r="E332">
        <v>137951.81</v>
      </c>
      <c r="F332">
        <v>60.1</v>
      </c>
      <c r="G332">
        <v>220</v>
      </c>
      <c r="H332">
        <v>152</v>
      </c>
      <c r="I332" t="s">
        <v>32</v>
      </c>
      <c r="J332">
        <v>4</v>
      </c>
      <c r="K332" t="s">
        <v>17</v>
      </c>
      <c r="L332">
        <v>26110</v>
      </c>
      <c r="M332">
        <v>3.46</v>
      </c>
      <c r="N332" s="6">
        <f t="shared" si="5"/>
        <v>3601921759.0999999</v>
      </c>
    </row>
    <row r="333" spans="1:14" x14ac:dyDescent="0.35">
      <c r="A333" t="s">
        <v>64</v>
      </c>
      <c r="B333" t="s">
        <v>70</v>
      </c>
      <c r="C333">
        <v>2023</v>
      </c>
      <c r="D333" t="s">
        <v>43</v>
      </c>
      <c r="E333">
        <v>67705.119999999995</v>
      </c>
      <c r="F333">
        <v>63</v>
      </c>
      <c r="G333">
        <v>239</v>
      </c>
      <c r="H333">
        <v>176</v>
      </c>
      <c r="I333" t="s">
        <v>33</v>
      </c>
      <c r="J333">
        <v>5</v>
      </c>
      <c r="K333" t="s">
        <v>20</v>
      </c>
      <c r="L333">
        <v>68305</v>
      </c>
      <c r="M333">
        <v>3.3</v>
      </c>
      <c r="N333" s="6">
        <f t="shared" si="5"/>
        <v>4624598221.5999994</v>
      </c>
    </row>
    <row r="334" spans="1:14" x14ac:dyDescent="0.35">
      <c r="A334" t="s">
        <v>45</v>
      </c>
      <c r="B334" t="s">
        <v>88</v>
      </c>
      <c r="C334">
        <v>2023</v>
      </c>
      <c r="D334" t="s">
        <v>43</v>
      </c>
      <c r="E334">
        <v>36044.93</v>
      </c>
      <c r="F334">
        <v>74.5</v>
      </c>
      <c r="G334">
        <v>251</v>
      </c>
      <c r="H334">
        <v>127</v>
      </c>
      <c r="I334" t="s">
        <v>16</v>
      </c>
      <c r="J334">
        <v>4</v>
      </c>
      <c r="K334" t="s">
        <v>22</v>
      </c>
      <c r="L334">
        <v>117310</v>
      </c>
      <c r="M334">
        <v>3.57</v>
      </c>
      <c r="N334" s="6">
        <f t="shared" si="5"/>
        <v>4228430738.3000002</v>
      </c>
    </row>
    <row r="335" spans="1:14" x14ac:dyDescent="0.35">
      <c r="A335" t="s">
        <v>29</v>
      </c>
      <c r="B335" t="s">
        <v>31</v>
      </c>
      <c r="C335">
        <v>2023</v>
      </c>
      <c r="D335" t="s">
        <v>43</v>
      </c>
      <c r="E335">
        <v>44516.36</v>
      </c>
      <c r="F335">
        <v>56.4</v>
      </c>
      <c r="G335">
        <v>227</v>
      </c>
      <c r="H335">
        <v>147</v>
      </c>
      <c r="I335" t="s">
        <v>40</v>
      </c>
      <c r="J335">
        <v>4</v>
      </c>
      <c r="K335" t="s">
        <v>22</v>
      </c>
      <c r="L335">
        <v>403294</v>
      </c>
      <c r="M335">
        <v>3.48</v>
      </c>
      <c r="N335" s="6">
        <f t="shared" si="5"/>
        <v>17953180889.84</v>
      </c>
    </row>
    <row r="336" spans="1:14" x14ac:dyDescent="0.35">
      <c r="A336" t="s">
        <v>29</v>
      </c>
      <c r="B336" t="s">
        <v>59</v>
      </c>
      <c r="C336">
        <v>2023</v>
      </c>
      <c r="D336" t="s">
        <v>20</v>
      </c>
      <c r="E336">
        <v>100324.34</v>
      </c>
      <c r="F336">
        <v>79.900000000000006</v>
      </c>
      <c r="G336">
        <v>300</v>
      </c>
      <c r="H336">
        <v>150</v>
      </c>
      <c r="I336" t="s">
        <v>33</v>
      </c>
      <c r="J336">
        <v>4</v>
      </c>
      <c r="K336" t="s">
        <v>17</v>
      </c>
      <c r="L336">
        <v>121739</v>
      </c>
      <c r="M336">
        <v>3.62</v>
      </c>
      <c r="N336" s="6">
        <f t="shared" si="5"/>
        <v>12213384827.26</v>
      </c>
    </row>
    <row r="337" spans="1:14" x14ac:dyDescent="0.35">
      <c r="A337" t="s">
        <v>18</v>
      </c>
      <c r="B337" t="s">
        <v>93</v>
      </c>
      <c r="C337">
        <v>2023</v>
      </c>
      <c r="D337" t="s">
        <v>38</v>
      </c>
      <c r="E337">
        <v>53579.07</v>
      </c>
      <c r="F337">
        <v>65.5</v>
      </c>
      <c r="G337">
        <v>233</v>
      </c>
      <c r="H337">
        <v>133</v>
      </c>
      <c r="I337" t="s">
        <v>33</v>
      </c>
      <c r="J337">
        <v>4</v>
      </c>
      <c r="K337" t="s">
        <v>22</v>
      </c>
      <c r="L337">
        <v>16544</v>
      </c>
      <c r="M337">
        <v>3.42</v>
      </c>
      <c r="N337" s="6">
        <f t="shared" si="5"/>
        <v>886412134.08000004</v>
      </c>
    </row>
    <row r="338" spans="1:14" x14ac:dyDescent="0.35">
      <c r="A338" t="s">
        <v>75</v>
      </c>
      <c r="B338" t="s">
        <v>76</v>
      </c>
      <c r="C338">
        <v>2023</v>
      </c>
      <c r="D338" t="s">
        <v>43</v>
      </c>
      <c r="E338">
        <v>81874.34</v>
      </c>
      <c r="F338">
        <v>83.6</v>
      </c>
      <c r="G338">
        <v>317</v>
      </c>
      <c r="H338">
        <v>177</v>
      </c>
      <c r="I338" t="s">
        <v>40</v>
      </c>
      <c r="J338">
        <v>4</v>
      </c>
      <c r="K338" t="s">
        <v>20</v>
      </c>
      <c r="L338">
        <v>1989</v>
      </c>
      <c r="M338">
        <v>3.61</v>
      </c>
      <c r="N338" s="6">
        <f t="shared" si="5"/>
        <v>162848062.25999999</v>
      </c>
    </row>
    <row r="339" spans="1:14" x14ac:dyDescent="0.35">
      <c r="A339" t="s">
        <v>34</v>
      </c>
      <c r="B339" t="s">
        <v>44</v>
      </c>
      <c r="C339">
        <v>2023</v>
      </c>
      <c r="D339" t="s">
        <v>15</v>
      </c>
      <c r="E339">
        <v>181026.58</v>
      </c>
      <c r="F339">
        <v>110.6</v>
      </c>
      <c r="G339">
        <v>370</v>
      </c>
      <c r="H339">
        <v>200</v>
      </c>
      <c r="I339" t="s">
        <v>16</v>
      </c>
      <c r="J339">
        <v>4</v>
      </c>
      <c r="K339" t="s">
        <v>17</v>
      </c>
      <c r="L339">
        <v>35248</v>
      </c>
      <c r="M339">
        <v>3.91</v>
      </c>
      <c r="N339" s="6">
        <f t="shared" si="5"/>
        <v>6380824891.8399992</v>
      </c>
    </row>
    <row r="340" spans="1:14" x14ac:dyDescent="0.35">
      <c r="A340" t="s">
        <v>13</v>
      </c>
      <c r="B340" t="s">
        <v>66</v>
      </c>
      <c r="C340">
        <v>2023</v>
      </c>
      <c r="D340" t="s">
        <v>20</v>
      </c>
      <c r="E340">
        <v>40146.71</v>
      </c>
      <c r="F340">
        <v>41.6</v>
      </c>
      <c r="G340">
        <v>150</v>
      </c>
      <c r="H340">
        <v>142</v>
      </c>
      <c r="I340" t="s">
        <v>33</v>
      </c>
      <c r="J340">
        <v>4</v>
      </c>
      <c r="K340" t="s">
        <v>22</v>
      </c>
      <c r="L340">
        <v>229072</v>
      </c>
      <c r="M340">
        <v>3.13</v>
      </c>
      <c r="N340" s="6">
        <f t="shared" si="5"/>
        <v>9196487153.1199989</v>
      </c>
    </row>
    <row r="341" spans="1:14" x14ac:dyDescent="0.35">
      <c r="A341" t="s">
        <v>34</v>
      </c>
      <c r="B341" t="s">
        <v>84</v>
      </c>
      <c r="C341">
        <v>2023</v>
      </c>
      <c r="D341" t="s">
        <v>28</v>
      </c>
      <c r="E341">
        <v>182443.72</v>
      </c>
      <c r="F341">
        <v>104.6</v>
      </c>
      <c r="G341">
        <v>359</v>
      </c>
      <c r="H341">
        <v>174</v>
      </c>
      <c r="I341" t="s">
        <v>40</v>
      </c>
      <c r="J341">
        <v>4</v>
      </c>
      <c r="K341" t="s">
        <v>17</v>
      </c>
      <c r="L341">
        <v>20765</v>
      </c>
      <c r="M341">
        <v>4.0999999999999996</v>
      </c>
      <c r="N341" s="6">
        <f t="shared" si="5"/>
        <v>3788443845.8000002</v>
      </c>
    </row>
    <row r="342" spans="1:14" x14ac:dyDescent="0.35">
      <c r="A342" t="s">
        <v>29</v>
      </c>
      <c r="B342" t="s">
        <v>39</v>
      </c>
      <c r="C342">
        <v>2023</v>
      </c>
      <c r="D342" t="s">
        <v>20</v>
      </c>
      <c r="E342">
        <v>76607.64</v>
      </c>
      <c r="F342">
        <v>81.099999999999994</v>
      </c>
      <c r="G342">
        <v>288</v>
      </c>
      <c r="H342">
        <v>137</v>
      </c>
      <c r="I342" t="s">
        <v>25</v>
      </c>
      <c r="J342">
        <v>3</v>
      </c>
      <c r="K342" t="s">
        <v>20</v>
      </c>
      <c r="L342">
        <v>244244</v>
      </c>
      <c r="M342">
        <v>3.81</v>
      </c>
      <c r="N342" s="6">
        <f t="shared" si="5"/>
        <v>18710956424.16</v>
      </c>
    </row>
    <row r="343" spans="1:14" x14ac:dyDescent="0.35">
      <c r="A343" t="s">
        <v>57</v>
      </c>
      <c r="B343" t="s">
        <v>58</v>
      </c>
      <c r="C343">
        <v>2023</v>
      </c>
      <c r="D343" t="s">
        <v>28</v>
      </c>
      <c r="E343">
        <v>63827.68</v>
      </c>
      <c r="F343">
        <v>85.8</v>
      </c>
      <c r="G343">
        <v>270</v>
      </c>
      <c r="H343">
        <v>180</v>
      </c>
      <c r="I343" t="s">
        <v>16</v>
      </c>
      <c r="J343">
        <v>4</v>
      </c>
      <c r="K343" t="s">
        <v>22</v>
      </c>
      <c r="L343">
        <v>74506</v>
      </c>
      <c r="M343">
        <v>3.43</v>
      </c>
      <c r="N343" s="6">
        <f t="shared" si="5"/>
        <v>4755545126.0799999</v>
      </c>
    </row>
    <row r="344" spans="1:14" x14ac:dyDescent="0.35">
      <c r="A344" t="s">
        <v>23</v>
      </c>
      <c r="B344" t="s">
        <v>82</v>
      </c>
      <c r="C344">
        <v>2023</v>
      </c>
      <c r="D344" t="s">
        <v>15</v>
      </c>
      <c r="E344">
        <v>74889.56</v>
      </c>
      <c r="F344">
        <v>92.7</v>
      </c>
      <c r="G344">
        <v>312</v>
      </c>
      <c r="H344">
        <v>193</v>
      </c>
      <c r="I344" t="s">
        <v>33</v>
      </c>
      <c r="J344">
        <v>4</v>
      </c>
      <c r="K344" t="s">
        <v>20</v>
      </c>
      <c r="L344">
        <v>29402</v>
      </c>
      <c r="M344">
        <v>3.57</v>
      </c>
      <c r="N344" s="6">
        <f t="shared" si="5"/>
        <v>2201902843.1199999</v>
      </c>
    </row>
    <row r="345" spans="1:14" x14ac:dyDescent="0.35">
      <c r="A345" t="s">
        <v>29</v>
      </c>
      <c r="B345" t="s">
        <v>53</v>
      </c>
      <c r="C345">
        <v>2023</v>
      </c>
      <c r="D345" t="s">
        <v>38</v>
      </c>
      <c r="E345">
        <v>104581.09</v>
      </c>
      <c r="F345">
        <v>50.5</v>
      </c>
      <c r="G345">
        <v>185</v>
      </c>
      <c r="H345">
        <v>165</v>
      </c>
      <c r="I345" t="s">
        <v>16</v>
      </c>
      <c r="J345">
        <v>5</v>
      </c>
      <c r="K345" t="s">
        <v>17</v>
      </c>
      <c r="L345">
        <v>156090</v>
      </c>
      <c r="M345">
        <v>3.54</v>
      </c>
      <c r="N345" s="6">
        <f t="shared" si="5"/>
        <v>16324062338.1</v>
      </c>
    </row>
    <row r="346" spans="1:14" x14ac:dyDescent="0.35">
      <c r="A346" t="s">
        <v>29</v>
      </c>
      <c r="B346" t="s">
        <v>39</v>
      </c>
      <c r="C346">
        <v>2023</v>
      </c>
      <c r="D346" t="s">
        <v>38</v>
      </c>
      <c r="E346">
        <v>56750.25</v>
      </c>
      <c r="F346">
        <v>40.5</v>
      </c>
      <c r="G346">
        <v>163</v>
      </c>
      <c r="H346">
        <v>136</v>
      </c>
      <c r="I346" t="s">
        <v>25</v>
      </c>
      <c r="J346">
        <v>4</v>
      </c>
      <c r="K346" t="s">
        <v>22</v>
      </c>
      <c r="L346">
        <v>175034</v>
      </c>
      <c r="M346">
        <v>3.89</v>
      </c>
      <c r="N346" s="6">
        <f t="shared" si="5"/>
        <v>9933223258.5</v>
      </c>
    </row>
    <row r="347" spans="1:14" x14ac:dyDescent="0.35">
      <c r="A347" t="s">
        <v>29</v>
      </c>
      <c r="B347" t="s">
        <v>53</v>
      </c>
      <c r="C347">
        <v>2023</v>
      </c>
      <c r="D347" t="s">
        <v>38</v>
      </c>
      <c r="E347">
        <v>62213.09</v>
      </c>
      <c r="F347">
        <v>54.2</v>
      </c>
      <c r="G347">
        <v>191</v>
      </c>
      <c r="H347">
        <v>136</v>
      </c>
      <c r="I347" t="s">
        <v>16</v>
      </c>
      <c r="J347">
        <v>5</v>
      </c>
      <c r="K347" t="s">
        <v>22</v>
      </c>
      <c r="L347">
        <v>199768</v>
      </c>
      <c r="M347">
        <v>3.77</v>
      </c>
      <c r="N347" s="6">
        <f t="shared" si="5"/>
        <v>12428184563.119999</v>
      </c>
    </row>
    <row r="348" spans="1:14" x14ac:dyDescent="0.35">
      <c r="A348" t="s">
        <v>64</v>
      </c>
      <c r="B348" t="s">
        <v>70</v>
      </c>
      <c r="C348">
        <v>2023</v>
      </c>
      <c r="D348" t="s">
        <v>28</v>
      </c>
      <c r="E348">
        <v>134039.99</v>
      </c>
      <c r="F348">
        <v>84.4</v>
      </c>
      <c r="G348">
        <v>313</v>
      </c>
      <c r="H348">
        <v>177</v>
      </c>
      <c r="I348" t="s">
        <v>40</v>
      </c>
      <c r="J348">
        <v>5</v>
      </c>
      <c r="K348" t="s">
        <v>17</v>
      </c>
      <c r="L348">
        <v>70841</v>
      </c>
      <c r="M348">
        <v>3.71</v>
      </c>
      <c r="N348" s="6">
        <f t="shared" si="5"/>
        <v>9495526931.5900002</v>
      </c>
    </row>
    <row r="349" spans="1:14" x14ac:dyDescent="0.35">
      <c r="A349" t="s">
        <v>49</v>
      </c>
      <c r="B349" t="s">
        <v>90</v>
      </c>
      <c r="C349">
        <v>2023</v>
      </c>
      <c r="D349" t="s">
        <v>28</v>
      </c>
      <c r="E349">
        <v>65970</v>
      </c>
      <c r="F349">
        <v>108.1</v>
      </c>
      <c r="G349">
        <v>394</v>
      </c>
      <c r="H349">
        <v>179</v>
      </c>
      <c r="I349" t="s">
        <v>33</v>
      </c>
      <c r="J349">
        <v>5</v>
      </c>
      <c r="K349" t="s">
        <v>20</v>
      </c>
      <c r="L349">
        <v>146072</v>
      </c>
      <c r="M349">
        <v>4.09</v>
      </c>
      <c r="N349" s="6">
        <f t="shared" si="5"/>
        <v>9636369840</v>
      </c>
    </row>
    <row r="350" spans="1:14" x14ac:dyDescent="0.35">
      <c r="A350" t="s">
        <v>57</v>
      </c>
      <c r="B350" t="s">
        <v>62</v>
      </c>
      <c r="C350">
        <v>2023</v>
      </c>
      <c r="D350" t="s">
        <v>38</v>
      </c>
      <c r="E350">
        <v>42208.33</v>
      </c>
      <c r="F350">
        <v>66.3</v>
      </c>
      <c r="G350">
        <v>224</v>
      </c>
      <c r="H350">
        <v>165</v>
      </c>
      <c r="I350" t="s">
        <v>21</v>
      </c>
      <c r="J350">
        <v>5</v>
      </c>
      <c r="K350" t="s">
        <v>22</v>
      </c>
      <c r="L350">
        <v>47569</v>
      </c>
      <c r="M350">
        <v>3.37</v>
      </c>
      <c r="N350" s="6">
        <f t="shared" si="5"/>
        <v>2007808049.77</v>
      </c>
    </row>
    <row r="351" spans="1:14" x14ac:dyDescent="0.35">
      <c r="A351" t="s">
        <v>29</v>
      </c>
      <c r="B351" t="s">
        <v>53</v>
      </c>
      <c r="C351">
        <v>2023</v>
      </c>
      <c r="D351" t="s">
        <v>38</v>
      </c>
      <c r="E351">
        <v>38622.29</v>
      </c>
      <c r="F351">
        <v>51.5</v>
      </c>
      <c r="G351">
        <v>186</v>
      </c>
      <c r="H351">
        <v>124</v>
      </c>
      <c r="I351" t="s">
        <v>16</v>
      </c>
      <c r="J351">
        <v>5</v>
      </c>
      <c r="K351" t="s">
        <v>22</v>
      </c>
      <c r="L351">
        <v>174372</v>
      </c>
      <c r="M351">
        <v>3.4</v>
      </c>
      <c r="N351" s="6">
        <f t="shared" si="5"/>
        <v>6734645951.8800001</v>
      </c>
    </row>
    <row r="352" spans="1:14" x14ac:dyDescent="0.35">
      <c r="A352" t="s">
        <v>29</v>
      </c>
      <c r="B352" t="s">
        <v>59</v>
      </c>
      <c r="C352">
        <v>2023</v>
      </c>
      <c r="D352" t="s">
        <v>38</v>
      </c>
      <c r="E352">
        <v>27433.3</v>
      </c>
      <c r="F352">
        <v>82.4</v>
      </c>
      <c r="G352">
        <v>258</v>
      </c>
      <c r="H352">
        <v>161</v>
      </c>
      <c r="I352" t="s">
        <v>33</v>
      </c>
      <c r="J352">
        <v>5</v>
      </c>
      <c r="K352" t="s">
        <v>47</v>
      </c>
      <c r="L352">
        <v>230869</v>
      </c>
      <c r="M352">
        <v>3.79</v>
      </c>
      <c r="N352" s="6">
        <f t="shared" si="5"/>
        <v>6333498537.6999998</v>
      </c>
    </row>
    <row r="353" spans="1:14" x14ac:dyDescent="0.35">
      <c r="A353" t="s">
        <v>23</v>
      </c>
      <c r="B353" t="s">
        <v>99</v>
      </c>
      <c r="C353">
        <v>2023</v>
      </c>
      <c r="D353" t="s">
        <v>43</v>
      </c>
      <c r="E353">
        <v>64132.24</v>
      </c>
      <c r="F353">
        <v>51.9</v>
      </c>
      <c r="G353">
        <v>150</v>
      </c>
      <c r="H353">
        <v>155</v>
      </c>
      <c r="I353" t="s">
        <v>16</v>
      </c>
      <c r="J353">
        <v>4</v>
      </c>
      <c r="K353" t="s">
        <v>22</v>
      </c>
      <c r="L353">
        <v>5462</v>
      </c>
      <c r="M353">
        <v>3.44</v>
      </c>
      <c r="N353" s="6">
        <f t="shared" si="5"/>
        <v>350290294.88</v>
      </c>
    </row>
    <row r="354" spans="1:14" x14ac:dyDescent="0.35">
      <c r="A354" t="s">
        <v>45</v>
      </c>
      <c r="B354" t="s">
        <v>77</v>
      </c>
      <c r="C354">
        <v>2023</v>
      </c>
      <c r="D354" t="s">
        <v>20</v>
      </c>
      <c r="E354">
        <v>65383.31</v>
      </c>
      <c r="F354">
        <v>69.599999999999994</v>
      </c>
      <c r="G354">
        <v>240</v>
      </c>
      <c r="H354">
        <v>161</v>
      </c>
      <c r="I354" t="s">
        <v>33</v>
      </c>
      <c r="J354">
        <v>5</v>
      </c>
      <c r="K354" t="s">
        <v>20</v>
      </c>
      <c r="L354">
        <v>171261</v>
      </c>
      <c r="M354">
        <v>3.56</v>
      </c>
      <c r="N354" s="6">
        <f t="shared" si="5"/>
        <v>11197611053.91</v>
      </c>
    </row>
    <row r="355" spans="1:14" x14ac:dyDescent="0.35">
      <c r="A355" t="s">
        <v>29</v>
      </c>
      <c r="B355" t="s">
        <v>30</v>
      </c>
      <c r="C355">
        <v>2023</v>
      </c>
      <c r="D355" t="s">
        <v>38</v>
      </c>
      <c r="E355">
        <v>33304.79</v>
      </c>
      <c r="F355">
        <v>70.400000000000006</v>
      </c>
      <c r="G355">
        <v>262</v>
      </c>
      <c r="H355">
        <v>180</v>
      </c>
      <c r="I355" t="s">
        <v>25</v>
      </c>
      <c r="J355">
        <v>4</v>
      </c>
      <c r="K355" t="s">
        <v>47</v>
      </c>
      <c r="L355">
        <v>239021</v>
      </c>
      <c r="M355">
        <v>3.85</v>
      </c>
      <c r="N355" s="6">
        <f t="shared" si="5"/>
        <v>7960544210.5900002</v>
      </c>
    </row>
    <row r="356" spans="1:14" x14ac:dyDescent="0.35">
      <c r="A356" t="s">
        <v>29</v>
      </c>
      <c r="B356" t="s">
        <v>39</v>
      </c>
      <c r="C356">
        <v>2023</v>
      </c>
      <c r="D356" t="s">
        <v>28</v>
      </c>
      <c r="E356">
        <v>98608.05</v>
      </c>
      <c r="F356">
        <v>77.7</v>
      </c>
      <c r="G356">
        <v>286</v>
      </c>
      <c r="H356">
        <v>183</v>
      </c>
      <c r="I356" t="s">
        <v>32</v>
      </c>
      <c r="J356">
        <v>4</v>
      </c>
      <c r="K356" t="s">
        <v>20</v>
      </c>
      <c r="L356">
        <v>246839</v>
      </c>
      <c r="M356">
        <v>3.98</v>
      </c>
      <c r="N356" s="6">
        <f t="shared" si="5"/>
        <v>24340312453.950001</v>
      </c>
    </row>
    <row r="357" spans="1:14" x14ac:dyDescent="0.35">
      <c r="A357" t="s">
        <v>26</v>
      </c>
      <c r="B357" t="s">
        <v>52</v>
      </c>
      <c r="C357">
        <v>2023</v>
      </c>
      <c r="D357" t="s">
        <v>20</v>
      </c>
      <c r="E357">
        <v>95598.48</v>
      </c>
      <c r="F357">
        <v>63.5</v>
      </c>
      <c r="G357">
        <v>202</v>
      </c>
      <c r="H357">
        <v>166</v>
      </c>
      <c r="I357" t="s">
        <v>21</v>
      </c>
      <c r="J357">
        <v>5</v>
      </c>
      <c r="K357" t="s">
        <v>20</v>
      </c>
      <c r="L357">
        <v>107457</v>
      </c>
      <c r="M357">
        <v>3.32</v>
      </c>
      <c r="N357" s="6">
        <f t="shared" si="5"/>
        <v>10272725865.359999</v>
      </c>
    </row>
    <row r="358" spans="1:14" x14ac:dyDescent="0.35">
      <c r="A358" t="s">
        <v>73</v>
      </c>
      <c r="B358" t="s">
        <v>107</v>
      </c>
      <c r="C358">
        <v>2023</v>
      </c>
      <c r="D358" t="s">
        <v>28</v>
      </c>
      <c r="E358">
        <v>98011.85</v>
      </c>
      <c r="F358">
        <v>106.2</v>
      </c>
      <c r="G358">
        <v>364</v>
      </c>
      <c r="H358">
        <v>171</v>
      </c>
      <c r="I358" t="s">
        <v>40</v>
      </c>
      <c r="J358">
        <v>4</v>
      </c>
      <c r="K358" t="s">
        <v>20</v>
      </c>
      <c r="L358">
        <v>12631</v>
      </c>
      <c r="M358">
        <v>3.86</v>
      </c>
      <c r="N358" s="6">
        <f t="shared" si="5"/>
        <v>1237987677.3500001</v>
      </c>
    </row>
    <row r="359" spans="1:14" x14ac:dyDescent="0.35">
      <c r="A359" t="s">
        <v>29</v>
      </c>
      <c r="B359" t="s">
        <v>53</v>
      </c>
      <c r="C359">
        <v>2023</v>
      </c>
      <c r="D359" t="s">
        <v>43</v>
      </c>
      <c r="E359">
        <v>121896.5</v>
      </c>
      <c r="F359">
        <v>64.2</v>
      </c>
      <c r="G359">
        <v>216</v>
      </c>
      <c r="H359">
        <v>145</v>
      </c>
      <c r="I359" t="s">
        <v>16</v>
      </c>
      <c r="J359">
        <v>5</v>
      </c>
      <c r="K359" t="s">
        <v>17</v>
      </c>
      <c r="L359">
        <v>186743</v>
      </c>
      <c r="M359">
        <v>3.62</v>
      </c>
      <c r="N359" s="6">
        <f t="shared" si="5"/>
        <v>22763318099.5</v>
      </c>
    </row>
    <row r="360" spans="1:14" x14ac:dyDescent="0.35">
      <c r="A360" t="s">
        <v>57</v>
      </c>
      <c r="B360" t="s">
        <v>79</v>
      </c>
      <c r="C360">
        <v>2023</v>
      </c>
      <c r="D360" t="s">
        <v>38</v>
      </c>
      <c r="E360">
        <v>35481.879999999997</v>
      </c>
      <c r="F360">
        <v>41</v>
      </c>
      <c r="G360">
        <v>173</v>
      </c>
      <c r="H360">
        <v>155</v>
      </c>
      <c r="I360" t="s">
        <v>32</v>
      </c>
      <c r="J360">
        <v>5</v>
      </c>
      <c r="K360" t="s">
        <v>22</v>
      </c>
      <c r="L360">
        <v>63701</v>
      </c>
      <c r="M360">
        <v>3.25</v>
      </c>
      <c r="N360" s="6">
        <f t="shared" si="5"/>
        <v>2260231237.8799996</v>
      </c>
    </row>
    <row r="361" spans="1:14" x14ac:dyDescent="0.35">
      <c r="A361" t="s">
        <v>45</v>
      </c>
      <c r="B361" t="s">
        <v>63</v>
      </c>
      <c r="C361">
        <v>2023</v>
      </c>
      <c r="D361" t="s">
        <v>28</v>
      </c>
      <c r="E361">
        <v>100157.25</v>
      </c>
      <c r="F361">
        <v>105.4</v>
      </c>
      <c r="G361">
        <v>362</v>
      </c>
      <c r="H361">
        <v>177</v>
      </c>
      <c r="I361" t="s">
        <v>16</v>
      </c>
      <c r="J361">
        <v>4</v>
      </c>
      <c r="K361" t="s">
        <v>17</v>
      </c>
      <c r="L361">
        <v>107443</v>
      </c>
      <c r="M361">
        <v>3.79</v>
      </c>
      <c r="N361" s="6">
        <f t="shared" si="5"/>
        <v>10761195411.75</v>
      </c>
    </row>
    <row r="362" spans="1:14" x14ac:dyDescent="0.35">
      <c r="A362" t="s">
        <v>29</v>
      </c>
      <c r="B362" t="s">
        <v>31</v>
      </c>
      <c r="C362">
        <v>2023</v>
      </c>
      <c r="D362" t="s">
        <v>38</v>
      </c>
      <c r="E362">
        <v>55299.28</v>
      </c>
      <c r="F362">
        <v>40.9</v>
      </c>
      <c r="G362">
        <v>150</v>
      </c>
      <c r="H362">
        <v>151</v>
      </c>
      <c r="I362" t="s">
        <v>32</v>
      </c>
      <c r="J362">
        <v>5</v>
      </c>
      <c r="K362" t="s">
        <v>22</v>
      </c>
      <c r="L362">
        <v>449181</v>
      </c>
      <c r="M362">
        <v>3.75</v>
      </c>
      <c r="N362" s="6">
        <f t="shared" si="5"/>
        <v>24839385889.68</v>
      </c>
    </row>
    <row r="363" spans="1:14" x14ac:dyDescent="0.35">
      <c r="A363" t="s">
        <v>57</v>
      </c>
      <c r="B363" t="s">
        <v>79</v>
      </c>
      <c r="C363">
        <v>2023</v>
      </c>
      <c r="D363" t="s">
        <v>38</v>
      </c>
      <c r="E363">
        <v>52080.38</v>
      </c>
      <c r="F363">
        <v>54.7</v>
      </c>
      <c r="G363">
        <v>222</v>
      </c>
      <c r="H363">
        <v>143</v>
      </c>
      <c r="I363" t="s">
        <v>25</v>
      </c>
      <c r="J363">
        <v>4</v>
      </c>
      <c r="K363" t="s">
        <v>22</v>
      </c>
      <c r="L363">
        <v>72053</v>
      </c>
      <c r="M363">
        <v>3.42</v>
      </c>
      <c r="N363" s="6">
        <f t="shared" si="5"/>
        <v>3752547620.1399999</v>
      </c>
    </row>
    <row r="364" spans="1:14" x14ac:dyDescent="0.35">
      <c r="A364" t="s">
        <v>13</v>
      </c>
      <c r="B364" t="s">
        <v>14</v>
      </c>
      <c r="C364">
        <v>2023</v>
      </c>
      <c r="D364" t="s">
        <v>15</v>
      </c>
      <c r="E364">
        <v>50097.36</v>
      </c>
      <c r="F364">
        <v>93.7</v>
      </c>
      <c r="G364">
        <v>319</v>
      </c>
      <c r="H364">
        <v>182</v>
      </c>
      <c r="I364" t="s">
        <v>25</v>
      </c>
      <c r="J364">
        <v>4</v>
      </c>
      <c r="K364" t="s">
        <v>22</v>
      </c>
      <c r="L364">
        <v>238954</v>
      </c>
      <c r="M364">
        <v>3.69</v>
      </c>
      <c r="N364" s="6">
        <f t="shared" si="5"/>
        <v>11970964561.440001</v>
      </c>
    </row>
    <row r="365" spans="1:14" x14ac:dyDescent="0.35">
      <c r="A365" t="s">
        <v>34</v>
      </c>
      <c r="B365" t="s">
        <v>35</v>
      </c>
      <c r="C365">
        <v>2023</v>
      </c>
      <c r="D365" t="s">
        <v>28</v>
      </c>
      <c r="E365">
        <v>123138.78</v>
      </c>
      <c r="F365">
        <v>81.2</v>
      </c>
      <c r="G365">
        <v>263</v>
      </c>
      <c r="H365">
        <v>174</v>
      </c>
      <c r="I365" t="s">
        <v>16</v>
      </c>
      <c r="J365">
        <v>5</v>
      </c>
      <c r="K365" t="s">
        <v>17</v>
      </c>
      <c r="L365">
        <v>65127</v>
      </c>
      <c r="M365">
        <v>3.77</v>
      </c>
      <c r="N365" s="6">
        <f t="shared" si="5"/>
        <v>8019659325.0599995</v>
      </c>
    </row>
    <row r="366" spans="1:14" x14ac:dyDescent="0.35">
      <c r="A366" t="s">
        <v>29</v>
      </c>
      <c r="B366" t="s">
        <v>39</v>
      </c>
      <c r="C366">
        <v>2023</v>
      </c>
      <c r="D366" t="s">
        <v>20</v>
      </c>
      <c r="E366">
        <v>131294.35999999999</v>
      </c>
      <c r="F366">
        <v>66</v>
      </c>
      <c r="G366">
        <v>236</v>
      </c>
      <c r="H366">
        <v>159</v>
      </c>
      <c r="I366" t="s">
        <v>21</v>
      </c>
      <c r="J366">
        <v>4</v>
      </c>
      <c r="K366" t="s">
        <v>17</v>
      </c>
      <c r="L366">
        <v>154508</v>
      </c>
      <c r="M366">
        <v>3.91</v>
      </c>
      <c r="N366" s="6">
        <f t="shared" si="5"/>
        <v>20286028974.879997</v>
      </c>
    </row>
    <row r="367" spans="1:14" x14ac:dyDescent="0.35">
      <c r="A367" t="s">
        <v>13</v>
      </c>
      <c r="B367" t="s">
        <v>51</v>
      </c>
      <c r="C367">
        <v>2023</v>
      </c>
      <c r="D367" t="s">
        <v>20</v>
      </c>
      <c r="E367">
        <v>44868.54</v>
      </c>
      <c r="F367">
        <v>71</v>
      </c>
      <c r="G367">
        <v>254</v>
      </c>
      <c r="H367">
        <v>135</v>
      </c>
      <c r="I367" t="s">
        <v>40</v>
      </c>
      <c r="J367">
        <v>3</v>
      </c>
      <c r="K367" t="s">
        <v>22</v>
      </c>
      <c r="L367">
        <v>264149</v>
      </c>
      <c r="M367">
        <v>3.6</v>
      </c>
      <c r="N367" s="6">
        <f t="shared" si="5"/>
        <v>11851979972.460001</v>
      </c>
    </row>
    <row r="368" spans="1:14" x14ac:dyDescent="0.35">
      <c r="A368" t="s">
        <v>49</v>
      </c>
      <c r="B368" t="s">
        <v>87</v>
      </c>
      <c r="C368">
        <v>2023</v>
      </c>
      <c r="D368" t="s">
        <v>43</v>
      </c>
      <c r="E368">
        <v>68110.080000000002</v>
      </c>
      <c r="F368">
        <v>72.3</v>
      </c>
      <c r="G368">
        <v>255</v>
      </c>
      <c r="H368">
        <v>152</v>
      </c>
      <c r="I368" t="s">
        <v>16</v>
      </c>
      <c r="J368">
        <v>4</v>
      </c>
      <c r="K368" t="s">
        <v>20</v>
      </c>
      <c r="L368">
        <v>73761</v>
      </c>
      <c r="M368">
        <v>3.77</v>
      </c>
      <c r="N368" s="6">
        <f t="shared" si="5"/>
        <v>5023867610.8800001</v>
      </c>
    </row>
    <row r="369" spans="1:14" x14ac:dyDescent="0.35">
      <c r="A369" t="s">
        <v>29</v>
      </c>
      <c r="B369" t="s">
        <v>31</v>
      </c>
      <c r="C369">
        <v>2023</v>
      </c>
      <c r="D369" t="s">
        <v>38</v>
      </c>
      <c r="E369">
        <v>92950.35</v>
      </c>
      <c r="F369">
        <v>77.5</v>
      </c>
      <c r="G369">
        <v>263</v>
      </c>
      <c r="H369">
        <v>166</v>
      </c>
      <c r="I369" t="s">
        <v>21</v>
      </c>
      <c r="J369">
        <v>5</v>
      </c>
      <c r="K369" t="s">
        <v>20</v>
      </c>
      <c r="L369">
        <v>491547</v>
      </c>
      <c r="M369">
        <v>3.57</v>
      </c>
      <c r="N369" s="6">
        <f t="shared" si="5"/>
        <v>45689465691.450005</v>
      </c>
    </row>
    <row r="370" spans="1:14" x14ac:dyDescent="0.35">
      <c r="A370" t="s">
        <v>57</v>
      </c>
      <c r="B370" t="s">
        <v>79</v>
      </c>
      <c r="C370">
        <v>2023</v>
      </c>
      <c r="D370" t="s">
        <v>43</v>
      </c>
      <c r="E370">
        <v>73469.820000000007</v>
      </c>
      <c r="F370">
        <v>58.2</v>
      </c>
      <c r="G370">
        <v>186</v>
      </c>
      <c r="H370">
        <v>134</v>
      </c>
      <c r="I370" t="s">
        <v>33</v>
      </c>
      <c r="J370">
        <v>5</v>
      </c>
      <c r="K370" t="s">
        <v>20</v>
      </c>
      <c r="L370">
        <v>59218</v>
      </c>
      <c r="M370">
        <v>3.38</v>
      </c>
      <c r="N370" s="6">
        <f t="shared" si="5"/>
        <v>4350735800.7600002</v>
      </c>
    </row>
    <row r="371" spans="1:14" x14ac:dyDescent="0.35">
      <c r="A371" t="s">
        <v>29</v>
      </c>
      <c r="B371" t="s">
        <v>59</v>
      </c>
      <c r="C371">
        <v>2023</v>
      </c>
      <c r="D371" t="s">
        <v>15</v>
      </c>
      <c r="E371">
        <v>93392.21</v>
      </c>
      <c r="F371">
        <v>85.7</v>
      </c>
      <c r="G371">
        <v>297</v>
      </c>
      <c r="H371">
        <v>200</v>
      </c>
      <c r="I371" t="s">
        <v>21</v>
      </c>
      <c r="J371">
        <v>5</v>
      </c>
      <c r="K371" t="s">
        <v>20</v>
      </c>
      <c r="L371">
        <v>138082</v>
      </c>
      <c r="M371">
        <v>3.74</v>
      </c>
      <c r="N371" s="6">
        <f t="shared" si="5"/>
        <v>12895783141.220001</v>
      </c>
    </row>
    <row r="372" spans="1:14" x14ac:dyDescent="0.35">
      <c r="A372" t="s">
        <v>29</v>
      </c>
      <c r="B372" t="s">
        <v>39</v>
      </c>
      <c r="C372">
        <v>2023</v>
      </c>
      <c r="D372" t="s">
        <v>20</v>
      </c>
      <c r="E372">
        <v>109016.04</v>
      </c>
      <c r="F372">
        <v>46.6</v>
      </c>
      <c r="G372">
        <v>178</v>
      </c>
      <c r="H372">
        <v>137</v>
      </c>
      <c r="I372" t="s">
        <v>32</v>
      </c>
      <c r="J372">
        <v>5</v>
      </c>
      <c r="K372" t="s">
        <v>17</v>
      </c>
      <c r="L372">
        <v>113179</v>
      </c>
      <c r="M372">
        <v>3.59</v>
      </c>
      <c r="N372" s="6">
        <f t="shared" si="5"/>
        <v>12338326391.16</v>
      </c>
    </row>
    <row r="373" spans="1:14" x14ac:dyDescent="0.35">
      <c r="A373" t="s">
        <v>80</v>
      </c>
      <c r="B373" t="s">
        <v>94</v>
      </c>
      <c r="C373">
        <v>2023</v>
      </c>
      <c r="D373" t="s">
        <v>38</v>
      </c>
      <c r="E373">
        <v>145262.78</v>
      </c>
      <c r="F373">
        <v>70.599999999999994</v>
      </c>
      <c r="G373">
        <v>265</v>
      </c>
      <c r="H373">
        <v>148</v>
      </c>
      <c r="I373" t="s">
        <v>32</v>
      </c>
      <c r="J373">
        <v>4</v>
      </c>
      <c r="K373" t="s">
        <v>17</v>
      </c>
      <c r="L373">
        <v>24347</v>
      </c>
      <c r="M373">
        <v>3.55</v>
      </c>
      <c r="N373" s="6">
        <f t="shared" si="5"/>
        <v>3536712904.6599998</v>
      </c>
    </row>
    <row r="374" spans="1:14" x14ac:dyDescent="0.35">
      <c r="A374" t="s">
        <v>57</v>
      </c>
      <c r="B374" t="s">
        <v>62</v>
      </c>
      <c r="C374">
        <v>2023</v>
      </c>
      <c r="D374" t="s">
        <v>38</v>
      </c>
      <c r="E374">
        <v>51056.88</v>
      </c>
      <c r="F374">
        <v>78.599999999999994</v>
      </c>
      <c r="G374">
        <v>262</v>
      </c>
      <c r="H374">
        <v>156</v>
      </c>
      <c r="I374" t="s">
        <v>33</v>
      </c>
      <c r="J374">
        <v>5</v>
      </c>
      <c r="K374" t="s">
        <v>22</v>
      </c>
      <c r="L374">
        <v>59730</v>
      </c>
      <c r="M374">
        <v>3.53</v>
      </c>
      <c r="N374" s="6">
        <f t="shared" si="5"/>
        <v>3049627442.3999996</v>
      </c>
    </row>
    <row r="375" spans="1:14" x14ac:dyDescent="0.35">
      <c r="A375" t="s">
        <v>29</v>
      </c>
      <c r="B375" t="s">
        <v>39</v>
      </c>
      <c r="C375">
        <v>2023</v>
      </c>
      <c r="D375" t="s">
        <v>20</v>
      </c>
      <c r="E375">
        <v>137659.6</v>
      </c>
      <c r="F375">
        <v>56.7</v>
      </c>
      <c r="G375">
        <v>186</v>
      </c>
      <c r="H375">
        <v>142</v>
      </c>
      <c r="I375" t="s">
        <v>33</v>
      </c>
      <c r="J375">
        <v>4</v>
      </c>
      <c r="K375" t="s">
        <v>17</v>
      </c>
      <c r="L375">
        <v>167952</v>
      </c>
      <c r="M375">
        <v>3.72</v>
      </c>
      <c r="N375" s="6">
        <f t="shared" si="5"/>
        <v>23120205139.200001</v>
      </c>
    </row>
    <row r="376" spans="1:14" x14ac:dyDescent="0.35">
      <c r="A376" t="s">
        <v>23</v>
      </c>
      <c r="B376" t="s">
        <v>83</v>
      </c>
      <c r="C376">
        <v>2023</v>
      </c>
      <c r="D376" t="s">
        <v>38</v>
      </c>
      <c r="E376">
        <v>37448.46</v>
      </c>
      <c r="F376">
        <v>74.099999999999994</v>
      </c>
      <c r="G376">
        <v>275</v>
      </c>
      <c r="H376">
        <v>165</v>
      </c>
      <c r="I376" t="s">
        <v>21</v>
      </c>
      <c r="J376">
        <v>5</v>
      </c>
      <c r="K376" t="s">
        <v>22</v>
      </c>
      <c r="L376">
        <v>12182</v>
      </c>
      <c r="M376">
        <v>3.71</v>
      </c>
      <c r="N376" s="6">
        <f t="shared" si="5"/>
        <v>456197139.71999997</v>
      </c>
    </row>
    <row r="377" spans="1:14" x14ac:dyDescent="0.35">
      <c r="A377" t="s">
        <v>26</v>
      </c>
      <c r="B377" t="s">
        <v>61</v>
      </c>
      <c r="C377">
        <v>2023</v>
      </c>
      <c r="D377" t="s">
        <v>43</v>
      </c>
      <c r="E377">
        <v>55591.96</v>
      </c>
      <c r="F377">
        <v>80.5</v>
      </c>
      <c r="G377">
        <v>283</v>
      </c>
      <c r="H377">
        <v>166</v>
      </c>
      <c r="I377" t="s">
        <v>21</v>
      </c>
      <c r="J377">
        <v>4</v>
      </c>
      <c r="K377" t="s">
        <v>22</v>
      </c>
      <c r="L377">
        <v>113695</v>
      </c>
      <c r="M377">
        <v>3.55</v>
      </c>
      <c r="N377" s="6">
        <f t="shared" si="5"/>
        <v>6320527892.1999998</v>
      </c>
    </row>
    <row r="378" spans="1:14" x14ac:dyDescent="0.35">
      <c r="A378" t="s">
        <v>45</v>
      </c>
      <c r="B378" t="s">
        <v>88</v>
      </c>
      <c r="C378">
        <v>2023</v>
      </c>
      <c r="D378" t="s">
        <v>38</v>
      </c>
      <c r="E378">
        <v>51321.91</v>
      </c>
      <c r="F378">
        <v>45.9</v>
      </c>
      <c r="G378">
        <v>150</v>
      </c>
      <c r="H378">
        <v>156</v>
      </c>
      <c r="I378" t="s">
        <v>32</v>
      </c>
      <c r="J378">
        <v>5</v>
      </c>
      <c r="K378" t="s">
        <v>22</v>
      </c>
      <c r="L378">
        <v>135053</v>
      </c>
      <c r="M378">
        <v>3.36</v>
      </c>
      <c r="N378" s="6">
        <f t="shared" si="5"/>
        <v>6931177911.2300005</v>
      </c>
    </row>
    <row r="379" spans="1:14" x14ac:dyDescent="0.35">
      <c r="A379" t="s">
        <v>64</v>
      </c>
      <c r="B379" t="s">
        <v>70</v>
      </c>
      <c r="C379">
        <v>2023</v>
      </c>
      <c r="D379" t="s">
        <v>20</v>
      </c>
      <c r="E379">
        <v>102426.61</v>
      </c>
      <c r="F379">
        <v>53.1</v>
      </c>
      <c r="G379">
        <v>197</v>
      </c>
      <c r="H379">
        <v>146</v>
      </c>
      <c r="I379" t="s">
        <v>16</v>
      </c>
      <c r="J379">
        <v>5</v>
      </c>
      <c r="K379" t="s">
        <v>17</v>
      </c>
      <c r="L379">
        <v>26181</v>
      </c>
      <c r="M379">
        <v>3.26</v>
      </c>
      <c r="N379" s="6">
        <f t="shared" si="5"/>
        <v>2681631076.4099998</v>
      </c>
    </row>
    <row r="380" spans="1:14" x14ac:dyDescent="0.35">
      <c r="A380" t="s">
        <v>29</v>
      </c>
      <c r="B380" t="s">
        <v>39</v>
      </c>
      <c r="C380">
        <v>2023</v>
      </c>
      <c r="D380" t="s">
        <v>43</v>
      </c>
      <c r="E380">
        <v>44024.89</v>
      </c>
      <c r="F380">
        <v>81.599999999999994</v>
      </c>
      <c r="G380">
        <v>284</v>
      </c>
      <c r="H380">
        <v>143</v>
      </c>
      <c r="I380" t="s">
        <v>16</v>
      </c>
      <c r="J380">
        <v>5</v>
      </c>
      <c r="K380" t="s">
        <v>22</v>
      </c>
      <c r="L380">
        <v>124369</v>
      </c>
      <c r="M380">
        <v>3.76</v>
      </c>
      <c r="N380" s="6">
        <f t="shared" si="5"/>
        <v>5475331544.4099998</v>
      </c>
    </row>
    <row r="381" spans="1:14" x14ac:dyDescent="0.35">
      <c r="A381" t="s">
        <v>64</v>
      </c>
      <c r="B381" t="s">
        <v>95</v>
      </c>
      <c r="C381">
        <v>2023</v>
      </c>
      <c r="D381" t="s">
        <v>20</v>
      </c>
      <c r="E381">
        <v>140938.73000000001</v>
      </c>
      <c r="F381">
        <v>59.3</v>
      </c>
      <c r="G381">
        <v>195</v>
      </c>
      <c r="H381">
        <v>137</v>
      </c>
      <c r="I381" t="s">
        <v>21</v>
      </c>
      <c r="J381">
        <v>5</v>
      </c>
      <c r="K381" t="s">
        <v>17</v>
      </c>
      <c r="L381">
        <v>51811</v>
      </c>
      <c r="M381">
        <v>3.11</v>
      </c>
      <c r="N381" s="6">
        <f t="shared" si="5"/>
        <v>7302176540.0300007</v>
      </c>
    </row>
    <row r="382" spans="1:14" x14ac:dyDescent="0.35">
      <c r="A382" t="s">
        <v>26</v>
      </c>
      <c r="B382" t="s">
        <v>52</v>
      </c>
      <c r="C382">
        <v>2023</v>
      </c>
      <c r="D382" t="s">
        <v>38</v>
      </c>
      <c r="E382">
        <v>42171.81</v>
      </c>
      <c r="F382">
        <v>67.099999999999994</v>
      </c>
      <c r="G382">
        <v>252</v>
      </c>
      <c r="H382">
        <v>155</v>
      </c>
      <c r="I382" t="s">
        <v>32</v>
      </c>
      <c r="J382">
        <v>4</v>
      </c>
      <c r="K382" t="s">
        <v>22</v>
      </c>
      <c r="L382">
        <v>135630</v>
      </c>
      <c r="M382">
        <v>3.6</v>
      </c>
      <c r="N382" s="6">
        <f t="shared" si="5"/>
        <v>5719762590.2999992</v>
      </c>
    </row>
    <row r="383" spans="1:14" x14ac:dyDescent="0.35">
      <c r="A383" t="s">
        <v>57</v>
      </c>
      <c r="B383" t="s">
        <v>79</v>
      </c>
      <c r="C383">
        <v>2023</v>
      </c>
      <c r="D383" t="s">
        <v>43</v>
      </c>
      <c r="E383">
        <v>68553.62</v>
      </c>
      <c r="F383">
        <v>71.3</v>
      </c>
      <c r="G383">
        <v>243</v>
      </c>
      <c r="H383">
        <v>173</v>
      </c>
      <c r="I383" t="s">
        <v>21</v>
      </c>
      <c r="J383">
        <v>5</v>
      </c>
      <c r="K383" t="s">
        <v>20</v>
      </c>
      <c r="L383">
        <v>60519</v>
      </c>
      <c r="M383">
        <v>3.36</v>
      </c>
      <c r="N383" s="6">
        <f t="shared" si="5"/>
        <v>4148796528.7799997</v>
      </c>
    </row>
    <row r="384" spans="1:14" x14ac:dyDescent="0.35">
      <c r="A384" t="s">
        <v>80</v>
      </c>
      <c r="B384" t="s">
        <v>94</v>
      </c>
      <c r="C384">
        <v>2023</v>
      </c>
      <c r="D384" t="s">
        <v>15</v>
      </c>
      <c r="E384">
        <v>254017.08</v>
      </c>
      <c r="F384">
        <v>118.1</v>
      </c>
      <c r="G384">
        <v>408</v>
      </c>
      <c r="H384">
        <v>190</v>
      </c>
      <c r="I384" t="s">
        <v>40</v>
      </c>
      <c r="J384">
        <v>5</v>
      </c>
      <c r="K384" t="s">
        <v>17</v>
      </c>
      <c r="L384">
        <v>26159</v>
      </c>
      <c r="M384">
        <v>4.2</v>
      </c>
      <c r="N384" s="6">
        <f t="shared" si="5"/>
        <v>6644832795.7199993</v>
      </c>
    </row>
    <row r="385" spans="1:14" x14ac:dyDescent="0.35">
      <c r="A385" t="s">
        <v>57</v>
      </c>
      <c r="B385" t="s">
        <v>58</v>
      </c>
      <c r="C385">
        <v>2023</v>
      </c>
      <c r="D385" t="s">
        <v>38</v>
      </c>
      <c r="E385">
        <v>67976.38</v>
      </c>
      <c r="F385">
        <v>49</v>
      </c>
      <c r="G385">
        <v>179</v>
      </c>
      <c r="H385">
        <v>166</v>
      </c>
      <c r="I385" t="s">
        <v>21</v>
      </c>
      <c r="J385">
        <v>4</v>
      </c>
      <c r="K385" t="s">
        <v>20</v>
      </c>
      <c r="L385">
        <v>21067</v>
      </c>
      <c r="M385">
        <v>3.27</v>
      </c>
      <c r="N385" s="6">
        <f t="shared" si="5"/>
        <v>1432058397.46</v>
      </c>
    </row>
    <row r="386" spans="1:14" x14ac:dyDescent="0.35">
      <c r="A386" t="s">
        <v>18</v>
      </c>
      <c r="B386" t="s">
        <v>93</v>
      </c>
      <c r="C386">
        <v>2023</v>
      </c>
      <c r="D386" t="s">
        <v>43</v>
      </c>
      <c r="E386">
        <v>69285.919999999998</v>
      </c>
      <c r="F386">
        <v>67.099999999999994</v>
      </c>
      <c r="G386">
        <v>201</v>
      </c>
      <c r="H386">
        <v>168</v>
      </c>
      <c r="I386" t="s">
        <v>32</v>
      </c>
      <c r="J386">
        <v>5</v>
      </c>
      <c r="K386" t="s">
        <v>20</v>
      </c>
      <c r="L386">
        <v>15625</v>
      </c>
      <c r="M386">
        <v>3.58</v>
      </c>
      <c r="N386" s="6">
        <f t="shared" ref="N386:N449" si="6">E386*L386</f>
        <v>1082592500</v>
      </c>
    </row>
    <row r="387" spans="1:14" x14ac:dyDescent="0.35">
      <c r="A387" t="s">
        <v>29</v>
      </c>
      <c r="B387" t="s">
        <v>39</v>
      </c>
      <c r="C387">
        <v>2023</v>
      </c>
      <c r="D387" t="s">
        <v>15</v>
      </c>
      <c r="E387">
        <v>82511.11</v>
      </c>
      <c r="F387">
        <v>85.6</v>
      </c>
      <c r="G387">
        <v>289</v>
      </c>
      <c r="H387">
        <v>180</v>
      </c>
      <c r="I387" t="s">
        <v>33</v>
      </c>
      <c r="J387">
        <v>4</v>
      </c>
      <c r="K387" t="s">
        <v>20</v>
      </c>
      <c r="L387">
        <v>243479</v>
      </c>
      <c r="M387">
        <v>3.78</v>
      </c>
      <c r="N387" s="6">
        <f t="shared" si="6"/>
        <v>20089722551.689999</v>
      </c>
    </row>
    <row r="388" spans="1:14" x14ac:dyDescent="0.35">
      <c r="A388" t="s">
        <v>26</v>
      </c>
      <c r="B388" t="s">
        <v>27</v>
      </c>
      <c r="C388">
        <v>2023</v>
      </c>
      <c r="D388" t="s">
        <v>20</v>
      </c>
      <c r="E388">
        <v>102070.65</v>
      </c>
      <c r="F388">
        <v>49.5</v>
      </c>
      <c r="G388">
        <v>174</v>
      </c>
      <c r="H388">
        <v>163</v>
      </c>
      <c r="I388" t="s">
        <v>21</v>
      </c>
      <c r="J388">
        <v>3</v>
      </c>
      <c r="K388" t="s">
        <v>17</v>
      </c>
      <c r="L388">
        <v>148039</v>
      </c>
      <c r="M388">
        <v>3.37</v>
      </c>
      <c r="N388" s="6">
        <f t="shared" si="6"/>
        <v>15110436955.349998</v>
      </c>
    </row>
    <row r="389" spans="1:14" x14ac:dyDescent="0.35">
      <c r="A389" t="s">
        <v>26</v>
      </c>
      <c r="B389" t="s">
        <v>36</v>
      </c>
      <c r="C389">
        <v>2023</v>
      </c>
      <c r="D389" t="s">
        <v>20</v>
      </c>
      <c r="E389">
        <v>96493.02</v>
      </c>
      <c r="F389">
        <v>59.1</v>
      </c>
      <c r="G389">
        <v>207</v>
      </c>
      <c r="H389">
        <v>146</v>
      </c>
      <c r="I389" t="s">
        <v>25</v>
      </c>
      <c r="J389">
        <v>5</v>
      </c>
      <c r="K389" t="s">
        <v>20</v>
      </c>
      <c r="L389">
        <v>123691</v>
      </c>
      <c r="M389">
        <v>3.45</v>
      </c>
      <c r="N389" s="6">
        <f t="shared" si="6"/>
        <v>11935318136.82</v>
      </c>
    </row>
    <row r="390" spans="1:14" x14ac:dyDescent="0.35">
      <c r="A390" t="s">
        <v>26</v>
      </c>
      <c r="B390" t="s">
        <v>61</v>
      </c>
      <c r="C390">
        <v>2023</v>
      </c>
      <c r="D390" t="s">
        <v>38</v>
      </c>
      <c r="E390">
        <v>52108.05</v>
      </c>
      <c r="F390">
        <v>65.900000000000006</v>
      </c>
      <c r="G390">
        <v>230</v>
      </c>
      <c r="H390">
        <v>152</v>
      </c>
      <c r="I390" t="s">
        <v>21</v>
      </c>
      <c r="J390">
        <v>5</v>
      </c>
      <c r="K390" t="s">
        <v>22</v>
      </c>
      <c r="L390">
        <v>98868</v>
      </c>
      <c r="M390">
        <v>3.23</v>
      </c>
      <c r="N390" s="6">
        <f t="shared" si="6"/>
        <v>5151818687.4000006</v>
      </c>
    </row>
    <row r="391" spans="1:14" x14ac:dyDescent="0.35">
      <c r="A391" t="s">
        <v>67</v>
      </c>
      <c r="B391" t="s">
        <v>89</v>
      </c>
      <c r="C391">
        <v>2023</v>
      </c>
      <c r="D391" t="s">
        <v>38</v>
      </c>
      <c r="E391">
        <v>93510.78</v>
      </c>
      <c r="F391">
        <v>53</v>
      </c>
      <c r="G391">
        <v>195</v>
      </c>
      <c r="H391">
        <v>161</v>
      </c>
      <c r="I391" t="s">
        <v>32</v>
      </c>
      <c r="J391">
        <v>5</v>
      </c>
      <c r="K391" t="s">
        <v>20</v>
      </c>
      <c r="L391">
        <v>70832</v>
      </c>
      <c r="M391">
        <v>3.16</v>
      </c>
      <c r="N391" s="6">
        <f t="shared" si="6"/>
        <v>6623555568.96</v>
      </c>
    </row>
    <row r="392" spans="1:14" x14ac:dyDescent="0.35">
      <c r="A392" t="s">
        <v>13</v>
      </c>
      <c r="B392" t="s">
        <v>55</v>
      </c>
      <c r="C392">
        <v>2023</v>
      </c>
      <c r="D392" t="s">
        <v>20</v>
      </c>
      <c r="E392">
        <v>87378.559999999998</v>
      </c>
      <c r="F392">
        <v>46.6</v>
      </c>
      <c r="G392">
        <v>155</v>
      </c>
      <c r="H392">
        <v>162</v>
      </c>
      <c r="I392" t="s">
        <v>16</v>
      </c>
      <c r="J392">
        <v>3</v>
      </c>
      <c r="K392" t="s">
        <v>20</v>
      </c>
      <c r="L392">
        <v>280958</v>
      </c>
      <c r="M392">
        <v>3.26</v>
      </c>
      <c r="N392" s="6">
        <f t="shared" si="6"/>
        <v>24549705460.48</v>
      </c>
    </row>
    <row r="393" spans="1:14" x14ac:dyDescent="0.35">
      <c r="A393" t="s">
        <v>49</v>
      </c>
      <c r="B393" t="s">
        <v>87</v>
      </c>
      <c r="C393">
        <v>2023</v>
      </c>
      <c r="D393" t="s">
        <v>28</v>
      </c>
      <c r="E393">
        <v>51553.1</v>
      </c>
      <c r="F393">
        <v>75.3</v>
      </c>
      <c r="G393">
        <v>265</v>
      </c>
      <c r="H393">
        <v>174</v>
      </c>
      <c r="I393" t="s">
        <v>33</v>
      </c>
      <c r="J393">
        <v>5</v>
      </c>
      <c r="K393" t="s">
        <v>22</v>
      </c>
      <c r="L393">
        <v>110986</v>
      </c>
      <c r="M393">
        <v>3.76</v>
      </c>
      <c r="N393" s="6">
        <f t="shared" si="6"/>
        <v>5721672356.5999994</v>
      </c>
    </row>
    <row r="394" spans="1:14" x14ac:dyDescent="0.35">
      <c r="A394" t="s">
        <v>45</v>
      </c>
      <c r="B394" t="s">
        <v>54</v>
      </c>
      <c r="C394">
        <v>2023</v>
      </c>
      <c r="D394" t="s">
        <v>43</v>
      </c>
      <c r="E394">
        <v>70732.36</v>
      </c>
      <c r="F394">
        <v>45.3</v>
      </c>
      <c r="G394">
        <v>151</v>
      </c>
      <c r="H394">
        <v>161</v>
      </c>
      <c r="I394" t="s">
        <v>32</v>
      </c>
      <c r="J394">
        <v>4</v>
      </c>
      <c r="K394" t="s">
        <v>20</v>
      </c>
      <c r="L394">
        <v>198624</v>
      </c>
      <c r="M394">
        <v>3.14</v>
      </c>
      <c r="N394" s="6">
        <f t="shared" si="6"/>
        <v>14049144272.639999</v>
      </c>
    </row>
    <row r="395" spans="1:14" x14ac:dyDescent="0.35">
      <c r="A395" t="s">
        <v>64</v>
      </c>
      <c r="B395" t="s">
        <v>95</v>
      </c>
      <c r="C395">
        <v>2023</v>
      </c>
      <c r="D395" t="s">
        <v>43</v>
      </c>
      <c r="E395">
        <v>106048.4</v>
      </c>
      <c r="F395">
        <v>47.8</v>
      </c>
      <c r="G395">
        <v>195</v>
      </c>
      <c r="H395">
        <v>167</v>
      </c>
      <c r="I395" t="s">
        <v>32</v>
      </c>
      <c r="J395">
        <v>5</v>
      </c>
      <c r="K395" t="s">
        <v>17</v>
      </c>
      <c r="L395">
        <v>52016</v>
      </c>
      <c r="M395">
        <v>3.3</v>
      </c>
      <c r="N395" s="6">
        <f t="shared" si="6"/>
        <v>5516213574.3999996</v>
      </c>
    </row>
    <row r="396" spans="1:14" x14ac:dyDescent="0.35">
      <c r="A396" t="s">
        <v>13</v>
      </c>
      <c r="B396" t="s">
        <v>56</v>
      </c>
      <c r="C396">
        <v>2023</v>
      </c>
      <c r="D396" t="s">
        <v>15</v>
      </c>
      <c r="E396">
        <v>44275.35</v>
      </c>
      <c r="F396">
        <v>90.4</v>
      </c>
      <c r="G396">
        <v>308</v>
      </c>
      <c r="H396">
        <v>180</v>
      </c>
      <c r="I396" t="s">
        <v>32</v>
      </c>
      <c r="J396">
        <v>5</v>
      </c>
      <c r="K396" t="s">
        <v>22</v>
      </c>
      <c r="L396">
        <v>209760</v>
      </c>
      <c r="M396">
        <v>3.52</v>
      </c>
      <c r="N396" s="6">
        <f t="shared" si="6"/>
        <v>9287197416</v>
      </c>
    </row>
    <row r="397" spans="1:14" x14ac:dyDescent="0.35">
      <c r="A397" t="s">
        <v>23</v>
      </c>
      <c r="B397" t="s">
        <v>24</v>
      </c>
      <c r="C397">
        <v>2023</v>
      </c>
      <c r="D397" t="s">
        <v>38</v>
      </c>
      <c r="E397">
        <v>38369.910000000003</v>
      </c>
      <c r="F397">
        <v>46.8</v>
      </c>
      <c r="G397">
        <v>177</v>
      </c>
      <c r="H397">
        <v>139</v>
      </c>
      <c r="I397" t="s">
        <v>21</v>
      </c>
      <c r="J397">
        <v>5</v>
      </c>
      <c r="K397" t="s">
        <v>22</v>
      </c>
      <c r="L397">
        <v>19280</v>
      </c>
      <c r="M397">
        <v>3.34</v>
      </c>
      <c r="N397" s="6">
        <f t="shared" si="6"/>
        <v>739771864.80000007</v>
      </c>
    </row>
    <row r="398" spans="1:14" x14ac:dyDescent="0.35">
      <c r="A398" t="s">
        <v>29</v>
      </c>
      <c r="B398" t="s">
        <v>39</v>
      </c>
      <c r="C398">
        <v>2023</v>
      </c>
      <c r="D398" t="s">
        <v>28</v>
      </c>
      <c r="E398">
        <v>82872.710000000006</v>
      </c>
      <c r="F398">
        <v>88.9</v>
      </c>
      <c r="G398">
        <v>322</v>
      </c>
      <c r="H398">
        <v>182</v>
      </c>
      <c r="I398" t="s">
        <v>33</v>
      </c>
      <c r="J398">
        <v>5</v>
      </c>
      <c r="K398" t="s">
        <v>20</v>
      </c>
      <c r="L398">
        <v>233601</v>
      </c>
      <c r="M398">
        <v>3.61</v>
      </c>
      <c r="N398" s="6">
        <f t="shared" si="6"/>
        <v>19359147928.710003</v>
      </c>
    </row>
    <row r="399" spans="1:14" x14ac:dyDescent="0.35">
      <c r="A399" t="s">
        <v>29</v>
      </c>
      <c r="B399" t="s">
        <v>59</v>
      </c>
      <c r="C399">
        <v>2023</v>
      </c>
      <c r="D399" t="s">
        <v>43</v>
      </c>
      <c r="E399">
        <v>43959.45</v>
      </c>
      <c r="F399">
        <v>63.9</v>
      </c>
      <c r="G399">
        <v>211</v>
      </c>
      <c r="H399">
        <v>148</v>
      </c>
      <c r="I399" t="s">
        <v>21</v>
      </c>
      <c r="J399">
        <v>3</v>
      </c>
      <c r="K399" t="s">
        <v>22</v>
      </c>
      <c r="L399">
        <v>124556</v>
      </c>
      <c r="M399">
        <v>3.97</v>
      </c>
      <c r="N399" s="6">
        <f t="shared" si="6"/>
        <v>5475413254.1999998</v>
      </c>
    </row>
    <row r="400" spans="1:14" x14ac:dyDescent="0.35">
      <c r="A400" t="s">
        <v>26</v>
      </c>
      <c r="B400" t="s">
        <v>61</v>
      </c>
      <c r="C400">
        <v>2023</v>
      </c>
      <c r="D400" t="s">
        <v>38</v>
      </c>
      <c r="E400">
        <v>65534.18</v>
      </c>
      <c r="F400">
        <v>84.3</v>
      </c>
      <c r="G400">
        <v>248</v>
      </c>
      <c r="H400">
        <v>176</v>
      </c>
      <c r="I400" t="s">
        <v>21</v>
      </c>
      <c r="J400">
        <v>4</v>
      </c>
      <c r="K400" t="s">
        <v>20</v>
      </c>
      <c r="L400">
        <v>115671</v>
      </c>
      <c r="M400">
        <v>3.43</v>
      </c>
      <c r="N400" s="6">
        <f t="shared" si="6"/>
        <v>7580404134.7799997</v>
      </c>
    </row>
    <row r="401" spans="1:14" x14ac:dyDescent="0.35">
      <c r="A401" t="s">
        <v>49</v>
      </c>
      <c r="B401" t="s">
        <v>60</v>
      </c>
      <c r="C401">
        <v>2023</v>
      </c>
      <c r="D401" t="s">
        <v>43</v>
      </c>
      <c r="E401">
        <v>66319.66</v>
      </c>
      <c r="F401">
        <v>72.900000000000006</v>
      </c>
      <c r="G401">
        <v>225</v>
      </c>
      <c r="H401">
        <v>134</v>
      </c>
      <c r="I401" t="s">
        <v>25</v>
      </c>
      <c r="J401">
        <v>4</v>
      </c>
      <c r="K401" t="s">
        <v>20</v>
      </c>
      <c r="L401">
        <v>139935</v>
      </c>
      <c r="M401">
        <v>3.2</v>
      </c>
      <c r="N401" s="6">
        <f t="shared" si="6"/>
        <v>9280441622.1000004</v>
      </c>
    </row>
    <row r="402" spans="1:14" x14ac:dyDescent="0.35">
      <c r="A402" t="s">
        <v>67</v>
      </c>
      <c r="B402" t="s">
        <v>89</v>
      </c>
      <c r="C402">
        <v>2023</v>
      </c>
      <c r="D402" t="s">
        <v>43</v>
      </c>
      <c r="E402">
        <v>63313.85</v>
      </c>
      <c r="F402">
        <v>56.2</v>
      </c>
      <c r="G402">
        <v>189</v>
      </c>
      <c r="H402">
        <v>138</v>
      </c>
      <c r="I402" t="s">
        <v>25</v>
      </c>
      <c r="J402">
        <v>4</v>
      </c>
      <c r="K402" t="s">
        <v>22</v>
      </c>
      <c r="L402">
        <v>25175</v>
      </c>
      <c r="M402">
        <v>3.27</v>
      </c>
      <c r="N402" s="6">
        <f t="shared" si="6"/>
        <v>1593926173.75</v>
      </c>
    </row>
    <row r="403" spans="1:14" x14ac:dyDescent="0.35">
      <c r="A403" t="s">
        <v>13</v>
      </c>
      <c r="B403" t="s">
        <v>55</v>
      </c>
      <c r="C403">
        <v>2023</v>
      </c>
      <c r="D403" t="s">
        <v>15</v>
      </c>
      <c r="E403">
        <v>62312.34</v>
      </c>
      <c r="F403">
        <v>116.7</v>
      </c>
      <c r="G403">
        <v>420</v>
      </c>
      <c r="H403">
        <v>191</v>
      </c>
      <c r="I403" t="s">
        <v>40</v>
      </c>
      <c r="J403">
        <v>4</v>
      </c>
      <c r="K403" t="s">
        <v>22</v>
      </c>
      <c r="L403">
        <v>298301</v>
      </c>
      <c r="M403">
        <v>3.59</v>
      </c>
      <c r="N403" s="6">
        <f t="shared" si="6"/>
        <v>18587833334.34</v>
      </c>
    </row>
    <row r="404" spans="1:14" x14ac:dyDescent="0.35">
      <c r="A404" t="s">
        <v>45</v>
      </c>
      <c r="B404" t="s">
        <v>48</v>
      </c>
      <c r="C404">
        <v>2023</v>
      </c>
      <c r="D404" t="s">
        <v>15</v>
      </c>
      <c r="E404">
        <v>62874.95</v>
      </c>
      <c r="F404">
        <v>71.7</v>
      </c>
      <c r="G404">
        <v>262</v>
      </c>
      <c r="H404">
        <v>200</v>
      </c>
      <c r="I404" t="s">
        <v>40</v>
      </c>
      <c r="J404">
        <v>4</v>
      </c>
      <c r="K404" t="s">
        <v>22</v>
      </c>
      <c r="L404">
        <v>207361</v>
      </c>
      <c r="M404">
        <v>3.74</v>
      </c>
      <c r="N404" s="6">
        <f t="shared" si="6"/>
        <v>13037812506.949999</v>
      </c>
    </row>
    <row r="405" spans="1:14" x14ac:dyDescent="0.35">
      <c r="A405" t="s">
        <v>64</v>
      </c>
      <c r="B405" t="s">
        <v>85</v>
      </c>
      <c r="C405">
        <v>2023</v>
      </c>
      <c r="D405" t="s">
        <v>38</v>
      </c>
      <c r="E405">
        <v>98461.71</v>
      </c>
      <c r="F405">
        <v>53</v>
      </c>
      <c r="G405">
        <v>185</v>
      </c>
      <c r="H405">
        <v>142</v>
      </c>
      <c r="I405" t="s">
        <v>40</v>
      </c>
      <c r="J405">
        <v>5</v>
      </c>
      <c r="K405" t="s">
        <v>20</v>
      </c>
      <c r="L405">
        <v>22686</v>
      </c>
      <c r="M405">
        <v>3</v>
      </c>
      <c r="N405" s="6">
        <f t="shared" si="6"/>
        <v>2233702353.0599999</v>
      </c>
    </row>
    <row r="406" spans="1:14" x14ac:dyDescent="0.35">
      <c r="A406" t="s">
        <v>57</v>
      </c>
      <c r="B406" t="s">
        <v>58</v>
      </c>
      <c r="C406">
        <v>2023</v>
      </c>
      <c r="D406" t="s">
        <v>20</v>
      </c>
      <c r="E406">
        <v>61500.69</v>
      </c>
      <c r="F406">
        <v>61.2</v>
      </c>
      <c r="G406">
        <v>209</v>
      </c>
      <c r="H406">
        <v>154</v>
      </c>
      <c r="I406" t="s">
        <v>40</v>
      </c>
      <c r="J406">
        <v>5</v>
      </c>
      <c r="K406" t="s">
        <v>22</v>
      </c>
      <c r="L406">
        <v>52208</v>
      </c>
      <c r="M406">
        <v>3.39</v>
      </c>
      <c r="N406" s="6">
        <f t="shared" si="6"/>
        <v>3210828023.52</v>
      </c>
    </row>
    <row r="407" spans="1:14" x14ac:dyDescent="0.35">
      <c r="A407" t="s">
        <v>29</v>
      </c>
      <c r="B407" t="s">
        <v>30</v>
      </c>
      <c r="C407">
        <v>2023</v>
      </c>
      <c r="D407" t="s">
        <v>43</v>
      </c>
      <c r="E407">
        <v>123171.93</v>
      </c>
      <c r="F407">
        <v>71.8</v>
      </c>
      <c r="G407">
        <v>246</v>
      </c>
      <c r="H407">
        <v>150</v>
      </c>
      <c r="I407" t="s">
        <v>32</v>
      </c>
      <c r="J407">
        <v>4</v>
      </c>
      <c r="K407" t="s">
        <v>17</v>
      </c>
      <c r="L407">
        <v>165942</v>
      </c>
      <c r="M407">
        <v>3.71</v>
      </c>
      <c r="N407" s="6">
        <f t="shared" si="6"/>
        <v>20439396408.059998</v>
      </c>
    </row>
    <row r="408" spans="1:14" x14ac:dyDescent="0.35">
      <c r="A408" t="s">
        <v>13</v>
      </c>
      <c r="B408" t="s">
        <v>14</v>
      </c>
      <c r="C408">
        <v>2023</v>
      </c>
      <c r="D408" t="s">
        <v>38</v>
      </c>
      <c r="E408">
        <v>31850.78</v>
      </c>
      <c r="F408">
        <v>51.4</v>
      </c>
      <c r="G408">
        <v>199</v>
      </c>
      <c r="H408">
        <v>149</v>
      </c>
      <c r="I408" t="s">
        <v>40</v>
      </c>
      <c r="J408">
        <v>5</v>
      </c>
      <c r="K408" t="s">
        <v>47</v>
      </c>
      <c r="L408">
        <v>272903</v>
      </c>
      <c r="M408">
        <v>3.24</v>
      </c>
      <c r="N408" s="6">
        <f t="shared" si="6"/>
        <v>8692173414.3400002</v>
      </c>
    </row>
    <row r="409" spans="1:14" x14ac:dyDescent="0.35">
      <c r="A409" t="s">
        <v>80</v>
      </c>
      <c r="B409" t="s">
        <v>81</v>
      </c>
      <c r="C409">
        <v>2023</v>
      </c>
      <c r="D409" t="s">
        <v>28</v>
      </c>
      <c r="E409">
        <v>139594.69</v>
      </c>
      <c r="F409">
        <v>75.599999999999994</v>
      </c>
      <c r="G409">
        <v>252</v>
      </c>
      <c r="H409">
        <v>179</v>
      </c>
      <c r="I409" t="s">
        <v>32</v>
      </c>
      <c r="J409">
        <v>3</v>
      </c>
      <c r="K409" t="s">
        <v>17</v>
      </c>
      <c r="L409">
        <v>9428</v>
      </c>
      <c r="M409">
        <v>3.64</v>
      </c>
      <c r="N409" s="6">
        <f t="shared" si="6"/>
        <v>1316098737.3199999</v>
      </c>
    </row>
    <row r="410" spans="1:14" x14ac:dyDescent="0.35">
      <c r="A410" t="s">
        <v>26</v>
      </c>
      <c r="B410" t="s">
        <v>36</v>
      </c>
      <c r="C410">
        <v>2023</v>
      </c>
      <c r="D410" t="s">
        <v>43</v>
      </c>
      <c r="E410">
        <v>42128.98</v>
      </c>
      <c r="F410">
        <v>66.599999999999994</v>
      </c>
      <c r="G410">
        <v>226</v>
      </c>
      <c r="H410">
        <v>145</v>
      </c>
      <c r="I410" t="s">
        <v>32</v>
      </c>
      <c r="J410">
        <v>4</v>
      </c>
      <c r="K410" t="s">
        <v>22</v>
      </c>
      <c r="L410">
        <v>121472</v>
      </c>
      <c r="M410">
        <v>3.23</v>
      </c>
      <c r="N410" s="6">
        <f t="shared" si="6"/>
        <v>5117491458.5600004</v>
      </c>
    </row>
    <row r="411" spans="1:14" x14ac:dyDescent="0.35">
      <c r="A411" t="s">
        <v>45</v>
      </c>
      <c r="B411" t="s">
        <v>46</v>
      </c>
      <c r="C411">
        <v>2023</v>
      </c>
      <c r="D411" t="s">
        <v>38</v>
      </c>
      <c r="E411">
        <v>52361.13</v>
      </c>
      <c r="F411">
        <v>60</v>
      </c>
      <c r="G411">
        <v>186</v>
      </c>
      <c r="H411">
        <v>142</v>
      </c>
      <c r="I411" t="s">
        <v>32</v>
      </c>
      <c r="J411">
        <v>4</v>
      </c>
      <c r="K411" t="s">
        <v>22</v>
      </c>
      <c r="L411">
        <v>203886</v>
      </c>
      <c r="M411">
        <v>3.06</v>
      </c>
      <c r="N411" s="6">
        <f t="shared" si="6"/>
        <v>10675701351.18</v>
      </c>
    </row>
    <row r="412" spans="1:14" x14ac:dyDescent="0.35">
      <c r="A412" t="s">
        <v>45</v>
      </c>
      <c r="B412" t="s">
        <v>77</v>
      </c>
      <c r="C412">
        <v>2023</v>
      </c>
      <c r="D412" t="s">
        <v>20</v>
      </c>
      <c r="E412">
        <v>78664.3</v>
      </c>
      <c r="F412">
        <v>82.8</v>
      </c>
      <c r="G412">
        <v>301</v>
      </c>
      <c r="H412">
        <v>137</v>
      </c>
      <c r="I412" t="s">
        <v>16</v>
      </c>
      <c r="J412">
        <v>5</v>
      </c>
      <c r="K412" t="s">
        <v>20</v>
      </c>
      <c r="L412">
        <v>238674</v>
      </c>
      <c r="M412">
        <v>3.59</v>
      </c>
      <c r="N412" s="6">
        <f t="shared" si="6"/>
        <v>18775123138.200001</v>
      </c>
    </row>
    <row r="413" spans="1:14" x14ac:dyDescent="0.35">
      <c r="A413" t="s">
        <v>29</v>
      </c>
      <c r="B413" t="s">
        <v>59</v>
      </c>
      <c r="C413">
        <v>2023</v>
      </c>
      <c r="D413" t="s">
        <v>15</v>
      </c>
      <c r="E413">
        <v>84447.94</v>
      </c>
      <c r="F413">
        <v>72.5</v>
      </c>
      <c r="G413">
        <v>255</v>
      </c>
      <c r="H413">
        <v>200</v>
      </c>
      <c r="I413" t="s">
        <v>40</v>
      </c>
      <c r="J413">
        <v>4</v>
      </c>
      <c r="K413" t="s">
        <v>20</v>
      </c>
      <c r="L413">
        <v>103295</v>
      </c>
      <c r="M413">
        <v>3.51</v>
      </c>
      <c r="N413" s="6">
        <f t="shared" si="6"/>
        <v>8723049962.3000011</v>
      </c>
    </row>
    <row r="414" spans="1:14" x14ac:dyDescent="0.35">
      <c r="A414" t="s">
        <v>57</v>
      </c>
      <c r="B414" t="s">
        <v>62</v>
      </c>
      <c r="C414">
        <v>2023</v>
      </c>
      <c r="D414" t="s">
        <v>43</v>
      </c>
      <c r="E414">
        <v>38404.42</v>
      </c>
      <c r="F414">
        <v>49.1</v>
      </c>
      <c r="G414">
        <v>193</v>
      </c>
      <c r="H414">
        <v>148</v>
      </c>
      <c r="I414" t="s">
        <v>16</v>
      </c>
      <c r="J414">
        <v>3</v>
      </c>
      <c r="K414" t="s">
        <v>22</v>
      </c>
      <c r="L414">
        <v>49683</v>
      </c>
      <c r="M414">
        <v>3.43</v>
      </c>
      <c r="N414" s="6">
        <f t="shared" si="6"/>
        <v>1908046798.8599999</v>
      </c>
    </row>
    <row r="415" spans="1:14" x14ac:dyDescent="0.35">
      <c r="A415" t="s">
        <v>45</v>
      </c>
      <c r="B415" t="s">
        <v>77</v>
      </c>
      <c r="C415">
        <v>2023</v>
      </c>
      <c r="D415" t="s">
        <v>28</v>
      </c>
      <c r="E415">
        <v>77360.56</v>
      </c>
      <c r="F415">
        <v>106.1</v>
      </c>
      <c r="G415">
        <v>386</v>
      </c>
      <c r="H415">
        <v>176</v>
      </c>
      <c r="I415" t="s">
        <v>16</v>
      </c>
      <c r="J415">
        <v>5</v>
      </c>
      <c r="K415" t="s">
        <v>20</v>
      </c>
      <c r="L415">
        <v>154361</v>
      </c>
      <c r="M415">
        <v>3.89</v>
      </c>
      <c r="N415" s="6">
        <f t="shared" si="6"/>
        <v>11941453402.16</v>
      </c>
    </row>
    <row r="416" spans="1:14" x14ac:dyDescent="0.35">
      <c r="A416" t="s">
        <v>45</v>
      </c>
      <c r="B416" t="s">
        <v>48</v>
      </c>
      <c r="C416">
        <v>2023</v>
      </c>
      <c r="D416" t="s">
        <v>28</v>
      </c>
      <c r="E416">
        <v>48954.46</v>
      </c>
      <c r="F416">
        <v>94.7</v>
      </c>
      <c r="G416">
        <v>326</v>
      </c>
      <c r="H416">
        <v>184</v>
      </c>
      <c r="I416" t="s">
        <v>25</v>
      </c>
      <c r="J416">
        <v>5</v>
      </c>
      <c r="K416" t="s">
        <v>22</v>
      </c>
      <c r="L416">
        <v>200483</v>
      </c>
      <c r="M416">
        <v>3.75</v>
      </c>
      <c r="N416" s="6">
        <f t="shared" si="6"/>
        <v>9814537004.1800003</v>
      </c>
    </row>
    <row r="417" spans="1:14" x14ac:dyDescent="0.35">
      <c r="A417" t="s">
        <v>45</v>
      </c>
      <c r="B417" t="s">
        <v>48</v>
      </c>
      <c r="C417">
        <v>2023</v>
      </c>
      <c r="D417" t="s">
        <v>38</v>
      </c>
      <c r="E417">
        <v>53518.98</v>
      </c>
      <c r="F417">
        <v>71.2</v>
      </c>
      <c r="G417">
        <v>260</v>
      </c>
      <c r="H417">
        <v>153</v>
      </c>
      <c r="I417" t="s">
        <v>32</v>
      </c>
      <c r="J417">
        <v>4</v>
      </c>
      <c r="K417" t="s">
        <v>22</v>
      </c>
      <c r="L417">
        <v>222794</v>
      </c>
      <c r="M417">
        <v>3.15</v>
      </c>
      <c r="N417" s="6">
        <f t="shared" si="6"/>
        <v>11923707630.120001</v>
      </c>
    </row>
    <row r="418" spans="1:14" x14ac:dyDescent="0.35">
      <c r="A418" t="s">
        <v>34</v>
      </c>
      <c r="B418" t="s">
        <v>44</v>
      </c>
      <c r="C418">
        <v>2023</v>
      </c>
      <c r="D418" t="s">
        <v>28</v>
      </c>
      <c r="E418">
        <v>133058.62</v>
      </c>
      <c r="F418">
        <v>89.4</v>
      </c>
      <c r="G418">
        <v>309</v>
      </c>
      <c r="H418">
        <v>158</v>
      </c>
      <c r="I418" t="s">
        <v>16</v>
      </c>
      <c r="J418">
        <v>5</v>
      </c>
      <c r="K418" t="s">
        <v>17</v>
      </c>
      <c r="L418">
        <v>29039</v>
      </c>
      <c r="M418">
        <v>3.99</v>
      </c>
      <c r="N418" s="6">
        <f t="shared" si="6"/>
        <v>3863889266.1799998</v>
      </c>
    </row>
    <row r="419" spans="1:14" x14ac:dyDescent="0.35">
      <c r="A419" t="s">
        <v>29</v>
      </c>
      <c r="B419" t="s">
        <v>31</v>
      </c>
      <c r="C419">
        <v>2023</v>
      </c>
      <c r="D419" t="s">
        <v>43</v>
      </c>
      <c r="E419">
        <v>53432.36</v>
      </c>
      <c r="F419">
        <v>79.599999999999994</v>
      </c>
      <c r="G419">
        <v>289</v>
      </c>
      <c r="H419">
        <v>146</v>
      </c>
      <c r="I419" t="s">
        <v>33</v>
      </c>
      <c r="J419">
        <v>5</v>
      </c>
      <c r="K419" t="s">
        <v>22</v>
      </c>
      <c r="L419">
        <v>490497</v>
      </c>
      <c r="M419">
        <v>3.93</v>
      </c>
      <c r="N419" s="6">
        <f t="shared" si="6"/>
        <v>26208412282.920002</v>
      </c>
    </row>
    <row r="420" spans="1:14" x14ac:dyDescent="0.35">
      <c r="A420" t="s">
        <v>49</v>
      </c>
      <c r="B420" t="s">
        <v>50</v>
      </c>
      <c r="C420">
        <v>2023</v>
      </c>
      <c r="D420" t="s">
        <v>28</v>
      </c>
      <c r="E420">
        <v>40702.92</v>
      </c>
      <c r="F420">
        <v>77.5</v>
      </c>
      <c r="G420">
        <v>277</v>
      </c>
      <c r="H420">
        <v>183</v>
      </c>
      <c r="I420" t="s">
        <v>21</v>
      </c>
      <c r="J420">
        <v>4</v>
      </c>
      <c r="K420" t="s">
        <v>22</v>
      </c>
      <c r="L420">
        <v>128695</v>
      </c>
      <c r="M420">
        <v>3.64</v>
      </c>
      <c r="N420" s="6">
        <f t="shared" si="6"/>
        <v>5238262289.3999996</v>
      </c>
    </row>
    <row r="421" spans="1:14" x14ac:dyDescent="0.35">
      <c r="A421" t="s">
        <v>67</v>
      </c>
      <c r="B421" t="s">
        <v>68</v>
      </c>
      <c r="C421">
        <v>2023</v>
      </c>
      <c r="D421" t="s">
        <v>38</v>
      </c>
      <c r="E421">
        <v>67690.27</v>
      </c>
      <c r="F421">
        <v>64.3</v>
      </c>
      <c r="G421">
        <v>232</v>
      </c>
      <c r="H421">
        <v>158</v>
      </c>
      <c r="I421" t="s">
        <v>40</v>
      </c>
      <c r="J421">
        <v>4</v>
      </c>
      <c r="K421" t="s">
        <v>20</v>
      </c>
      <c r="L421">
        <v>63429</v>
      </c>
      <c r="M421">
        <v>3.38</v>
      </c>
      <c r="N421" s="6">
        <f t="shared" si="6"/>
        <v>4293526135.8300004</v>
      </c>
    </row>
    <row r="422" spans="1:14" x14ac:dyDescent="0.35">
      <c r="A422" t="s">
        <v>67</v>
      </c>
      <c r="B422" t="s">
        <v>86</v>
      </c>
      <c r="C422">
        <v>2023</v>
      </c>
      <c r="D422" t="s">
        <v>38</v>
      </c>
      <c r="E422">
        <v>103373.32</v>
      </c>
      <c r="F422">
        <v>48</v>
      </c>
      <c r="G422">
        <v>165</v>
      </c>
      <c r="H422">
        <v>147</v>
      </c>
      <c r="I422" t="s">
        <v>40</v>
      </c>
      <c r="J422">
        <v>4</v>
      </c>
      <c r="K422" t="s">
        <v>17</v>
      </c>
      <c r="L422">
        <v>46342</v>
      </c>
      <c r="M422">
        <v>3.62</v>
      </c>
      <c r="N422" s="6">
        <f t="shared" si="6"/>
        <v>4790526395.4400005</v>
      </c>
    </row>
    <row r="423" spans="1:14" x14ac:dyDescent="0.35">
      <c r="A423" t="s">
        <v>67</v>
      </c>
      <c r="B423" t="s">
        <v>86</v>
      </c>
      <c r="C423">
        <v>2023</v>
      </c>
      <c r="D423" t="s">
        <v>20</v>
      </c>
      <c r="E423">
        <v>94046.97</v>
      </c>
      <c r="F423">
        <v>47.5</v>
      </c>
      <c r="G423">
        <v>160</v>
      </c>
      <c r="H423">
        <v>155</v>
      </c>
      <c r="I423" t="s">
        <v>16</v>
      </c>
      <c r="J423">
        <v>5</v>
      </c>
      <c r="K423" t="s">
        <v>20</v>
      </c>
      <c r="L423">
        <v>36637</v>
      </c>
      <c r="M423">
        <v>3.22</v>
      </c>
      <c r="N423" s="6">
        <f t="shared" si="6"/>
        <v>3445598839.8899999</v>
      </c>
    </row>
    <row r="424" spans="1:14" x14ac:dyDescent="0.35">
      <c r="A424" t="s">
        <v>73</v>
      </c>
      <c r="B424" t="s">
        <v>91</v>
      </c>
      <c r="C424">
        <v>2023</v>
      </c>
      <c r="D424" t="s">
        <v>43</v>
      </c>
      <c r="E424">
        <v>65637.97</v>
      </c>
      <c r="F424">
        <v>69.5</v>
      </c>
      <c r="G424">
        <v>270</v>
      </c>
      <c r="H424">
        <v>162</v>
      </c>
      <c r="I424" t="s">
        <v>32</v>
      </c>
      <c r="J424">
        <v>5</v>
      </c>
      <c r="K424" t="s">
        <v>20</v>
      </c>
      <c r="L424">
        <v>24026</v>
      </c>
      <c r="M424">
        <v>3.35</v>
      </c>
      <c r="N424" s="6">
        <f t="shared" si="6"/>
        <v>1577017867.22</v>
      </c>
    </row>
    <row r="425" spans="1:14" x14ac:dyDescent="0.35">
      <c r="A425" t="s">
        <v>64</v>
      </c>
      <c r="B425" t="s">
        <v>70</v>
      </c>
      <c r="C425">
        <v>2023</v>
      </c>
      <c r="D425" t="s">
        <v>20</v>
      </c>
      <c r="E425">
        <v>86679.02</v>
      </c>
      <c r="F425">
        <v>53.8</v>
      </c>
      <c r="G425">
        <v>171</v>
      </c>
      <c r="H425">
        <v>146</v>
      </c>
      <c r="I425" t="s">
        <v>16</v>
      </c>
      <c r="J425">
        <v>5</v>
      </c>
      <c r="K425" t="s">
        <v>20</v>
      </c>
      <c r="L425">
        <v>68670</v>
      </c>
      <c r="M425">
        <v>3.23</v>
      </c>
      <c r="N425" s="6">
        <f t="shared" si="6"/>
        <v>5952248303.4000006</v>
      </c>
    </row>
    <row r="426" spans="1:14" x14ac:dyDescent="0.35">
      <c r="A426" t="s">
        <v>57</v>
      </c>
      <c r="B426" t="s">
        <v>79</v>
      </c>
      <c r="C426">
        <v>2023</v>
      </c>
      <c r="D426" t="s">
        <v>43</v>
      </c>
      <c r="E426">
        <v>42429.66</v>
      </c>
      <c r="F426">
        <v>63.3</v>
      </c>
      <c r="G426">
        <v>218</v>
      </c>
      <c r="H426">
        <v>140</v>
      </c>
      <c r="I426" t="s">
        <v>40</v>
      </c>
      <c r="J426">
        <v>3</v>
      </c>
      <c r="K426" t="s">
        <v>22</v>
      </c>
      <c r="L426">
        <v>37998</v>
      </c>
      <c r="M426">
        <v>3.47</v>
      </c>
      <c r="N426" s="6">
        <f t="shared" si="6"/>
        <v>1612242220.6800001</v>
      </c>
    </row>
    <row r="427" spans="1:14" x14ac:dyDescent="0.35">
      <c r="A427" t="s">
        <v>26</v>
      </c>
      <c r="B427" t="s">
        <v>27</v>
      </c>
      <c r="C427">
        <v>2023</v>
      </c>
      <c r="D427" t="s">
        <v>20</v>
      </c>
      <c r="E427">
        <v>59926.46</v>
      </c>
      <c r="F427">
        <v>66.3</v>
      </c>
      <c r="G427">
        <v>219</v>
      </c>
      <c r="H427">
        <v>162</v>
      </c>
      <c r="I427" t="s">
        <v>21</v>
      </c>
      <c r="J427">
        <v>5</v>
      </c>
      <c r="K427" t="s">
        <v>22</v>
      </c>
      <c r="L427">
        <v>144832</v>
      </c>
      <c r="M427">
        <v>3.14</v>
      </c>
      <c r="N427" s="6">
        <f t="shared" si="6"/>
        <v>8679269054.7199993</v>
      </c>
    </row>
    <row r="428" spans="1:14" x14ac:dyDescent="0.35">
      <c r="A428" t="s">
        <v>29</v>
      </c>
      <c r="B428" t="s">
        <v>30</v>
      </c>
      <c r="C428">
        <v>2023</v>
      </c>
      <c r="D428" t="s">
        <v>43</v>
      </c>
      <c r="E428">
        <v>106795.24</v>
      </c>
      <c r="F428">
        <v>45.7</v>
      </c>
      <c r="G428">
        <v>163</v>
      </c>
      <c r="H428">
        <v>178</v>
      </c>
      <c r="I428" t="s">
        <v>25</v>
      </c>
      <c r="J428">
        <v>5</v>
      </c>
      <c r="K428" t="s">
        <v>17</v>
      </c>
      <c r="L428">
        <v>212365</v>
      </c>
      <c r="M428">
        <v>3.61</v>
      </c>
      <c r="N428" s="6">
        <f t="shared" si="6"/>
        <v>22679571142.600002</v>
      </c>
    </row>
    <row r="429" spans="1:14" x14ac:dyDescent="0.35">
      <c r="A429" t="s">
        <v>29</v>
      </c>
      <c r="B429" t="s">
        <v>39</v>
      </c>
      <c r="C429">
        <v>2023</v>
      </c>
      <c r="D429" t="s">
        <v>20</v>
      </c>
      <c r="E429">
        <v>64307.39</v>
      </c>
      <c r="F429">
        <v>44.8</v>
      </c>
      <c r="G429">
        <v>171</v>
      </c>
      <c r="H429">
        <v>147</v>
      </c>
      <c r="I429" t="s">
        <v>32</v>
      </c>
      <c r="J429">
        <v>4</v>
      </c>
      <c r="K429" t="s">
        <v>22</v>
      </c>
      <c r="L429">
        <v>138801</v>
      </c>
      <c r="M429">
        <v>3.7</v>
      </c>
      <c r="N429" s="6">
        <f t="shared" si="6"/>
        <v>8925930039.3899994</v>
      </c>
    </row>
    <row r="430" spans="1:14" x14ac:dyDescent="0.35">
      <c r="A430" t="s">
        <v>45</v>
      </c>
      <c r="B430" t="s">
        <v>69</v>
      </c>
      <c r="C430">
        <v>2023</v>
      </c>
      <c r="D430" t="s">
        <v>28</v>
      </c>
      <c r="E430">
        <v>99850.08</v>
      </c>
      <c r="F430">
        <v>105.9</v>
      </c>
      <c r="G430">
        <v>400</v>
      </c>
      <c r="H430">
        <v>171</v>
      </c>
      <c r="I430" t="s">
        <v>16</v>
      </c>
      <c r="J430">
        <v>5</v>
      </c>
      <c r="K430" t="s">
        <v>20</v>
      </c>
      <c r="L430">
        <v>207644</v>
      </c>
      <c r="M430">
        <v>3.65</v>
      </c>
      <c r="N430" s="6">
        <f t="shared" si="6"/>
        <v>20733270011.52</v>
      </c>
    </row>
    <row r="431" spans="1:14" x14ac:dyDescent="0.35">
      <c r="A431" t="s">
        <v>23</v>
      </c>
      <c r="B431" t="s">
        <v>24</v>
      </c>
      <c r="C431">
        <v>2023</v>
      </c>
      <c r="D431" t="s">
        <v>38</v>
      </c>
      <c r="E431">
        <v>59074.75</v>
      </c>
      <c r="F431">
        <v>54.5</v>
      </c>
      <c r="G431">
        <v>198</v>
      </c>
      <c r="H431">
        <v>163</v>
      </c>
      <c r="I431" t="s">
        <v>33</v>
      </c>
      <c r="J431">
        <v>4</v>
      </c>
      <c r="K431" t="s">
        <v>22</v>
      </c>
      <c r="L431">
        <v>15584</v>
      </c>
      <c r="M431">
        <v>3.31</v>
      </c>
      <c r="N431" s="6">
        <f t="shared" si="6"/>
        <v>920620904</v>
      </c>
    </row>
    <row r="432" spans="1:14" x14ac:dyDescent="0.35">
      <c r="A432" t="s">
        <v>29</v>
      </c>
      <c r="B432" t="s">
        <v>31</v>
      </c>
      <c r="C432">
        <v>2023</v>
      </c>
      <c r="D432" t="s">
        <v>43</v>
      </c>
      <c r="E432">
        <v>100758.31</v>
      </c>
      <c r="F432">
        <v>46</v>
      </c>
      <c r="G432">
        <v>171</v>
      </c>
      <c r="H432">
        <v>175</v>
      </c>
      <c r="I432" t="s">
        <v>21</v>
      </c>
      <c r="J432">
        <v>5</v>
      </c>
      <c r="K432" t="s">
        <v>17</v>
      </c>
      <c r="L432">
        <v>472436</v>
      </c>
      <c r="M432">
        <v>3.4</v>
      </c>
      <c r="N432" s="6">
        <f t="shared" si="6"/>
        <v>47601852943.159996</v>
      </c>
    </row>
    <row r="433" spans="1:14" x14ac:dyDescent="0.35">
      <c r="A433" t="s">
        <v>57</v>
      </c>
      <c r="B433" t="s">
        <v>79</v>
      </c>
      <c r="C433">
        <v>2023</v>
      </c>
      <c r="D433" t="s">
        <v>15</v>
      </c>
      <c r="E433">
        <v>78508.55</v>
      </c>
      <c r="F433">
        <v>73</v>
      </c>
      <c r="G433">
        <v>274</v>
      </c>
      <c r="H433">
        <v>200</v>
      </c>
      <c r="I433" t="s">
        <v>25</v>
      </c>
      <c r="J433">
        <v>4</v>
      </c>
      <c r="K433" t="s">
        <v>20</v>
      </c>
      <c r="L433">
        <v>51688</v>
      </c>
      <c r="M433">
        <v>3.3</v>
      </c>
      <c r="N433" s="6">
        <f t="shared" si="6"/>
        <v>4057949932.4000001</v>
      </c>
    </row>
    <row r="434" spans="1:14" x14ac:dyDescent="0.35">
      <c r="A434" t="s">
        <v>45</v>
      </c>
      <c r="B434" t="s">
        <v>54</v>
      </c>
      <c r="C434">
        <v>2023</v>
      </c>
      <c r="D434" t="s">
        <v>28</v>
      </c>
      <c r="E434">
        <v>44084.51</v>
      </c>
      <c r="F434">
        <v>94</v>
      </c>
      <c r="G434">
        <v>330</v>
      </c>
      <c r="H434">
        <v>179</v>
      </c>
      <c r="I434" t="s">
        <v>33</v>
      </c>
      <c r="J434">
        <v>4</v>
      </c>
      <c r="K434" t="s">
        <v>22</v>
      </c>
      <c r="L434">
        <v>187463</v>
      </c>
      <c r="M434">
        <v>3.67</v>
      </c>
      <c r="N434" s="6">
        <f t="shared" si="6"/>
        <v>8264214498.1300001</v>
      </c>
    </row>
    <row r="435" spans="1:14" x14ac:dyDescent="0.35">
      <c r="A435" t="s">
        <v>13</v>
      </c>
      <c r="B435" t="s">
        <v>55</v>
      </c>
      <c r="C435">
        <v>2023</v>
      </c>
      <c r="D435" t="s">
        <v>15</v>
      </c>
      <c r="E435">
        <v>64071.199999999997</v>
      </c>
      <c r="F435">
        <v>77.7</v>
      </c>
      <c r="G435">
        <v>297</v>
      </c>
      <c r="H435">
        <v>191</v>
      </c>
      <c r="I435" t="s">
        <v>33</v>
      </c>
      <c r="J435">
        <v>3</v>
      </c>
      <c r="K435" t="s">
        <v>22</v>
      </c>
      <c r="L435">
        <v>290103</v>
      </c>
      <c r="M435">
        <v>3.66</v>
      </c>
      <c r="N435" s="6">
        <f t="shared" si="6"/>
        <v>18587247333.599998</v>
      </c>
    </row>
    <row r="436" spans="1:14" x14ac:dyDescent="0.35">
      <c r="A436" t="s">
        <v>64</v>
      </c>
      <c r="B436" t="s">
        <v>65</v>
      </c>
      <c r="C436">
        <v>2023</v>
      </c>
      <c r="D436" t="s">
        <v>38</v>
      </c>
      <c r="E436">
        <v>89651.14</v>
      </c>
      <c r="F436">
        <v>73.099999999999994</v>
      </c>
      <c r="G436">
        <v>249</v>
      </c>
      <c r="H436">
        <v>165</v>
      </c>
      <c r="I436" t="s">
        <v>16</v>
      </c>
      <c r="J436">
        <v>4</v>
      </c>
      <c r="K436" t="s">
        <v>20</v>
      </c>
      <c r="L436">
        <v>72062</v>
      </c>
      <c r="M436">
        <v>3.37</v>
      </c>
      <c r="N436" s="6">
        <f t="shared" si="6"/>
        <v>6460440450.6800003</v>
      </c>
    </row>
    <row r="437" spans="1:14" x14ac:dyDescent="0.35">
      <c r="A437" t="s">
        <v>29</v>
      </c>
      <c r="B437" t="s">
        <v>30</v>
      </c>
      <c r="C437">
        <v>2023</v>
      </c>
      <c r="D437" t="s">
        <v>15</v>
      </c>
      <c r="E437">
        <v>125634.38</v>
      </c>
      <c r="F437">
        <v>79.599999999999994</v>
      </c>
      <c r="G437">
        <v>268</v>
      </c>
      <c r="H437">
        <v>195</v>
      </c>
      <c r="I437" t="s">
        <v>32</v>
      </c>
      <c r="J437">
        <v>5</v>
      </c>
      <c r="K437" t="s">
        <v>17</v>
      </c>
      <c r="L437">
        <v>223587</v>
      </c>
      <c r="M437">
        <v>3.94</v>
      </c>
      <c r="N437" s="6">
        <f t="shared" si="6"/>
        <v>28090214121.060001</v>
      </c>
    </row>
    <row r="438" spans="1:14" x14ac:dyDescent="0.35">
      <c r="A438" t="s">
        <v>18</v>
      </c>
      <c r="B438" t="s">
        <v>19</v>
      </c>
      <c r="C438">
        <v>2023</v>
      </c>
      <c r="D438" t="s">
        <v>20</v>
      </c>
      <c r="E438">
        <v>52160.99</v>
      </c>
      <c r="F438">
        <v>69.400000000000006</v>
      </c>
      <c r="G438">
        <v>234</v>
      </c>
      <c r="H438">
        <v>169</v>
      </c>
      <c r="I438" t="s">
        <v>21</v>
      </c>
      <c r="J438">
        <v>5</v>
      </c>
      <c r="K438" t="s">
        <v>22</v>
      </c>
      <c r="L438">
        <v>7110</v>
      </c>
      <c r="M438">
        <v>3.56</v>
      </c>
      <c r="N438" s="6">
        <f t="shared" si="6"/>
        <v>370864638.89999998</v>
      </c>
    </row>
    <row r="439" spans="1:14" x14ac:dyDescent="0.35">
      <c r="A439" t="s">
        <v>29</v>
      </c>
      <c r="B439" t="s">
        <v>53</v>
      </c>
      <c r="C439">
        <v>2023</v>
      </c>
      <c r="D439" t="s">
        <v>43</v>
      </c>
      <c r="E439">
        <v>35071.56</v>
      </c>
      <c r="F439">
        <v>52.4</v>
      </c>
      <c r="G439">
        <v>192</v>
      </c>
      <c r="H439">
        <v>168</v>
      </c>
      <c r="I439" t="s">
        <v>16</v>
      </c>
      <c r="J439">
        <v>5</v>
      </c>
      <c r="K439" t="s">
        <v>22</v>
      </c>
      <c r="L439">
        <v>139628</v>
      </c>
      <c r="M439">
        <v>3.17</v>
      </c>
      <c r="N439" s="6">
        <f t="shared" si="6"/>
        <v>4896971779.6799994</v>
      </c>
    </row>
    <row r="440" spans="1:14" x14ac:dyDescent="0.35">
      <c r="A440" t="s">
        <v>29</v>
      </c>
      <c r="B440" t="s">
        <v>53</v>
      </c>
      <c r="C440">
        <v>2023</v>
      </c>
      <c r="D440" t="s">
        <v>20</v>
      </c>
      <c r="E440">
        <v>118800.8</v>
      </c>
      <c r="F440">
        <v>54.2</v>
      </c>
      <c r="G440">
        <v>203</v>
      </c>
      <c r="H440">
        <v>162</v>
      </c>
      <c r="I440" t="s">
        <v>16</v>
      </c>
      <c r="J440">
        <v>4</v>
      </c>
      <c r="K440" t="s">
        <v>17</v>
      </c>
      <c r="L440">
        <v>197139</v>
      </c>
      <c r="M440">
        <v>3.38</v>
      </c>
      <c r="N440" s="6">
        <f t="shared" si="6"/>
        <v>23420270911.200001</v>
      </c>
    </row>
    <row r="441" spans="1:14" x14ac:dyDescent="0.35">
      <c r="A441" t="s">
        <v>13</v>
      </c>
      <c r="B441" t="s">
        <v>56</v>
      </c>
      <c r="C441">
        <v>2023</v>
      </c>
      <c r="D441" t="s">
        <v>43</v>
      </c>
      <c r="E441">
        <v>51298.81</v>
      </c>
      <c r="F441">
        <v>63.2</v>
      </c>
      <c r="G441">
        <v>237</v>
      </c>
      <c r="H441">
        <v>162</v>
      </c>
      <c r="I441" t="s">
        <v>33</v>
      </c>
      <c r="J441">
        <v>5</v>
      </c>
      <c r="K441" t="s">
        <v>22</v>
      </c>
      <c r="L441">
        <v>222298</v>
      </c>
      <c r="M441">
        <v>3.5</v>
      </c>
      <c r="N441" s="6">
        <f t="shared" si="6"/>
        <v>11403622865.379999</v>
      </c>
    </row>
    <row r="442" spans="1:14" x14ac:dyDescent="0.35">
      <c r="A442" t="s">
        <v>64</v>
      </c>
      <c r="B442" t="s">
        <v>97</v>
      </c>
      <c r="C442">
        <v>2023</v>
      </c>
      <c r="D442" t="s">
        <v>15</v>
      </c>
      <c r="E442">
        <v>130983.67</v>
      </c>
      <c r="F442">
        <v>110.9</v>
      </c>
      <c r="G442">
        <v>390</v>
      </c>
      <c r="H442">
        <v>200</v>
      </c>
      <c r="I442" t="s">
        <v>25</v>
      </c>
      <c r="J442">
        <v>5</v>
      </c>
      <c r="K442" t="s">
        <v>17</v>
      </c>
      <c r="L442">
        <v>64205</v>
      </c>
      <c r="M442">
        <v>3.82</v>
      </c>
      <c r="N442" s="6">
        <f t="shared" si="6"/>
        <v>8409806532.3499994</v>
      </c>
    </row>
    <row r="443" spans="1:14" x14ac:dyDescent="0.35">
      <c r="A443" t="s">
        <v>29</v>
      </c>
      <c r="B443" t="s">
        <v>59</v>
      </c>
      <c r="C443">
        <v>2023</v>
      </c>
      <c r="D443" t="s">
        <v>20</v>
      </c>
      <c r="E443">
        <v>53973.57</v>
      </c>
      <c r="F443">
        <v>82.6</v>
      </c>
      <c r="G443">
        <v>301</v>
      </c>
      <c r="H443">
        <v>143</v>
      </c>
      <c r="I443" t="s">
        <v>40</v>
      </c>
      <c r="J443">
        <v>5</v>
      </c>
      <c r="K443" t="s">
        <v>22</v>
      </c>
      <c r="L443">
        <v>206669</v>
      </c>
      <c r="M443">
        <v>3.87</v>
      </c>
      <c r="N443" s="6">
        <f t="shared" si="6"/>
        <v>11154663738.33</v>
      </c>
    </row>
    <row r="444" spans="1:14" x14ac:dyDescent="0.35">
      <c r="A444" t="s">
        <v>64</v>
      </c>
      <c r="B444" t="s">
        <v>70</v>
      </c>
      <c r="C444">
        <v>2023</v>
      </c>
      <c r="D444" t="s">
        <v>20</v>
      </c>
      <c r="E444">
        <v>81481.72</v>
      </c>
      <c r="F444">
        <v>64.8</v>
      </c>
      <c r="G444">
        <v>209</v>
      </c>
      <c r="H444">
        <v>180</v>
      </c>
      <c r="I444" t="s">
        <v>40</v>
      </c>
      <c r="J444">
        <v>4</v>
      </c>
      <c r="K444" t="s">
        <v>20</v>
      </c>
      <c r="L444">
        <v>60859</v>
      </c>
      <c r="M444">
        <v>3.29</v>
      </c>
      <c r="N444" s="6">
        <f t="shared" si="6"/>
        <v>4958895997.4800005</v>
      </c>
    </row>
    <row r="445" spans="1:14" x14ac:dyDescent="0.35">
      <c r="A445" t="s">
        <v>34</v>
      </c>
      <c r="B445" t="s">
        <v>106</v>
      </c>
      <c r="C445">
        <v>2023</v>
      </c>
      <c r="D445" t="s">
        <v>28</v>
      </c>
      <c r="E445">
        <v>142535.28</v>
      </c>
      <c r="F445">
        <v>94.3</v>
      </c>
      <c r="G445">
        <v>305</v>
      </c>
      <c r="H445">
        <v>169</v>
      </c>
      <c r="I445" t="s">
        <v>40</v>
      </c>
      <c r="J445">
        <v>4</v>
      </c>
      <c r="K445" t="s">
        <v>17</v>
      </c>
      <c r="L445">
        <v>32410</v>
      </c>
      <c r="M445">
        <v>3.94</v>
      </c>
      <c r="N445" s="6">
        <f t="shared" si="6"/>
        <v>4619568424.8000002</v>
      </c>
    </row>
    <row r="446" spans="1:14" x14ac:dyDescent="0.35">
      <c r="A446" t="s">
        <v>45</v>
      </c>
      <c r="B446" t="s">
        <v>88</v>
      </c>
      <c r="C446">
        <v>2023</v>
      </c>
      <c r="D446" t="s">
        <v>15</v>
      </c>
      <c r="E446">
        <v>54457.48</v>
      </c>
      <c r="F446">
        <v>80.599999999999994</v>
      </c>
      <c r="G446">
        <v>251</v>
      </c>
      <c r="H446">
        <v>193</v>
      </c>
      <c r="I446" t="s">
        <v>16</v>
      </c>
      <c r="J446">
        <v>4</v>
      </c>
      <c r="K446" t="s">
        <v>22</v>
      </c>
      <c r="L446">
        <v>205191</v>
      </c>
      <c r="M446">
        <v>3.38</v>
      </c>
      <c r="N446" s="6">
        <f t="shared" si="6"/>
        <v>11174184778.68</v>
      </c>
    </row>
    <row r="447" spans="1:14" x14ac:dyDescent="0.35">
      <c r="A447" t="s">
        <v>45</v>
      </c>
      <c r="B447" t="s">
        <v>69</v>
      </c>
      <c r="C447">
        <v>2023</v>
      </c>
      <c r="D447" t="s">
        <v>28</v>
      </c>
      <c r="E447">
        <v>35900.230000000003</v>
      </c>
      <c r="F447">
        <v>88</v>
      </c>
      <c r="G447">
        <v>302</v>
      </c>
      <c r="H447">
        <v>198</v>
      </c>
      <c r="I447" t="s">
        <v>21</v>
      </c>
      <c r="J447">
        <v>5</v>
      </c>
      <c r="K447" t="s">
        <v>22</v>
      </c>
      <c r="L447">
        <v>176515</v>
      </c>
      <c r="M447">
        <v>3.84</v>
      </c>
      <c r="N447" s="6">
        <f t="shared" si="6"/>
        <v>6336929098.4500008</v>
      </c>
    </row>
    <row r="448" spans="1:14" x14ac:dyDescent="0.35">
      <c r="A448" t="s">
        <v>45</v>
      </c>
      <c r="B448" t="s">
        <v>77</v>
      </c>
      <c r="C448">
        <v>2023</v>
      </c>
      <c r="D448" t="s">
        <v>20</v>
      </c>
      <c r="E448">
        <v>25794.27</v>
      </c>
      <c r="F448">
        <v>50.1</v>
      </c>
      <c r="G448">
        <v>188</v>
      </c>
      <c r="H448">
        <v>135</v>
      </c>
      <c r="I448" t="s">
        <v>16</v>
      </c>
      <c r="J448">
        <v>3</v>
      </c>
      <c r="K448" t="s">
        <v>47</v>
      </c>
      <c r="L448">
        <v>112218</v>
      </c>
      <c r="M448">
        <v>3.59</v>
      </c>
      <c r="N448" s="6">
        <f t="shared" si="6"/>
        <v>2894581390.8600001</v>
      </c>
    </row>
    <row r="449" spans="1:14" x14ac:dyDescent="0.35">
      <c r="A449" t="s">
        <v>34</v>
      </c>
      <c r="B449" t="s">
        <v>44</v>
      </c>
      <c r="C449">
        <v>2023</v>
      </c>
      <c r="D449" t="s">
        <v>38</v>
      </c>
      <c r="E449">
        <v>82191.199999999997</v>
      </c>
      <c r="F449">
        <v>71.099999999999994</v>
      </c>
      <c r="G449">
        <v>281</v>
      </c>
      <c r="H449">
        <v>154</v>
      </c>
      <c r="I449" t="s">
        <v>40</v>
      </c>
      <c r="J449">
        <v>4</v>
      </c>
      <c r="K449" t="s">
        <v>20</v>
      </c>
      <c r="L449">
        <v>59566</v>
      </c>
      <c r="M449">
        <v>3.91</v>
      </c>
      <c r="N449" s="6">
        <f t="shared" si="6"/>
        <v>4895801019.1999998</v>
      </c>
    </row>
    <row r="450" spans="1:14" x14ac:dyDescent="0.35">
      <c r="A450" t="s">
        <v>26</v>
      </c>
      <c r="B450" t="s">
        <v>96</v>
      </c>
      <c r="C450">
        <v>2023</v>
      </c>
      <c r="D450" t="s">
        <v>38</v>
      </c>
      <c r="E450">
        <v>37474.58</v>
      </c>
      <c r="F450">
        <v>58.6</v>
      </c>
      <c r="G450">
        <v>209</v>
      </c>
      <c r="H450">
        <v>141</v>
      </c>
      <c r="I450" t="s">
        <v>16</v>
      </c>
      <c r="J450">
        <v>5</v>
      </c>
      <c r="K450" t="s">
        <v>22</v>
      </c>
      <c r="L450">
        <v>67143</v>
      </c>
      <c r="M450">
        <v>3.33</v>
      </c>
      <c r="N450" s="6">
        <f t="shared" ref="N450:N513" si="7">E450*L450</f>
        <v>2516155724.9400001</v>
      </c>
    </row>
    <row r="451" spans="1:14" x14ac:dyDescent="0.35">
      <c r="A451" t="s">
        <v>49</v>
      </c>
      <c r="B451" t="s">
        <v>90</v>
      </c>
      <c r="C451">
        <v>2023</v>
      </c>
      <c r="D451" t="s">
        <v>38</v>
      </c>
      <c r="E451">
        <v>37474.79</v>
      </c>
      <c r="F451">
        <v>56.5</v>
      </c>
      <c r="G451">
        <v>218</v>
      </c>
      <c r="H451">
        <v>134</v>
      </c>
      <c r="I451" t="s">
        <v>25</v>
      </c>
      <c r="J451">
        <v>4</v>
      </c>
      <c r="K451" t="s">
        <v>22</v>
      </c>
      <c r="L451">
        <v>129662</v>
      </c>
      <c r="M451">
        <v>3.46</v>
      </c>
      <c r="N451" s="6">
        <f t="shared" si="7"/>
        <v>4859056220.9800005</v>
      </c>
    </row>
    <row r="452" spans="1:14" x14ac:dyDescent="0.35">
      <c r="A452" t="s">
        <v>13</v>
      </c>
      <c r="B452" t="s">
        <v>51</v>
      </c>
      <c r="C452">
        <v>2023</v>
      </c>
      <c r="D452" t="s">
        <v>20</v>
      </c>
      <c r="E452">
        <v>69215.27</v>
      </c>
      <c r="F452">
        <v>62</v>
      </c>
      <c r="G452">
        <v>197</v>
      </c>
      <c r="H452">
        <v>136</v>
      </c>
      <c r="I452" t="s">
        <v>16</v>
      </c>
      <c r="J452">
        <v>5</v>
      </c>
      <c r="K452" t="s">
        <v>20</v>
      </c>
      <c r="L452">
        <v>211559</v>
      </c>
      <c r="M452">
        <v>3.61</v>
      </c>
      <c r="N452" s="6">
        <f t="shared" si="7"/>
        <v>14643113305.93</v>
      </c>
    </row>
    <row r="453" spans="1:14" x14ac:dyDescent="0.35">
      <c r="A453" t="s">
        <v>49</v>
      </c>
      <c r="B453" t="s">
        <v>60</v>
      </c>
      <c r="C453">
        <v>2023</v>
      </c>
      <c r="D453" t="s">
        <v>38</v>
      </c>
      <c r="E453">
        <v>41678.26</v>
      </c>
      <c r="F453">
        <v>66.400000000000006</v>
      </c>
      <c r="G453">
        <v>252</v>
      </c>
      <c r="H453">
        <v>155</v>
      </c>
      <c r="I453" t="s">
        <v>25</v>
      </c>
      <c r="J453">
        <v>4</v>
      </c>
      <c r="K453" t="s">
        <v>22</v>
      </c>
      <c r="L453">
        <v>52756</v>
      </c>
      <c r="M453">
        <v>3.29</v>
      </c>
      <c r="N453" s="6">
        <f t="shared" si="7"/>
        <v>2198778284.5599999</v>
      </c>
    </row>
    <row r="454" spans="1:14" x14ac:dyDescent="0.35">
      <c r="A454" t="s">
        <v>23</v>
      </c>
      <c r="B454" t="s">
        <v>37</v>
      </c>
      <c r="C454">
        <v>2023</v>
      </c>
      <c r="D454" t="s">
        <v>15</v>
      </c>
      <c r="E454">
        <v>60380.4</v>
      </c>
      <c r="F454">
        <v>91.2</v>
      </c>
      <c r="G454">
        <v>308</v>
      </c>
      <c r="H454">
        <v>199</v>
      </c>
      <c r="I454" t="s">
        <v>25</v>
      </c>
      <c r="J454">
        <v>3</v>
      </c>
      <c r="K454" t="s">
        <v>22</v>
      </c>
      <c r="L454">
        <v>8909</v>
      </c>
      <c r="M454">
        <v>3.76</v>
      </c>
      <c r="N454" s="6">
        <f t="shared" si="7"/>
        <v>537928983.60000002</v>
      </c>
    </row>
    <row r="455" spans="1:14" x14ac:dyDescent="0.35">
      <c r="A455" t="s">
        <v>64</v>
      </c>
      <c r="B455" t="s">
        <v>97</v>
      </c>
      <c r="C455">
        <v>2023</v>
      </c>
      <c r="D455" t="s">
        <v>43</v>
      </c>
      <c r="E455">
        <v>101992.19</v>
      </c>
      <c r="F455">
        <v>49.3</v>
      </c>
      <c r="G455">
        <v>168</v>
      </c>
      <c r="H455">
        <v>165</v>
      </c>
      <c r="I455" t="s">
        <v>40</v>
      </c>
      <c r="J455">
        <v>5</v>
      </c>
      <c r="K455" t="s">
        <v>17</v>
      </c>
      <c r="L455">
        <v>24913</v>
      </c>
      <c r="M455">
        <v>3.34</v>
      </c>
      <c r="N455" s="6">
        <f t="shared" si="7"/>
        <v>2540931429.4700003</v>
      </c>
    </row>
    <row r="456" spans="1:14" x14ac:dyDescent="0.35">
      <c r="A456" t="s">
        <v>23</v>
      </c>
      <c r="B456" t="s">
        <v>37</v>
      </c>
      <c r="C456">
        <v>2023</v>
      </c>
      <c r="D456" t="s">
        <v>15</v>
      </c>
      <c r="E456">
        <v>77802.210000000006</v>
      </c>
      <c r="F456">
        <v>81.5</v>
      </c>
      <c r="G456">
        <v>300</v>
      </c>
      <c r="H456">
        <v>195</v>
      </c>
      <c r="I456" t="s">
        <v>16</v>
      </c>
      <c r="J456">
        <v>5</v>
      </c>
      <c r="K456" t="s">
        <v>20</v>
      </c>
      <c r="L456">
        <v>18415</v>
      </c>
      <c r="M456">
        <v>3.87</v>
      </c>
      <c r="N456" s="6">
        <f t="shared" si="7"/>
        <v>1432727697.1500001</v>
      </c>
    </row>
    <row r="457" spans="1:14" x14ac:dyDescent="0.35">
      <c r="A457" t="s">
        <v>45</v>
      </c>
      <c r="B457" t="s">
        <v>88</v>
      </c>
      <c r="C457">
        <v>2023</v>
      </c>
      <c r="D457" t="s">
        <v>38</v>
      </c>
      <c r="E457">
        <v>40160.18</v>
      </c>
      <c r="F457">
        <v>61.8</v>
      </c>
      <c r="G457">
        <v>214</v>
      </c>
      <c r="H457">
        <v>164</v>
      </c>
      <c r="I457" t="s">
        <v>32</v>
      </c>
      <c r="J457">
        <v>5</v>
      </c>
      <c r="K457" t="s">
        <v>22</v>
      </c>
      <c r="L457">
        <v>234883</v>
      </c>
      <c r="M457">
        <v>3.4</v>
      </c>
      <c r="N457" s="6">
        <f t="shared" si="7"/>
        <v>9432943558.9400005</v>
      </c>
    </row>
    <row r="458" spans="1:14" x14ac:dyDescent="0.35">
      <c r="A458" t="s">
        <v>26</v>
      </c>
      <c r="B458" t="s">
        <v>52</v>
      </c>
      <c r="C458">
        <v>2023</v>
      </c>
      <c r="D458" t="s">
        <v>43</v>
      </c>
      <c r="E458">
        <v>66396.28</v>
      </c>
      <c r="F458">
        <v>40.4</v>
      </c>
      <c r="G458">
        <v>150</v>
      </c>
      <c r="H458">
        <v>172</v>
      </c>
      <c r="I458" t="s">
        <v>40</v>
      </c>
      <c r="J458">
        <v>4</v>
      </c>
      <c r="K458" t="s">
        <v>20</v>
      </c>
      <c r="L458">
        <v>93251</v>
      </c>
      <c r="M458">
        <v>3.17</v>
      </c>
      <c r="N458" s="6">
        <f t="shared" si="7"/>
        <v>6191519506.2799997</v>
      </c>
    </row>
    <row r="459" spans="1:14" x14ac:dyDescent="0.35">
      <c r="A459" t="s">
        <v>29</v>
      </c>
      <c r="B459" t="s">
        <v>30</v>
      </c>
      <c r="C459">
        <v>2023</v>
      </c>
      <c r="D459" t="s">
        <v>38</v>
      </c>
      <c r="E459">
        <v>50661.72</v>
      </c>
      <c r="F459">
        <v>45</v>
      </c>
      <c r="G459">
        <v>150</v>
      </c>
      <c r="H459">
        <v>132</v>
      </c>
      <c r="I459" t="s">
        <v>16</v>
      </c>
      <c r="J459">
        <v>5</v>
      </c>
      <c r="K459" t="s">
        <v>22</v>
      </c>
      <c r="L459">
        <v>240645</v>
      </c>
      <c r="M459">
        <v>3.26</v>
      </c>
      <c r="N459" s="6">
        <f t="shared" si="7"/>
        <v>12191489609.4</v>
      </c>
    </row>
    <row r="460" spans="1:14" x14ac:dyDescent="0.35">
      <c r="A460" t="s">
        <v>75</v>
      </c>
      <c r="B460" t="s">
        <v>108</v>
      </c>
      <c r="C460">
        <v>2023</v>
      </c>
      <c r="D460" t="s">
        <v>38</v>
      </c>
      <c r="E460">
        <v>71764.23</v>
      </c>
      <c r="F460">
        <v>63.3</v>
      </c>
      <c r="G460">
        <v>216</v>
      </c>
      <c r="H460">
        <v>179</v>
      </c>
      <c r="I460" t="s">
        <v>33</v>
      </c>
      <c r="J460">
        <v>4</v>
      </c>
      <c r="K460" t="s">
        <v>20</v>
      </c>
      <c r="L460">
        <v>16601</v>
      </c>
      <c r="M460">
        <v>3.25</v>
      </c>
      <c r="N460" s="6">
        <f t="shared" si="7"/>
        <v>1191357982.23</v>
      </c>
    </row>
    <row r="461" spans="1:14" x14ac:dyDescent="0.35">
      <c r="A461" t="s">
        <v>13</v>
      </c>
      <c r="B461" t="s">
        <v>14</v>
      </c>
      <c r="C461">
        <v>2023</v>
      </c>
      <c r="D461" t="s">
        <v>20</v>
      </c>
      <c r="E461">
        <v>99863.63</v>
      </c>
      <c r="F461">
        <v>66.5</v>
      </c>
      <c r="G461">
        <v>227</v>
      </c>
      <c r="H461">
        <v>134</v>
      </c>
      <c r="I461" t="s">
        <v>16</v>
      </c>
      <c r="J461">
        <v>5</v>
      </c>
      <c r="K461" t="s">
        <v>20</v>
      </c>
      <c r="L461">
        <v>237739</v>
      </c>
      <c r="M461">
        <v>3.79</v>
      </c>
      <c r="N461" s="6">
        <f t="shared" si="7"/>
        <v>23741479532.57</v>
      </c>
    </row>
    <row r="462" spans="1:14" x14ac:dyDescent="0.35">
      <c r="A462" t="s">
        <v>23</v>
      </c>
      <c r="B462" t="s">
        <v>83</v>
      </c>
      <c r="C462">
        <v>2023</v>
      </c>
      <c r="D462" t="s">
        <v>28</v>
      </c>
      <c r="E462">
        <v>33127.160000000003</v>
      </c>
      <c r="F462">
        <v>87.4</v>
      </c>
      <c r="G462">
        <v>303</v>
      </c>
      <c r="H462">
        <v>160</v>
      </c>
      <c r="I462" t="s">
        <v>21</v>
      </c>
      <c r="J462">
        <v>4</v>
      </c>
      <c r="K462" t="s">
        <v>47</v>
      </c>
      <c r="L462">
        <v>19880</v>
      </c>
      <c r="M462">
        <v>3.66</v>
      </c>
      <c r="N462" s="6">
        <f t="shared" si="7"/>
        <v>658567940.80000007</v>
      </c>
    </row>
    <row r="463" spans="1:14" x14ac:dyDescent="0.35">
      <c r="A463" t="s">
        <v>57</v>
      </c>
      <c r="B463" t="s">
        <v>79</v>
      </c>
      <c r="C463">
        <v>2023</v>
      </c>
      <c r="D463" t="s">
        <v>15</v>
      </c>
      <c r="E463">
        <v>66131.67</v>
      </c>
      <c r="F463">
        <v>96.5</v>
      </c>
      <c r="G463">
        <v>322</v>
      </c>
      <c r="H463">
        <v>200</v>
      </c>
      <c r="I463" t="s">
        <v>16</v>
      </c>
      <c r="J463">
        <v>5</v>
      </c>
      <c r="K463" t="s">
        <v>20</v>
      </c>
      <c r="L463">
        <v>34351</v>
      </c>
      <c r="M463">
        <v>3.53</v>
      </c>
      <c r="N463" s="6">
        <f t="shared" si="7"/>
        <v>2271688996.1700001</v>
      </c>
    </row>
    <row r="464" spans="1:14" x14ac:dyDescent="0.35">
      <c r="A464" t="s">
        <v>45</v>
      </c>
      <c r="B464" t="s">
        <v>63</v>
      </c>
      <c r="C464">
        <v>2023</v>
      </c>
      <c r="D464" t="s">
        <v>15</v>
      </c>
      <c r="E464">
        <v>25921.47</v>
      </c>
      <c r="F464">
        <v>101.8</v>
      </c>
      <c r="G464">
        <v>344</v>
      </c>
      <c r="H464">
        <v>188</v>
      </c>
      <c r="I464" t="s">
        <v>16</v>
      </c>
      <c r="J464">
        <v>5</v>
      </c>
      <c r="K464" t="s">
        <v>47</v>
      </c>
      <c r="L464">
        <v>110847</v>
      </c>
      <c r="M464">
        <v>3.94</v>
      </c>
      <c r="N464" s="6">
        <f t="shared" si="7"/>
        <v>2873317185.0900002</v>
      </c>
    </row>
    <row r="465" spans="1:14" x14ac:dyDescent="0.35">
      <c r="A465" t="s">
        <v>49</v>
      </c>
      <c r="B465" t="s">
        <v>60</v>
      </c>
      <c r="C465">
        <v>2023</v>
      </c>
      <c r="D465" t="s">
        <v>43</v>
      </c>
      <c r="E465">
        <v>53342.39</v>
      </c>
      <c r="F465">
        <v>42.5</v>
      </c>
      <c r="G465">
        <v>150</v>
      </c>
      <c r="H465">
        <v>179</v>
      </c>
      <c r="I465" t="s">
        <v>40</v>
      </c>
      <c r="J465">
        <v>4</v>
      </c>
      <c r="K465" t="s">
        <v>22</v>
      </c>
      <c r="L465">
        <v>142003</v>
      </c>
      <c r="M465">
        <v>3.16</v>
      </c>
      <c r="N465" s="6">
        <f t="shared" si="7"/>
        <v>7574779407.1700001</v>
      </c>
    </row>
    <row r="466" spans="1:14" x14ac:dyDescent="0.35">
      <c r="A466" t="s">
        <v>26</v>
      </c>
      <c r="B466" t="s">
        <v>61</v>
      </c>
      <c r="C466">
        <v>2023</v>
      </c>
      <c r="D466" t="s">
        <v>43</v>
      </c>
      <c r="E466">
        <v>33510.99</v>
      </c>
      <c r="F466">
        <v>40.1</v>
      </c>
      <c r="G466">
        <v>152</v>
      </c>
      <c r="H466">
        <v>135</v>
      </c>
      <c r="I466" t="s">
        <v>21</v>
      </c>
      <c r="J466">
        <v>4</v>
      </c>
      <c r="K466" t="s">
        <v>47</v>
      </c>
      <c r="L466">
        <v>137108</v>
      </c>
      <c r="M466">
        <v>3.43</v>
      </c>
      <c r="N466" s="6">
        <f t="shared" si="7"/>
        <v>4594624816.9200001</v>
      </c>
    </row>
    <row r="467" spans="1:14" x14ac:dyDescent="0.35">
      <c r="A467" t="s">
        <v>45</v>
      </c>
      <c r="B467" t="s">
        <v>46</v>
      </c>
      <c r="C467">
        <v>2023</v>
      </c>
      <c r="D467" t="s">
        <v>43</v>
      </c>
      <c r="E467">
        <v>84139.98</v>
      </c>
      <c r="F467">
        <v>72.3</v>
      </c>
      <c r="G467">
        <v>261</v>
      </c>
      <c r="H467">
        <v>130</v>
      </c>
      <c r="I467" t="s">
        <v>16</v>
      </c>
      <c r="J467">
        <v>5</v>
      </c>
      <c r="K467" t="s">
        <v>20</v>
      </c>
      <c r="L467">
        <v>236926</v>
      </c>
      <c r="M467">
        <v>3.41</v>
      </c>
      <c r="N467" s="6">
        <f t="shared" si="7"/>
        <v>19934948901.48</v>
      </c>
    </row>
    <row r="468" spans="1:14" x14ac:dyDescent="0.35">
      <c r="A468" t="s">
        <v>73</v>
      </c>
      <c r="B468" t="s">
        <v>116</v>
      </c>
      <c r="C468">
        <v>2023</v>
      </c>
      <c r="D468" t="s">
        <v>20</v>
      </c>
      <c r="E468">
        <v>114240.51</v>
      </c>
      <c r="F468">
        <v>65.599999999999994</v>
      </c>
      <c r="G468">
        <v>218</v>
      </c>
      <c r="H468">
        <v>162</v>
      </c>
      <c r="I468" t="s">
        <v>16</v>
      </c>
      <c r="J468">
        <v>5</v>
      </c>
      <c r="K468" t="s">
        <v>17</v>
      </c>
      <c r="L468">
        <v>26747</v>
      </c>
      <c r="M468">
        <v>3.64</v>
      </c>
      <c r="N468" s="6">
        <f t="shared" si="7"/>
        <v>3055590920.9699998</v>
      </c>
    </row>
    <row r="469" spans="1:14" x14ac:dyDescent="0.35">
      <c r="A469" t="s">
        <v>23</v>
      </c>
      <c r="B469" t="s">
        <v>99</v>
      </c>
      <c r="C469">
        <v>2023</v>
      </c>
      <c r="D469" t="s">
        <v>20</v>
      </c>
      <c r="E469">
        <v>41711.199999999997</v>
      </c>
      <c r="F469">
        <v>58.9</v>
      </c>
      <c r="G469">
        <v>204</v>
      </c>
      <c r="H469">
        <v>135</v>
      </c>
      <c r="I469" t="s">
        <v>32</v>
      </c>
      <c r="J469">
        <v>4</v>
      </c>
      <c r="K469" t="s">
        <v>22</v>
      </c>
      <c r="L469">
        <v>776</v>
      </c>
      <c r="M469">
        <v>3.17</v>
      </c>
      <c r="N469" s="6">
        <f t="shared" si="7"/>
        <v>32367891.199999999</v>
      </c>
    </row>
    <row r="470" spans="1:14" x14ac:dyDescent="0.35">
      <c r="A470" t="s">
        <v>13</v>
      </c>
      <c r="B470" t="s">
        <v>56</v>
      </c>
      <c r="C470">
        <v>2023</v>
      </c>
      <c r="D470" t="s">
        <v>20</v>
      </c>
      <c r="E470">
        <v>60337.62</v>
      </c>
      <c r="F470">
        <v>44.2</v>
      </c>
      <c r="G470">
        <v>158</v>
      </c>
      <c r="H470">
        <v>175</v>
      </c>
      <c r="I470" t="s">
        <v>32</v>
      </c>
      <c r="J470">
        <v>5</v>
      </c>
      <c r="K470" t="s">
        <v>22</v>
      </c>
      <c r="L470">
        <v>201954</v>
      </c>
      <c r="M470">
        <v>3.3</v>
      </c>
      <c r="N470" s="6">
        <f t="shared" si="7"/>
        <v>12185423709.480001</v>
      </c>
    </row>
    <row r="471" spans="1:14" x14ac:dyDescent="0.35">
      <c r="A471" t="s">
        <v>13</v>
      </c>
      <c r="B471" t="s">
        <v>66</v>
      </c>
      <c r="C471">
        <v>2023</v>
      </c>
      <c r="D471" t="s">
        <v>20</v>
      </c>
      <c r="E471">
        <v>53064.54</v>
      </c>
      <c r="F471">
        <v>68.099999999999994</v>
      </c>
      <c r="G471">
        <v>226</v>
      </c>
      <c r="H471">
        <v>141</v>
      </c>
      <c r="I471" t="s">
        <v>16</v>
      </c>
      <c r="J471">
        <v>3</v>
      </c>
      <c r="K471" t="s">
        <v>22</v>
      </c>
      <c r="L471">
        <v>243991</v>
      </c>
      <c r="M471">
        <v>3.26</v>
      </c>
      <c r="N471" s="6">
        <f t="shared" si="7"/>
        <v>12947270179.139999</v>
      </c>
    </row>
    <row r="472" spans="1:14" x14ac:dyDescent="0.35">
      <c r="A472" t="s">
        <v>57</v>
      </c>
      <c r="B472" t="s">
        <v>72</v>
      </c>
      <c r="C472">
        <v>2023</v>
      </c>
      <c r="D472" t="s">
        <v>15</v>
      </c>
      <c r="E472">
        <v>69526.3</v>
      </c>
      <c r="F472">
        <v>114.5</v>
      </c>
      <c r="G472">
        <v>415</v>
      </c>
      <c r="H472">
        <v>200</v>
      </c>
      <c r="I472" t="s">
        <v>16</v>
      </c>
      <c r="J472">
        <v>5</v>
      </c>
      <c r="K472" t="s">
        <v>20</v>
      </c>
      <c r="L472">
        <v>23821</v>
      </c>
      <c r="M472">
        <v>3.84</v>
      </c>
      <c r="N472" s="6">
        <f t="shared" si="7"/>
        <v>1656185992.3</v>
      </c>
    </row>
    <row r="473" spans="1:14" x14ac:dyDescent="0.35">
      <c r="A473" t="s">
        <v>49</v>
      </c>
      <c r="B473" t="s">
        <v>71</v>
      </c>
      <c r="C473">
        <v>2023</v>
      </c>
      <c r="D473" t="s">
        <v>43</v>
      </c>
      <c r="E473">
        <v>73470.2</v>
      </c>
      <c r="F473">
        <v>61.6</v>
      </c>
      <c r="G473">
        <v>217</v>
      </c>
      <c r="H473">
        <v>167</v>
      </c>
      <c r="I473" t="s">
        <v>16</v>
      </c>
      <c r="J473">
        <v>5</v>
      </c>
      <c r="K473" t="s">
        <v>20</v>
      </c>
      <c r="L473">
        <v>142666</v>
      </c>
      <c r="M473">
        <v>3.15</v>
      </c>
      <c r="N473" s="6">
        <f t="shared" si="7"/>
        <v>10481699553.199999</v>
      </c>
    </row>
    <row r="474" spans="1:14" x14ac:dyDescent="0.35">
      <c r="A474" t="s">
        <v>29</v>
      </c>
      <c r="B474" t="s">
        <v>39</v>
      </c>
      <c r="C474">
        <v>2023</v>
      </c>
      <c r="D474" t="s">
        <v>15</v>
      </c>
      <c r="E474">
        <v>105706.18</v>
      </c>
      <c r="F474">
        <v>114.7</v>
      </c>
      <c r="G474">
        <v>391</v>
      </c>
      <c r="H474">
        <v>200</v>
      </c>
      <c r="I474" t="s">
        <v>33</v>
      </c>
      <c r="J474">
        <v>3</v>
      </c>
      <c r="K474" t="s">
        <v>17</v>
      </c>
      <c r="L474">
        <v>247669</v>
      </c>
      <c r="M474">
        <v>4.2</v>
      </c>
      <c r="N474" s="6">
        <f t="shared" si="7"/>
        <v>26180143894.419998</v>
      </c>
    </row>
    <row r="475" spans="1:14" x14ac:dyDescent="0.35">
      <c r="A475" t="s">
        <v>29</v>
      </c>
      <c r="B475" t="s">
        <v>39</v>
      </c>
      <c r="C475">
        <v>2023</v>
      </c>
      <c r="D475" t="s">
        <v>43</v>
      </c>
      <c r="E475">
        <v>95125.11</v>
      </c>
      <c r="F475">
        <v>45.3</v>
      </c>
      <c r="G475">
        <v>150</v>
      </c>
      <c r="H475">
        <v>135</v>
      </c>
      <c r="I475" t="s">
        <v>32</v>
      </c>
      <c r="J475">
        <v>3</v>
      </c>
      <c r="K475" t="s">
        <v>20</v>
      </c>
      <c r="L475">
        <v>116755</v>
      </c>
      <c r="M475">
        <v>3.27</v>
      </c>
      <c r="N475" s="6">
        <f t="shared" si="7"/>
        <v>11106332218.049999</v>
      </c>
    </row>
    <row r="476" spans="1:14" x14ac:dyDescent="0.35">
      <c r="A476" t="s">
        <v>67</v>
      </c>
      <c r="B476" t="s">
        <v>68</v>
      </c>
      <c r="C476">
        <v>2023</v>
      </c>
      <c r="D476" t="s">
        <v>28</v>
      </c>
      <c r="E476">
        <v>64643.29</v>
      </c>
      <c r="F476">
        <v>83.8</v>
      </c>
      <c r="G476">
        <v>293</v>
      </c>
      <c r="H476">
        <v>173</v>
      </c>
      <c r="I476" t="s">
        <v>21</v>
      </c>
      <c r="J476">
        <v>5</v>
      </c>
      <c r="K476" t="s">
        <v>22</v>
      </c>
      <c r="L476">
        <v>67458</v>
      </c>
      <c r="M476">
        <v>3.6</v>
      </c>
      <c r="N476" s="6">
        <f t="shared" si="7"/>
        <v>4360707056.8199997</v>
      </c>
    </row>
    <row r="477" spans="1:14" x14ac:dyDescent="0.35">
      <c r="A477" t="s">
        <v>23</v>
      </c>
      <c r="B477" t="s">
        <v>99</v>
      </c>
      <c r="C477">
        <v>2023</v>
      </c>
      <c r="D477" t="s">
        <v>20</v>
      </c>
      <c r="E477">
        <v>73891.199999999997</v>
      </c>
      <c r="F477">
        <v>45</v>
      </c>
      <c r="G477">
        <v>150</v>
      </c>
      <c r="H477">
        <v>134</v>
      </c>
      <c r="I477" t="s">
        <v>21</v>
      </c>
      <c r="J477">
        <v>5</v>
      </c>
      <c r="K477" t="s">
        <v>20</v>
      </c>
      <c r="L477">
        <v>7223</v>
      </c>
      <c r="M477">
        <v>3.41</v>
      </c>
      <c r="N477" s="6">
        <f t="shared" si="7"/>
        <v>533716137.59999996</v>
      </c>
    </row>
    <row r="478" spans="1:14" x14ac:dyDescent="0.35">
      <c r="A478" t="s">
        <v>45</v>
      </c>
      <c r="B478" t="s">
        <v>54</v>
      </c>
      <c r="C478">
        <v>2023</v>
      </c>
      <c r="D478" t="s">
        <v>38</v>
      </c>
      <c r="E478">
        <v>36015.660000000003</v>
      </c>
      <c r="F478">
        <v>52.4</v>
      </c>
      <c r="G478">
        <v>178</v>
      </c>
      <c r="H478">
        <v>160</v>
      </c>
      <c r="I478" t="s">
        <v>21</v>
      </c>
      <c r="J478">
        <v>5</v>
      </c>
      <c r="K478" t="s">
        <v>22</v>
      </c>
      <c r="L478">
        <v>143487</v>
      </c>
      <c r="M478">
        <v>3.37</v>
      </c>
      <c r="N478" s="6">
        <f t="shared" si="7"/>
        <v>5167779006.4200001</v>
      </c>
    </row>
    <row r="479" spans="1:14" x14ac:dyDescent="0.35">
      <c r="A479" t="s">
        <v>26</v>
      </c>
      <c r="B479" t="s">
        <v>61</v>
      </c>
      <c r="C479">
        <v>2023</v>
      </c>
      <c r="D479" t="s">
        <v>43</v>
      </c>
      <c r="E479">
        <v>63386.57</v>
      </c>
      <c r="F479">
        <v>61.3</v>
      </c>
      <c r="G479">
        <v>218</v>
      </c>
      <c r="H479">
        <v>167</v>
      </c>
      <c r="I479" t="s">
        <v>21</v>
      </c>
      <c r="J479">
        <v>5</v>
      </c>
      <c r="K479" t="s">
        <v>22</v>
      </c>
      <c r="L479">
        <v>97503</v>
      </c>
      <c r="M479">
        <v>3.22</v>
      </c>
      <c r="N479" s="6">
        <f t="shared" si="7"/>
        <v>6180380734.71</v>
      </c>
    </row>
    <row r="480" spans="1:14" x14ac:dyDescent="0.35">
      <c r="A480" t="s">
        <v>64</v>
      </c>
      <c r="B480" t="s">
        <v>85</v>
      </c>
      <c r="C480">
        <v>2023</v>
      </c>
      <c r="D480" t="s">
        <v>15</v>
      </c>
      <c r="E480">
        <v>101590.86</v>
      </c>
      <c r="F480">
        <v>116.4</v>
      </c>
      <c r="G480">
        <v>426</v>
      </c>
      <c r="H480">
        <v>174</v>
      </c>
      <c r="I480" t="s">
        <v>25</v>
      </c>
      <c r="J480">
        <v>5</v>
      </c>
      <c r="K480" t="s">
        <v>17</v>
      </c>
      <c r="L480">
        <v>73116</v>
      </c>
      <c r="M480">
        <v>3.97</v>
      </c>
      <c r="N480" s="6">
        <f t="shared" si="7"/>
        <v>7427917319.7600002</v>
      </c>
    </row>
    <row r="481" spans="1:14" x14ac:dyDescent="0.35">
      <c r="A481" t="s">
        <v>29</v>
      </c>
      <c r="B481" t="s">
        <v>30</v>
      </c>
      <c r="C481">
        <v>2023</v>
      </c>
      <c r="D481" t="s">
        <v>20</v>
      </c>
      <c r="E481">
        <v>67810.929999999993</v>
      </c>
      <c r="F481">
        <v>55.5</v>
      </c>
      <c r="G481">
        <v>175</v>
      </c>
      <c r="H481">
        <v>166</v>
      </c>
      <c r="I481" t="s">
        <v>40</v>
      </c>
      <c r="J481">
        <v>5</v>
      </c>
      <c r="K481" t="s">
        <v>20</v>
      </c>
      <c r="L481">
        <v>194039</v>
      </c>
      <c r="M481">
        <v>3.62</v>
      </c>
      <c r="N481" s="6">
        <f t="shared" si="7"/>
        <v>13157965046.269999</v>
      </c>
    </row>
    <row r="482" spans="1:14" x14ac:dyDescent="0.35">
      <c r="A482" t="s">
        <v>57</v>
      </c>
      <c r="B482" t="s">
        <v>79</v>
      </c>
      <c r="C482">
        <v>2023</v>
      </c>
      <c r="D482" t="s">
        <v>43</v>
      </c>
      <c r="E482">
        <v>37298.339999999997</v>
      </c>
      <c r="F482">
        <v>72.7</v>
      </c>
      <c r="G482">
        <v>262</v>
      </c>
      <c r="H482">
        <v>154</v>
      </c>
      <c r="I482" t="s">
        <v>21</v>
      </c>
      <c r="J482">
        <v>4</v>
      </c>
      <c r="K482" t="s">
        <v>22</v>
      </c>
      <c r="L482">
        <v>60230</v>
      </c>
      <c r="M482">
        <v>3.57</v>
      </c>
      <c r="N482" s="6">
        <f t="shared" si="7"/>
        <v>2246479018.1999998</v>
      </c>
    </row>
    <row r="483" spans="1:14" x14ac:dyDescent="0.35">
      <c r="A483" t="s">
        <v>45</v>
      </c>
      <c r="B483" t="s">
        <v>46</v>
      </c>
      <c r="C483">
        <v>2023</v>
      </c>
      <c r="D483" t="s">
        <v>43</v>
      </c>
      <c r="E483">
        <v>62912.21</v>
      </c>
      <c r="F483">
        <v>54</v>
      </c>
      <c r="G483">
        <v>188</v>
      </c>
      <c r="H483">
        <v>142</v>
      </c>
      <c r="I483" t="s">
        <v>32</v>
      </c>
      <c r="J483">
        <v>5</v>
      </c>
      <c r="K483" t="s">
        <v>22</v>
      </c>
      <c r="L483">
        <v>196923</v>
      </c>
      <c r="M483">
        <v>3.56</v>
      </c>
      <c r="N483" s="6">
        <f t="shared" si="7"/>
        <v>12388861129.83</v>
      </c>
    </row>
    <row r="484" spans="1:14" x14ac:dyDescent="0.35">
      <c r="A484" t="s">
        <v>64</v>
      </c>
      <c r="B484" t="s">
        <v>97</v>
      </c>
      <c r="C484">
        <v>2023</v>
      </c>
      <c r="D484" t="s">
        <v>38</v>
      </c>
      <c r="E484">
        <v>63735.58</v>
      </c>
      <c r="F484">
        <v>75.400000000000006</v>
      </c>
      <c r="G484">
        <v>276</v>
      </c>
      <c r="H484">
        <v>154</v>
      </c>
      <c r="I484" t="s">
        <v>40</v>
      </c>
      <c r="J484">
        <v>5</v>
      </c>
      <c r="K484" t="s">
        <v>22</v>
      </c>
      <c r="L484">
        <v>28907</v>
      </c>
      <c r="M484">
        <v>3.44</v>
      </c>
      <c r="N484" s="6">
        <f t="shared" si="7"/>
        <v>1842404411.0599999</v>
      </c>
    </row>
    <row r="485" spans="1:14" x14ac:dyDescent="0.35">
      <c r="A485" t="s">
        <v>29</v>
      </c>
      <c r="B485" t="s">
        <v>31</v>
      </c>
      <c r="C485">
        <v>2023</v>
      </c>
      <c r="D485" t="s">
        <v>20</v>
      </c>
      <c r="E485">
        <v>144885.91</v>
      </c>
      <c r="F485">
        <v>67.7</v>
      </c>
      <c r="G485">
        <v>230</v>
      </c>
      <c r="H485">
        <v>156</v>
      </c>
      <c r="I485" t="s">
        <v>32</v>
      </c>
      <c r="J485">
        <v>5</v>
      </c>
      <c r="K485" t="s">
        <v>17</v>
      </c>
      <c r="L485">
        <v>416711</v>
      </c>
      <c r="M485">
        <v>3.88</v>
      </c>
      <c r="N485" s="6">
        <f t="shared" si="7"/>
        <v>60375552442.010002</v>
      </c>
    </row>
    <row r="486" spans="1:14" x14ac:dyDescent="0.35">
      <c r="A486" t="s">
        <v>23</v>
      </c>
      <c r="B486" t="s">
        <v>37</v>
      </c>
      <c r="C486">
        <v>2023</v>
      </c>
      <c r="D486" t="s">
        <v>43</v>
      </c>
      <c r="E486">
        <v>62461.41</v>
      </c>
      <c r="F486">
        <v>54</v>
      </c>
      <c r="G486">
        <v>168</v>
      </c>
      <c r="H486">
        <v>138</v>
      </c>
      <c r="I486" t="s">
        <v>32</v>
      </c>
      <c r="J486">
        <v>4</v>
      </c>
      <c r="K486" t="s">
        <v>22</v>
      </c>
      <c r="L486">
        <v>6024</v>
      </c>
      <c r="M486">
        <v>3.32</v>
      </c>
      <c r="N486" s="6">
        <f t="shared" si="7"/>
        <v>376267533.84000003</v>
      </c>
    </row>
    <row r="487" spans="1:14" x14ac:dyDescent="0.35">
      <c r="A487" t="s">
        <v>45</v>
      </c>
      <c r="B487" t="s">
        <v>77</v>
      </c>
      <c r="C487">
        <v>2023</v>
      </c>
      <c r="D487" t="s">
        <v>43</v>
      </c>
      <c r="E487">
        <v>23505.59</v>
      </c>
      <c r="F487">
        <v>75.5</v>
      </c>
      <c r="G487">
        <v>261</v>
      </c>
      <c r="H487">
        <v>166</v>
      </c>
      <c r="I487" t="s">
        <v>32</v>
      </c>
      <c r="J487">
        <v>3</v>
      </c>
      <c r="K487" t="s">
        <v>47</v>
      </c>
      <c r="L487">
        <v>178149</v>
      </c>
      <c r="M487">
        <v>3.42</v>
      </c>
      <c r="N487" s="6">
        <f t="shared" si="7"/>
        <v>4187497352.9099998</v>
      </c>
    </row>
    <row r="488" spans="1:14" x14ac:dyDescent="0.35">
      <c r="A488" t="s">
        <v>57</v>
      </c>
      <c r="B488" t="s">
        <v>62</v>
      </c>
      <c r="C488">
        <v>2023</v>
      </c>
      <c r="D488" t="s">
        <v>15</v>
      </c>
      <c r="E488">
        <v>78714.850000000006</v>
      </c>
      <c r="F488">
        <v>111.5</v>
      </c>
      <c r="G488">
        <v>393</v>
      </c>
      <c r="H488">
        <v>184</v>
      </c>
      <c r="I488" t="s">
        <v>33</v>
      </c>
      <c r="J488">
        <v>4</v>
      </c>
      <c r="K488" t="s">
        <v>20</v>
      </c>
      <c r="L488">
        <v>41203</v>
      </c>
      <c r="M488">
        <v>3.73</v>
      </c>
      <c r="N488" s="6">
        <f t="shared" si="7"/>
        <v>3243287964.5500002</v>
      </c>
    </row>
    <row r="489" spans="1:14" x14ac:dyDescent="0.35">
      <c r="A489" t="s">
        <v>34</v>
      </c>
      <c r="B489" t="s">
        <v>106</v>
      </c>
      <c r="C489">
        <v>2023</v>
      </c>
      <c r="D489" t="s">
        <v>43</v>
      </c>
      <c r="E489">
        <v>142019.75</v>
      </c>
      <c r="F489">
        <v>58.7</v>
      </c>
      <c r="G489">
        <v>200</v>
      </c>
      <c r="H489">
        <v>166</v>
      </c>
      <c r="I489" t="s">
        <v>32</v>
      </c>
      <c r="J489">
        <v>5</v>
      </c>
      <c r="K489" t="s">
        <v>17</v>
      </c>
      <c r="L489">
        <v>57178</v>
      </c>
      <c r="M489">
        <v>3.68</v>
      </c>
      <c r="N489" s="6">
        <f t="shared" si="7"/>
        <v>8120405265.5</v>
      </c>
    </row>
    <row r="490" spans="1:14" x14ac:dyDescent="0.35">
      <c r="A490" t="s">
        <v>49</v>
      </c>
      <c r="B490" t="s">
        <v>71</v>
      </c>
      <c r="C490">
        <v>2023</v>
      </c>
      <c r="D490" t="s">
        <v>28</v>
      </c>
      <c r="E490">
        <v>48459.839999999997</v>
      </c>
      <c r="F490">
        <v>100</v>
      </c>
      <c r="G490">
        <v>358</v>
      </c>
      <c r="H490">
        <v>175</v>
      </c>
      <c r="I490" t="s">
        <v>25</v>
      </c>
      <c r="J490">
        <v>4</v>
      </c>
      <c r="K490" t="s">
        <v>22</v>
      </c>
      <c r="L490">
        <v>128198</v>
      </c>
      <c r="M490">
        <v>3.66</v>
      </c>
      <c r="N490" s="6">
        <f t="shared" si="7"/>
        <v>6212454568.3199997</v>
      </c>
    </row>
    <row r="491" spans="1:14" x14ac:dyDescent="0.35">
      <c r="A491" t="s">
        <v>64</v>
      </c>
      <c r="B491" t="s">
        <v>65</v>
      </c>
      <c r="C491">
        <v>2023</v>
      </c>
      <c r="D491" t="s">
        <v>15</v>
      </c>
      <c r="E491">
        <v>121734.94</v>
      </c>
      <c r="F491">
        <v>72.7</v>
      </c>
      <c r="G491">
        <v>249</v>
      </c>
      <c r="H491">
        <v>200</v>
      </c>
      <c r="I491" t="s">
        <v>33</v>
      </c>
      <c r="J491">
        <v>5</v>
      </c>
      <c r="K491" t="s">
        <v>17</v>
      </c>
      <c r="L491">
        <v>71997</v>
      </c>
      <c r="M491">
        <v>3.55</v>
      </c>
      <c r="N491" s="6">
        <f t="shared" si="7"/>
        <v>8764550475.1800003</v>
      </c>
    </row>
    <row r="492" spans="1:14" x14ac:dyDescent="0.35">
      <c r="A492" t="s">
        <v>45</v>
      </c>
      <c r="B492" t="s">
        <v>88</v>
      </c>
      <c r="C492">
        <v>2023</v>
      </c>
      <c r="D492" t="s">
        <v>28</v>
      </c>
      <c r="E492">
        <v>82830.36</v>
      </c>
      <c r="F492">
        <v>90.4</v>
      </c>
      <c r="G492">
        <v>294</v>
      </c>
      <c r="H492">
        <v>175</v>
      </c>
      <c r="I492" t="s">
        <v>25</v>
      </c>
      <c r="J492">
        <v>5</v>
      </c>
      <c r="K492" t="s">
        <v>20</v>
      </c>
      <c r="L492">
        <v>213531</v>
      </c>
      <c r="M492">
        <v>3.84</v>
      </c>
      <c r="N492" s="6">
        <f t="shared" si="7"/>
        <v>17686849601.16</v>
      </c>
    </row>
    <row r="493" spans="1:14" x14ac:dyDescent="0.35">
      <c r="A493" t="s">
        <v>29</v>
      </c>
      <c r="B493" t="s">
        <v>39</v>
      </c>
      <c r="C493">
        <v>2023</v>
      </c>
      <c r="D493" t="s">
        <v>15</v>
      </c>
      <c r="E493">
        <v>170972.65</v>
      </c>
      <c r="F493">
        <v>105.1</v>
      </c>
      <c r="G493">
        <v>373</v>
      </c>
      <c r="H493">
        <v>200</v>
      </c>
      <c r="I493" t="s">
        <v>25</v>
      </c>
      <c r="J493">
        <v>3</v>
      </c>
      <c r="K493" t="s">
        <v>17</v>
      </c>
      <c r="L493">
        <v>177006</v>
      </c>
      <c r="M493">
        <v>3.89</v>
      </c>
      <c r="N493" s="6">
        <f t="shared" si="7"/>
        <v>30263184885.899998</v>
      </c>
    </row>
    <row r="494" spans="1:14" x14ac:dyDescent="0.35">
      <c r="A494" t="s">
        <v>29</v>
      </c>
      <c r="B494" t="s">
        <v>53</v>
      </c>
      <c r="C494">
        <v>2023</v>
      </c>
      <c r="D494" t="s">
        <v>20</v>
      </c>
      <c r="E494">
        <v>172193.15</v>
      </c>
      <c r="F494">
        <v>58.2</v>
      </c>
      <c r="G494">
        <v>181</v>
      </c>
      <c r="H494">
        <v>147</v>
      </c>
      <c r="I494" t="s">
        <v>16</v>
      </c>
      <c r="J494">
        <v>5</v>
      </c>
      <c r="K494" t="s">
        <v>17</v>
      </c>
      <c r="L494">
        <v>199763</v>
      </c>
      <c r="M494">
        <v>3.42</v>
      </c>
      <c r="N494" s="6">
        <f t="shared" si="7"/>
        <v>34397820223.449997</v>
      </c>
    </row>
    <row r="495" spans="1:14" x14ac:dyDescent="0.35">
      <c r="A495" t="s">
        <v>49</v>
      </c>
      <c r="B495" t="s">
        <v>87</v>
      </c>
      <c r="C495">
        <v>2023</v>
      </c>
      <c r="D495" t="s">
        <v>20</v>
      </c>
      <c r="E495">
        <v>42532.36</v>
      </c>
      <c r="F495">
        <v>70.099999999999994</v>
      </c>
      <c r="G495">
        <v>253</v>
      </c>
      <c r="H495">
        <v>167</v>
      </c>
      <c r="I495" t="s">
        <v>32</v>
      </c>
      <c r="J495">
        <v>5</v>
      </c>
      <c r="K495" t="s">
        <v>22</v>
      </c>
      <c r="L495">
        <v>118099</v>
      </c>
      <c r="M495">
        <v>3.33</v>
      </c>
      <c r="N495" s="6">
        <f t="shared" si="7"/>
        <v>5023029183.6400003</v>
      </c>
    </row>
    <row r="496" spans="1:14" x14ac:dyDescent="0.35">
      <c r="A496" t="s">
        <v>29</v>
      </c>
      <c r="B496" t="s">
        <v>39</v>
      </c>
      <c r="C496">
        <v>2023</v>
      </c>
      <c r="D496" t="s">
        <v>38</v>
      </c>
      <c r="E496">
        <v>29555.66</v>
      </c>
      <c r="F496">
        <v>54.9</v>
      </c>
      <c r="G496">
        <v>182</v>
      </c>
      <c r="H496">
        <v>163</v>
      </c>
      <c r="I496" t="s">
        <v>16</v>
      </c>
      <c r="J496">
        <v>4</v>
      </c>
      <c r="K496" t="s">
        <v>47</v>
      </c>
      <c r="L496">
        <v>119019</v>
      </c>
      <c r="M496">
        <v>3.56</v>
      </c>
      <c r="N496" s="6">
        <f t="shared" si="7"/>
        <v>3517685097.54</v>
      </c>
    </row>
    <row r="497" spans="1:14" x14ac:dyDescent="0.35">
      <c r="A497" t="s">
        <v>45</v>
      </c>
      <c r="B497" t="s">
        <v>54</v>
      </c>
      <c r="C497">
        <v>2023</v>
      </c>
      <c r="D497" t="s">
        <v>20</v>
      </c>
      <c r="E497">
        <v>62695.67</v>
      </c>
      <c r="F497">
        <v>55.1</v>
      </c>
      <c r="G497">
        <v>191</v>
      </c>
      <c r="H497">
        <v>143</v>
      </c>
      <c r="I497" t="s">
        <v>16</v>
      </c>
      <c r="J497">
        <v>3</v>
      </c>
      <c r="K497" t="s">
        <v>22</v>
      </c>
      <c r="L497">
        <v>249959</v>
      </c>
      <c r="M497">
        <v>3.49</v>
      </c>
      <c r="N497" s="6">
        <f t="shared" si="7"/>
        <v>15671346977.529999</v>
      </c>
    </row>
    <row r="498" spans="1:14" x14ac:dyDescent="0.35">
      <c r="A498" t="s">
        <v>29</v>
      </c>
      <c r="B498" t="s">
        <v>39</v>
      </c>
      <c r="C498">
        <v>2023</v>
      </c>
      <c r="D498" t="s">
        <v>28</v>
      </c>
      <c r="E498">
        <v>41849.58</v>
      </c>
      <c r="F498">
        <v>96.1</v>
      </c>
      <c r="G498">
        <v>319</v>
      </c>
      <c r="H498">
        <v>174</v>
      </c>
      <c r="I498" t="s">
        <v>25</v>
      </c>
      <c r="J498">
        <v>5</v>
      </c>
      <c r="K498" t="s">
        <v>22</v>
      </c>
      <c r="L498">
        <v>211387</v>
      </c>
      <c r="M498">
        <v>4</v>
      </c>
      <c r="N498" s="6">
        <f t="shared" si="7"/>
        <v>8846457167.460001</v>
      </c>
    </row>
    <row r="499" spans="1:14" x14ac:dyDescent="0.35">
      <c r="A499" t="s">
        <v>64</v>
      </c>
      <c r="B499" t="s">
        <v>70</v>
      </c>
      <c r="C499">
        <v>2023</v>
      </c>
      <c r="D499" t="s">
        <v>28</v>
      </c>
      <c r="E499">
        <v>113237.82</v>
      </c>
      <c r="F499">
        <v>108.8</v>
      </c>
      <c r="G499">
        <v>398</v>
      </c>
      <c r="H499">
        <v>174</v>
      </c>
      <c r="I499" t="s">
        <v>32</v>
      </c>
      <c r="J499">
        <v>4</v>
      </c>
      <c r="K499" t="s">
        <v>17</v>
      </c>
      <c r="L499">
        <v>31347</v>
      </c>
      <c r="M499">
        <v>3.49</v>
      </c>
      <c r="N499" s="6">
        <f t="shared" si="7"/>
        <v>3549665943.5400004</v>
      </c>
    </row>
    <row r="500" spans="1:14" x14ac:dyDescent="0.35">
      <c r="A500" t="s">
        <v>23</v>
      </c>
      <c r="B500" t="s">
        <v>83</v>
      </c>
      <c r="C500">
        <v>2023</v>
      </c>
      <c r="D500" t="s">
        <v>28</v>
      </c>
      <c r="E500">
        <v>53068.74</v>
      </c>
      <c r="F500">
        <v>78.7</v>
      </c>
      <c r="G500">
        <v>273</v>
      </c>
      <c r="H500">
        <v>184</v>
      </c>
      <c r="I500" t="s">
        <v>21</v>
      </c>
      <c r="J500">
        <v>5</v>
      </c>
      <c r="K500" t="s">
        <v>22</v>
      </c>
      <c r="L500">
        <v>9605</v>
      </c>
      <c r="M500">
        <v>3.25</v>
      </c>
      <c r="N500" s="6">
        <f t="shared" si="7"/>
        <v>509725247.69999999</v>
      </c>
    </row>
    <row r="501" spans="1:14" x14ac:dyDescent="0.35">
      <c r="A501" t="s">
        <v>67</v>
      </c>
      <c r="B501" t="s">
        <v>98</v>
      </c>
      <c r="C501">
        <v>2023</v>
      </c>
      <c r="D501" t="s">
        <v>38</v>
      </c>
      <c r="E501">
        <v>76292.22</v>
      </c>
      <c r="F501">
        <v>51.4</v>
      </c>
      <c r="G501">
        <v>180</v>
      </c>
      <c r="H501">
        <v>174</v>
      </c>
      <c r="I501" t="s">
        <v>16</v>
      </c>
      <c r="J501">
        <v>5</v>
      </c>
      <c r="K501" t="s">
        <v>20</v>
      </c>
      <c r="L501">
        <v>57167</v>
      </c>
      <c r="M501">
        <v>3.32</v>
      </c>
      <c r="N501" s="6">
        <f t="shared" si="7"/>
        <v>4361397340.7399998</v>
      </c>
    </row>
    <row r="502" spans="1:14" x14ac:dyDescent="0.35">
      <c r="A502" t="s">
        <v>34</v>
      </c>
      <c r="B502" t="s">
        <v>35</v>
      </c>
      <c r="C502">
        <v>2023</v>
      </c>
      <c r="D502" t="s">
        <v>38</v>
      </c>
      <c r="E502">
        <v>129584.74</v>
      </c>
      <c r="F502">
        <v>64.2</v>
      </c>
      <c r="G502">
        <v>260</v>
      </c>
      <c r="H502">
        <v>126</v>
      </c>
      <c r="I502" t="s">
        <v>32</v>
      </c>
      <c r="J502">
        <v>5</v>
      </c>
      <c r="K502" t="s">
        <v>17</v>
      </c>
      <c r="L502">
        <v>24901</v>
      </c>
      <c r="M502">
        <v>3.81</v>
      </c>
      <c r="N502" s="6">
        <f t="shared" si="7"/>
        <v>3226789610.7400002</v>
      </c>
    </row>
    <row r="503" spans="1:14" x14ac:dyDescent="0.35">
      <c r="A503" t="s">
        <v>29</v>
      </c>
      <c r="B503" t="s">
        <v>31</v>
      </c>
      <c r="C503">
        <v>2023</v>
      </c>
      <c r="D503" t="s">
        <v>38</v>
      </c>
      <c r="E503">
        <v>112472.41</v>
      </c>
      <c r="F503">
        <v>74.3</v>
      </c>
      <c r="G503">
        <v>238</v>
      </c>
      <c r="H503">
        <v>142</v>
      </c>
      <c r="I503" t="s">
        <v>25</v>
      </c>
      <c r="J503">
        <v>5</v>
      </c>
      <c r="K503" t="s">
        <v>17</v>
      </c>
      <c r="L503">
        <v>485203</v>
      </c>
      <c r="M503">
        <v>3.66</v>
      </c>
      <c r="N503" s="6">
        <f t="shared" si="7"/>
        <v>54571950749.230003</v>
      </c>
    </row>
    <row r="504" spans="1:14" x14ac:dyDescent="0.35">
      <c r="A504" t="s">
        <v>49</v>
      </c>
      <c r="B504" t="s">
        <v>87</v>
      </c>
      <c r="C504">
        <v>2023</v>
      </c>
      <c r="D504" t="s">
        <v>15</v>
      </c>
      <c r="E504">
        <v>107017.27</v>
      </c>
      <c r="F504">
        <v>75.2</v>
      </c>
      <c r="G504">
        <v>259</v>
      </c>
      <c r="H504">
        <v>184</v>
      </c>
      <c r="I504" t="s">
        <v>21</v>
      </c>
      <c r="J504">
        <v>5</v>
      </c>
      <c r="K504" t="s">
        <v>17</v>
      </c>
      <c r="L504">
        <v>67872</v>
      </c>
      <c r="M504">
        <v>3.44</v>
      </c>
      <c r="N504" s="6">
        <f t="shared" si="7"/>
        <v>7263476149.4400005</v>
      </c>
    </row>
    <row r="505" spans="1:14" x14ac:dyDescent="0.35">
      <c r="A505" t="s">
        <v>23</v>
      </c>
      <c r="B505" t="s">
        <v>83</v>
      </c>
      <c r="C505">
        <v>2023</v>
      </c>
      <c r="D505" t="s">
        <v>28</v>
      </c>
      <c r="E505">
        <v>65559.399999999994</v>
      </c>
      <c r="F505">
        <v>97.3</v>
      </c>
      <c r="G505">
        <v>331</v>
      </c>
      <c r="H505">
        <v>177</v>
      </c>
      <c r="I505" t="s">
        <v>21</v>
      </c>
      <c r="J505">
        <v>4</v>
      </c>
      <c r="K505" t="s">
        <v>20</v>
      </c>
      <c r="L505">
        <v>6658</v>
      </c>
      <c r="M505">
        <v>3.7</v>
      </c>
      <c r="N505" s="6">
        <f t="shared" si="7"/>
        <v>436494485.19999999</v>
      </c>
    </row>
    <row r="506" spans="1:14" x14ac:dyDescent="0.35">
      <c r="A506" t="s">
        <v>13</v>
      </c>
      <c r="B506" t="s">
        <v>66</v>
      </c>
      <c r="C506">
        <v>2023</v>
      </c>
      <c r="D506" t="s">
        <v>43</v>
      </c>
      <c r="E506">
        <v>32332.16</v>
      </c>
      <c r="F506">
        <v>53.1</v>
      </c>
      <c r="G506">
        <v>184</v>
      </c>
      <c r="H506">
        <v>170</v>
      </c>
      <c r="I506" t="s">
        <v>32</v>
      </c>
      <c r="J506">
        <v>5</v>
      </c>
      <c r="K506" t="s">
        <v>47</v>
      </c>
      <c r="L506">
        <v>283336</v>
      </c>
      <c r="M506">
        <v>3.52</v>
      </c>
      <c r="N506" s="6">
        <f t="shared" si="7"/>
        <v>9160864885.7600002</v>
      </c>
    </row>
    <row r="507" spans="1:14" x14ac:dyDescent="0.35">
      <c r="A507" t="s">
        <v>13</v>
      </c>
      <c r="B507" t="s">
        <v>14</v>
      </c>
      <c r="C507">
        <v>2023</v>
      </c>
      <c r="D507" t="s">
        <v>15</v>
      </c>
      <c r="E507">
        <v>114648.63</v>
      </c>
      <c r="F507">
        <v>104.8</v>
      </c>
      <c r="G507">
        <v>352</v>
      </c>
      <c r="H507">
        <v>197</v>
      </c>
      <c r="I507" t="s">
        <v>21</v>
      </c>
      <c r="J507">
        <v>4</v>
      </c>
      <c r="K507" t="s">
        <v>17</v>
      </c>
      <c r="L507">
        <v>297615</v>
      </c>
      <c r="M507">
        <v>3.66</v>
      </c>
      <c r="N507" s="6">
        <f t="shared" si="7"/>
        <v>34121152017.450001</v>
      </c>
    </row>
    <row r="508" spans="1:14" x14ac:dyDescent="0.35">
      <c r="A508" t="s">
        <v>26</v>
      </c>
      <c r="B508" t="s">
        <v>61</v>
      </c>
      <c r="C508">
        <v>2023</v>
      </c>
      <c r="D508" t="s">
        <v>15</v>
      </c>
      <c r="E508">
        <v>76777.22</v>
      </c>
      <c r="F508">
        <v>72.5</v>
      </c>
      <c r="G508">
        <v>254</v>
      </c>
      <c r="H508">
        <v>200</v>
      </c>
      <c r="I508" t="s">
        <v>21</v>
      </c>
      <c r="J508">
        <v>4</v>
      </c>
      <c r="K508" t="s">
        <v>20</v>
      </c>
      <c r="L508">
        <v>99948</v>
      </c>
      <c r="M508">
        <v>3.66</v>
      </c>
      <c r="N508" s="6">
        <f t="shared" si="7"/>
        <v>7673729584.5600004</v>
      </c>
    </row>
    <row r="509" spans="1:14" x14ac:dyDescent="0.35">
      <c r="A509" t="s">
        <v>64</v>
      </c>
      <c r="B509" t="s">
        <v>70</v>
      </c>
      <c r="C509">
        <v>2023</v>
      </c>
      <c r="D509" t="s">
        <v>15</v>
      </c>
      <c r="E509">
        <v>111495.73</v>
      </c>
      <c r="F509">
        <v>82.7</v>
      </c>
      <c r="G509">
        <v>283</v>
      </c>
      <c r="H509">
        <v>188</v>
      </c>
      <c r="I509" t="s">
        <v>33</v>
      </c>
      <c r="J509">
        <v>4</v>
      </c>
      <c r="K509" t="s">
        <v>17</v>
      </c>
      <c r="L509">
        <v>41408</v>
      </c>
      <c r="M509">
        <v>3.72</v>
      </c>
      <c r="N509" s="6">
        <f t="shared" si="7"/>
        <v>4616815187.8400002</v>
      </c>
    </row>
    <row r="510" spans="1:14" x14ac:dyDescent="0.35">
      <c r="A510" t="s">
        <v>29</v>
      </c>
      <c r="B510" t="s">
        <v>39</v>
      </c>
      <c r="C510">
        <v>2023</v>
      </c>
      <c r="D510" t="s">
        <v>20</v>
      </c>
      <c r="E510">
        <v>163320.60999999999</v>
      </c>
      <c r="F510">
        <v>72.8</v>
      </c>
      <c r="G510">
        <v>240</v>
      </c>
      <c r="H510">
        <v>147</v>
      </c>
      <c r="I510" t="s">
        <v>32</v>
      </c>
      <c r="J510">
        <v>4</v>
      </c>
      <c r="K510" t="s">
        <v>17</v>
      </c>
      <c r="L510">
        <v>220716</v>
      </c>
      <c r="M510">
        <v>3.73</v>
      </c>
      <c r="N510" s="6">
        <f t="shared" si="7"/>
        <v>36047471756.759995</v>
      </c>
    </row>
    <row r="511" spans="1:14" x14ac:dyDescent="0.35">
      <c r="A511" t="s">
        <v>45</v>
      </c>
      <c r="B511" t="s">
        <v>88</v>
      </c>
      <c r="C511">
        <v>2023</v>
      </c>
      <c r="D511" t="s">
        <v>15</v>
      </c>
      <c r="E511">
        <v>89614.35</v>
      </c>
      <c r="F511">
        <v>100.7</v>
      </c>
      <c r="G511">
        <v>334</v>
      </c>
      <c r="H511">
        <v>192</v>
      </c>
      <c r="I511" t="s">
        <v>32</v>
      </c>
      <c r="J511">
        <v>5</v>
      </c>
      <c r="K511" t="s">
        <v>20</v>
      </c>
      <c r="L511">
        <v>198687</v>
      </c>
      <c r="M511">
        <v>4</v>
      </c>
      <c r="N511" s="6">
        <f t="shared" si="7"/>
        <v>17805206358.450001</v>
      </c>
    </row>
    <row r="512" spans="1:14" x14ac:dyDescent="0.35">
      <c r="A512" t="s">
        <v>45</v>
      </c>
      <c r="B512" t="s">
        <v>69</v>
      </c>
      <c r="C512">
        <v>2023</v>
      </c>
      <c r="D512" t="s">
        <v>15</v>
      </c>
      <c r="E512">
        <v>102394.49</v>
      </c>
      <c r="F512">
        <v>115.2</v>
      </c>
      <c r="G512">
        <v>421</v>
      </c>
      <c r="H512">
        <v>174</v>
      </c>
      <c r="I512" t="s">
        <v>16</v>
      </c>
      <c r="J512">
        <v>5</v>
      </c>
      <c r="K512" t="s">
        <v>17</v>
      </c>
      <c r="L512">
        <v>226612</v>
      </c>
      <c r="M512">
        <v>3.99</v>
      </c>
      <c r="N512" s="6">
        <f t="shared" si="7"/>
        <v>23203820167.880001</v>
      </c>
    </row>
    <row r="513" spans="1:14" x14ac:dyDescent="0.35">
      <c r="A513" t="s">
        <v>13</v>
      </c>
      <c r="B513" t="s">
        <v>51</v>
      </c>
      <c r="C513">
        <v>2023</v>
      </c>
      <c r="D513" t="s">
        <v>20</v>
      </c>
      <c r="E513">
        <v>78484.960000000006</v>
      </c>
      <c r="F513">
        <v>48.2</v>
      </c>
      <c r="G513">
        <v>168</v>
      </c>
      <c r="H513">
        <v>144</v>
      </c>
      <c r="I513" t="s">
        <v>40</v>
      </c>
      <c r="J513">
        <v>4</v>
      </c>
      <c r="K513" t="s">
        <v>20</v>
      </c>
      <c r="L513">
        <v>208905</v>
      </c>
      <c r="M513">
        <v>3.41</v>
      </c>
      <c r="N513" s="6">
        <f t="shared" si="7"/>
        <v>16395900568.800001</v>
      </c>
    </row>
    <row r="514" spans="1:14" x14ac:dyDescent="0.35">
      <c r="A514" t="s">
        <v>45</v>
      </c>
      <c r="B514" t="s">
        <v>69</v>
      </c>
      <c r="C514">
        <v>2023</v>
      </c>
      <c r="D514" t="s">
        <v>28</v>
      </c>
      <c r="E514">
        <v>30609.19</v>
      </c>
      <c r="F514">
        <v>78.599999999999994</v>
      </c>
      <c r="G514">
        <v>268</v>
      </c>
      <c r="H514">
        <v>184</v>
      </c>
      <c r="I514" t="s">
        <v>32</v>
      </c>
      <c r="J514">
        <v>5</v>
      </c>
      <c r="K514" t="s">
        <v>47</v>
      </c>
      <c r="L514">
        <v>111239</v>
      </c>
      <c r="M514">
        <v>3.49</v>
      </c>
      <c r="N514" s="6">
        <f t="shared" ref="N514:N577" si="8">E514*L514</f>
        <v>3404935686.4099998</v>
      </c>
    </row>
    <row r="515" spans="1:14" x14ac:dyDescent="0.35">
      <c r="A515" t="s">
        <v>23</v>
      </c>
      <c r="B515" t="s">
        <v>82</v>
      </c>
      <c r="C515">
        <v>2023</v>
      </c>
      <c r="D515" t="s">
        <v>15</v>
      </c>
      <c r="E515">
        <v>73854.22</v>
      </c>
      <c r="F515">
        <v>104.5</v>
      </c>
      <c r="G515">
        <v>365</v>
      </c>
      <c r="H515">
        <v>200</v>
      </c>
      <c r="I515" t="s">
        <v>33</v>
      </c>
      <c r="J515">
        <v>4</v>
      </c>
      <c r="K515" t="s">
        <v>20</v>
      </c>
      <c r="L515">
        <v>27191</v>
      </c>
      <c r="M515">
        <v>3.61</v>
      </c>
      <c r="N515" s="6">
        <f t="shared" si="8"/>
        <v>2008170096.02</v>
      </c>
    </row>
    <row r="516" spans="1:14" x14ac:dyDescent="0.35">
      <c r="A516" t="s">
        <v>34</v>
      </c>
      <c r="B516" t="s">
        <v>106</v>
      </c>
      <c r="C516">
        <v>2023</v>
      </c>
      <c r="D516" t="s">
        <v>15</v>
      </c>
      <c r="E516">
        <v>91688.58</v>
      </c>
      <c r="F516">
        <v>90.5</v>
      </c>
      <c r="G516">
        <v>311</v>
      </c>
      <c r="H516">
        <v>192</v>
      </c>
      <c r="I516" t="s">
        <v>25</v>
      </c>
      <c r="J516">
        <v>5</v>
      </c>
      <c r="K516" t="s">
        <v>20</v>
      </c>
      <c r="L516">
        <v>45385</v>
      </c>
      <c r="M516">
        <v>4.0599999999999996</v>
      </c>
      <c r="N516" s="6">
        <f t="shared" si="8"/>
        <v>4161286203.3000002</v>
      </c>
    </row>
    <row r="517" spans="1:14" x14ac:dyDescent="0.35">
      <c r="A517" t="s">
        <v>45</v>
      </c>
      <c r="B517" t="s">
        <v>48</v>
      </c>
      <c r="C517">
        <v>2023</v>
      </c>
      <c r="D517" t="s">
        <v>20</v>
      </c>
      <c r="E517">
        <v>72252.78</v>
      </c>
      <c r="F517">
        <v>40.799999999999997</v>
      </c>
      <c r="G517">
        <v>150</v>
      </c>
      <c r="H517">
        <v>162</v>
      </c>
      <c r="I517" t="s">
        <v>32</v>
      </c>
      <c r="J517">
        <v>4</v>
      </c>
      <c r="K517" t="s">
        <v>20</v>
      </c>
      <c r="L517">
        <v>245833</v>
      </c>
      <c r="M517">
        <v>3.12</v>
      </c>
      <c r="N517" s="6">
        <f t="shared" si="8"/>
        <v>17762117665.739998</v>
      </c>
    </row>
    <row r="518" spans="1:14" x14ac:dyDescent="0.35">
      <c r="A518" t="s">
        <v>45</v>
      </c>
      <c r="B518" t="s">
        <v>69</v>
      </c>
      <c r="C518">
        <v>2023</v>
      </c>
      <c r="D518" t="s">
        <v>38</v>
      </c>
      <c r="E518">
        <v>20788.8</v>
      </c>
      <c r="F518">
        <v>46.9</v>
      </c>
      <c r="G518">
        <v>161</v>
      </c>
      <c r="H518">
        <v>150</v>
      </c>
      <c r="I518" t="s">
        <v>25</v>
      </c>
      <c r="J518">
        <v>4</v>
      </c>
      <c r="K518" t="s">
        <v>47</v>
      </c>
      <c r="L518">
        <v>208014</v>
      </c>
      <c r="M518">
        <v>3.15</v>
      </c>
      <c r="N518" s="6">
        <f t="shared" si="8"/>
        <v>4324361443.1999998</v>
      </c>
    </row>
    <row r="519" spans="1:14" x14ac:dyDescent="0.35">
      <c r="A519" t="s">
        <v>80</v>
      </c>
      <c r="B519" t="s">
        <v>81</v>
      </c>
      <c r="C519">
        <v>2023</v>
      </c>
      <c r="D519" t="s">
        <v>43</v>
      </c>
      <c r="E519">
        <v>107490.34</v>
      </c>
      <c r="F519">
        <v>61.7</v>
      </c>
      <c r="G519">
        <v>224</v>
      </c>
      <c r="H519">
        <v>161</v>
      </c>
      <c r="I519" t="s">
        <v>21</v>
      </c>
      <c r="J519">
        <v>4</v>
      </c>
      <c r="K519" t="s">
        <v>17</v>
      </c>
      <c r="L519">
        <v>2249</v>
      </c>
      <c r="M519">
        <v>3.5</v>
      </c>
      <c r="N519" s="6">
        <f t="shared" si="8"/>
        <v>241745774.66</v>
      </c>
    </row>
    <row r="520" spans="1:14" x14ac:dyDescent="0.35">
      <c r="A520" t="s">
        <v>41</v>
      </c>
      <c r="B520" t="s">
        <v>92</v>
      </c>
      <c r="C520">
        <v>2023</v>
      </c>
      <c r="D520" t="s">
        <v>20</v>
      </c>
      <c r="E520">
        <v>100837.22</v>
      </c>
      <c r="F520">
        <v>71.599999999999994</v>
      </c>
      <c r="G520">
        <v>259</v>
      </c>
      <c r="H520">
        <v>163</v>
      </c>
      <c r="I520" t="s">
        <v>40</v>
      </c>
      <c r="J520">
        <v>5</v>
      </c>
      <c r="K520" t="s">
        <v>17</v>
      </c>
      <c r="L520">
        <v>27700</v>
      </c>
      <c r="M520">
        <v>3.3</v>
      </c>
      <c r="N520" s="6">
        <f t="shared" si="8"/>
        <v>2793190994</v>
      </c>
    </row>
    <row r="521" spans="1:14" x14ac:dyDescent="0.35">
      <c r="A521" t="s">
        <v>49</v>
      </c>
      <c r="B521" t="s">
        <v>71</v>
      </c>
      <c r="C521">
        <v>2023</v>
      </c>
      <c r="D521" t="s">
        <v>15</v>
      </c>
      <c r="E521">
        <v>69817.039999999994</v>
      </c>
      <c r="F521">
        <v>113.2</v>
      </c>
      <c r="G521">
        <v>415</v>
      </c>
      <c r="H521">
        <v>198</v>
      </c>
      <c r="I521" t="s">
        <v>25</v>
      </c>
      <c r="J521">
        <v>5</v>
      </c>
      <c r="K521" t="s">
        <v>20</v>
      </c>
      <c r="L521">
        <v>127527</v>
      </c>
      <c r="M521">
        <v>3.55</v>
      </c>
      <c r="N521" s="6">
        <f t="shared" si="8"/>
        <v>8903557660.0799999</v>
      </c>
    </row>
    <row r="522" spans="1:14" x14ac:dyDescent="0.35">
      <c r="A522" t="s">
        <v>29</v>
      </c>
      <c r="B522" t="s">
        <v>39</v>
      </c>
      <c r="C522">
        <v>2023</v>
      </c>
      <c r="D522" t="s">
        <v>28</v>
      </c>
      <c r="E522">
        <v>122960.47</v>
      </c>
      <c r="F522">
        <v>98.5</v>
      </c>
      <c r="G522">
        <v>350</v>
      </c>
      <c r="H522">
        <v>178</v>
      </c>
      <c r="I522" t="s">
        <v>21</v>
      </c>
      <c r="J522">
        <v>4</v>
      </c>
      <c r="K522" t="s">
        <v>17</v>
      </c>
      <c r="L522">
        <v>114585</v>
      </c>
      <c r="M522">
        <v>4.09</v>
      </c>
      <c r="N522" s="6">
        <f t="shared" si="8"/>
        <v>14089425454.950001</v>
      </c>
    </row>
    <row r="523" spans="1:14" x14ac:dyDescent="0.35">
      <c r="A523" t="s">
        <v>23</v>
      </c>
      <c r="B523" t="s">
        <v>99</v>
      </c>
      <c r="C523">
        <v>2023</v>
      </c>
      <c r="D523" t="s">
        <v>15</v>
      </c>
      <c r="E523">
        <v>42948.13</v>
      </c>
      <c r="F523">
        <v>93.8</v>
      </c>
      <c r="G523">
        <v>328</v>
      </c>
      <c r="H523">
        <v>200</v>
      </c>
      <c r="I523" t="s">
        <v>40</v>
      </c>
      <c r="J523">
        <v>4</v>
      </c>
      <c r="K523" t="s">
        <v>22</v>
      </c>
      <c r="L523">
        <v>14040</v>
      </c>
      <c r="M523">
        <v>3.76</v>
      </c>
      <c r="N523" s="6">
        <f t="shared" si="8"/>
        <v>602991745.19999993</v>
      </c>
    </row>
    <row r="524" spans="1:14" x14ac:dyDescent="0.35">
      <c r="A524" t="s">
        <v>29</v>
      </c>
      <c r="B524" t="s">
        <v>30</v>
      </c>
      <c r="C524">
        <v>2023</v>
      </c>
      <c r="D524" t="s">
        <v>43</v>
      </c>
      <c r="E524">
        <v>128698.36</v>
      </c>
      <c r="F524">
        <v>60.8</v>
      </c>
      <c r="G524">
        <v>240</v>
      </c>
      <c r="H524">
        <v>154</v>
      </c>
      <c r="I524" t="s">
        <v>16</v>
      </c>
      <c r="J524">
        <v>5</v>
      </c>
      <c r="K524" t="s">
        <v>17</v>
      </c>
      <c r="L524">
        <v>132614</v>
      </c>
      <c r="M524">
        <v>3.6</v>
      </c>
      <c r="N524" s="6">
        <f t="shared" si="8"/>
        <v>17067204313.040001</v>
      </c>
    </row>
    <row r="525" spans="1:14" x14ac:dyDescent="0.35">
      <c r="A525" t="s">
        <v>29</v>
      </c>
      <c r="B525" t="s">
        <v>30</v>
      </c>
      <c r="C525">
        <v>2023</v>
      </c>
      <c r="D525" t="s">
        <v>43</v>
      </c>
      <c r="E525">
        <v>68205.179999999993</v>
      </c>
      <c r="F525">
        <v>50.5</v>
      </c>
      <c r="G525">
        <v>178</v>
      </c>
      <c r="H525">
        <v>121</v>
      </c>
      <c r="I525" t="s">
        <v>25</v>
      </c>
      <c r="J525">
        <v>4</v>
      </c>
      <c r="K525" t="s">
        <v>20</v>
      </c>
      <c r="L525">
        <v>179048</v>
      </c>
      <c r="M525">
        <v>3.64</v>
      </c>
      <c r="N525" s="6">
        <f t="shared" si="8"/>
        <v>12212001068.639999</v>
      </c>
    </row>
    <row r="526" spans="1:14" x14ac:dyDescent="0.35">
      <c r="A526" t="s">
        <v>13</v>
      </c>
      <c r="B526" t="s">
        <v>56</v>
      </c>
      <c r="C526">
        <v>2023</v>
      </c>
      <c r="D526" t="s">
        <v>20</v>
      </c>
      <c r="E526">
        <v>107650.74</v>
      </c>
      <c r="F526">
        <v>66</v>
      </c>
      <c r="G526">
        <v>238</v>
      </c>
      <c r="H526">
        <v>169</v>
      </c>
      <c r="I526" t="s">
        <v>32</v>
      </c>
      <c r="J526">
        <v>4</v>
      </c>
      <c r="K526" t="s">
        <v>17</v>
      </c>
      <c r="L526">
        <v>215531</v>
      </c>
      <c r="M526">
        <v>3.43</v>
      </c>
      <c r="N526" s="6">
        <f t="shared" si="8"/>
        <v>23202071642.940002</v>
      </c>
    </row>
    <row r="527" spans="1:14" x14ac:dyDescent="0.35">
      <c r="A527" t="s">
        <v>49</v>
      </c>
      <c r="B527" t="s">
        <v>71</v>
      </c>
      <c r="C527">
        <v>2023</v>
      </c>
      <c r="D527" t="s">
        <v>28</v>
      </c>
      <c r="E527">
        <v>85387.82</v>
      </c>
      <c r="F527">
        <v>78.5</v>
      </c>
      <c r="G527">
        <v>251</v>
      </c>
      <c r="H527">
        <v>178</v>
      </c>
      <c r="I527" t="s">
        <v>40</v>
      </c>
      <c r="J527">
        <v>4</v>
      </c>
      <c r="K527" t="s">
        <v>20</v>
      </c>
      <c r="L527">
        <v>131774</v>
      </c>
      <c r="M527">
        <v>3.48</v>
      </c>
      <c r="N527" s="6">
        <f t="shared" si="8"/>
        <v>11251894592.68</v>
      </c>
    </row>
    <row r="528" spans="1:14" x14ac:dyDescent="0.35">
      <c r="A528" t="s">
        <v>29</v>
      </c>
      <c r="B528" t="s">
        <v>39</v>
      </c>
      <c r="C528">
        <v>2023</v>
      </c>
      <c r="D528" t="s">
        <v>20</v>
      </c>
      <c r="E528">
        <v>84622.11</v>
      </c>
      <c r="F528">
        <v>73.7</v>
      </c>
      <c r="G528">
        <v>264</v>
      </c>
      <c r="H528">
        <v>143</v>
      </c>
      <c r="I528" t="s">
        <v>21</v>
      </c>
      <c r="J528">
        <v>4</v>
      </c>
      <c r="K528" t="s">
        <v>20</v>
      </c>
      <c r="L528">
        <v>193331</v>
      </c>
      <c r="M528">
        <v>3.64</v>
      </c>
      <c r="N528" s="6">
        <f t="shared" si="8"/>
        <v>16360077148.41</v>
      </c>
    </row>
    <row r="529" spans="1:14" x14ac:dyDescent="0.35">
      <c r="A529" t="s">
        <v>26</v>
      </c>
      <c r="B529" t="s">
        <v>96</v>
      </c>
      <c r="C529">
        <v>2023</v>
      </c>
      <c r="D529" t="s">
        <v>28</v>
      </c>
      <c r="E529">
        <v>68881.259999999995</v>
      </c>
      <c r="F529">
        <v>85.2</v>
      </c>
      <c r="G529">
        <v>297</v>
      </c>
      <c r="H529">
        <v>172</v>
      </c>
      <c r="I529" t="s">
        <v>21</v>
      </c>
      <c r="J529">
        <v>4</v>
      </c>
      <c r="K529" t="s">
        <v>20</v>
      </c>
      <c r="L529">
        <v>85490</v>
      </c>
      <c r="M529">
        <v>3.48</v>
      </c>
      <c r="N529" s="6">
        <f t="shared" si="8"/>
        <v>5888658917.3999996</v>
      </c>
    </row>
    <row r="530" spans="1:14" x14ac:dyDescent="0.35">
      <c r="A530" t="s">
        <v>26</v>
      </c>
      <c r="B530" t="s">
        <v>36</v>
      </c>
      <c r="C530">
        <v>2023</v>
      </c>
      <c r="D530" t="s">
        <v>38</v>
      </c>
      <c r="E530">
        <v>53627.18</v>
      </c>
      <c r="F530">
        <v>75.2</v>
      </c>
      <c r="G530">
        <v>266</v>
      </c>
      <c r="H530">
        <v>154</v>
      </c>
      <c r="I530" t="s">
        <v>40</v>
      </c>
      <c r="J530">
        <v>3</v>
      </c>
      <c r="K530" t="s">
        <v>22</v>
      </c>
      <c r="L530">
        <v>65815</v>
      </c>
      <c r="M530">
        <v>3.66</v>
      </c>
      <c r="N530" s="6">
        <f t="shared" si="8"/>
        <v>3529472851.6999998</v>
      </c>
    </row>
    <row r="531" spans="1:14" x14ac:dyDescent="0.35">
      <c r="A531" t="s">
        <v>18</v>
      </c>
      <c r="B531" t="s">
        <v>19</v>
      </c>
      <c r="C531">
        <v>2023</v>
      </c>
      <c r="D531" t="s">
        <v>28</v>
      </c>
      <c r="E531">
        <v>79916.17</v>
      </c>
      <c r="F531">
        <v>85.7</v>
      </c>
      <c r="G531">
        <v>295</v>
      </c>
      <c r="H531">
        <v>176</v>
      </c>
      <c r="I531" t="s">
        <v>21</v>
      </c>
      <c r="J531">
        <v>4</v>
      </c>
      <c r="K531" t="s">
        <v>20</v>
      </c>
      <c r="L531">
        <v>29619</v>
      </c>
      <c r="M531">
        <v>3.47</v>
      </c>
      <c r="N531" s="6">
        <f t="shared" si="8"/>
        <v>2367037039.23</v>
      </c>
    </row>
    <row r="532" spans="1:14" x14ac:dyDescent="0.35">
      <c r="A532" t="s">
        <v>45</v>
      </c>
      <c r="B532" t="s">
        <v>69</v>
      </c>
      <c r="C532">
        <v>2023</v>
      </c>
      <c r="D532" t="s">
        <v>15</v>
      </c>
      <c r="E532">
        <v>93434.880000000005</v>
      </c>
      <c r="F532">
        <v>89.1</v>
      </c>
      <c r="G532">
        <v>321</v>
      </c>
      <c r="H532">
        <v>200</v>
      </c>
      <c r="I532" t="s">
        <v>25</v>
      </c>
      <c r="J532">
        <v>5</v>
      </c>
      <c r="K532" t="s">
        <v>20</v>
      </c>
      <c r="L532">
        <v>220329</v>
      </c>
      <c r="M532">
        <v>3.35</v>
      </c>
      <c r="N532" s="6">
        <f t="shared" si="8"/>
        <v>20586413675.52</v>
      </c>
    </row>
    <row r="533" spans="1:14" x14ac:dyDescent="0.35">
      <c r="A533" t="s">
        <v>45</v>
      </c>
      <c r="B533" t="s">
        <v>88</v>
      </c>
      <c r="C533">
        <v>2023</v>
      </c>
      <c r="D533" t="s">
        <v>28</v>
      </c>
      <c r="E533">
        <v>27057.77</v>
      </c>
      <c r="F533">
        <v>108.5</v>
      </c>
      <c r="G533">
        <v>385</v>
      </c>
      <c r="H533">
        <v>162</v>
      </c>
      <c r="I533" t="s">
        <v>40</v>
      </c>
      <c r="J533">
        <v>4</v>
      </c>
      <c r="K533" t="s">
        <v>47</v>
      </c>
      <c r="L533">
        <v>176350</v>
      </c>
      <c r="M533">
        <v>3.6</v>
      </c>
      <c r="N533" s="6">
        <f t="shared" si="8"/>
        <v>4771637739.5</v>
      </c>
    </row>
    <row r="534" spans="1:14" x14ac:dyDescent="0.35">
      <c r="A534" t="s">
        <v>29</v>
      </c>
      <c r="B534" t="s">
        <v>53</v>
      </c>
      <c r="C534">
        <v>2023</v>
      </c>
      <c r="D534" t="s">
        <v>15</v>
      </c>
      <c r="E534">
        <v>56003.28</v>
      </c>
      <c r="F534">
        <v>108.7</v>
      </c>
      <c r="G534">
        <v>392</v>
      </c>
      <c r="H534">
        <v>192</v>
      </c>
      <c r="I534" t="s">
        <v>16</v>
      </c>
      <c r="J534">
        <v>4</v>
      </c>
      <c r="K534" t="s">
        <v>22</v>
      </c>
      <c r="L534">
        <v>102435</v>
      </c>
      <c r="M534">
        <v>4.04</v>
      </c>
      <c r="N534" s="6">
        <f t="shared" si="8"/>
        <v>5736695986.8000002</v>
      </c>
    </row>
    <row r="535" spans="1:14" x14ac:dyDescent="0.35">
      <c r="A535" t="s">
        <v>26</v>
      </c>
      <c r="B535" t="s">
        <v>61</v>
      </c>
      <c r="C535">
        <v>2023</v>
      </c>
      <c r="D535" t="s">
        <v>28</v>
      </c>
      <c r="E535">
        <v>62846.87</v>
      </c>
      <c r="F535">
        <v>96.2</v>
      </c>
      <c r="G535">
        <v>339</v>
      </c>
      <c r="H535">
        <v>186</v>
      </c>
      <c r="I535" t="s">
        <v>21</v>
      </c>
      <c r="J535">
        <v>5</v>
      </c>
      <c r="K535" t="s">
        <v>22</v>
      </c>
      <c r="L535">
        <v>73090</v>
      </c>
      <c r="M535">
        <v>3.76</v>
      </c>
      <c r="N535" s="6">
        <f t="shared" si="8"/>
        <v>4593477728.3000002</v>
      </c>
    </row>
    <row r="536" spans="1:14" x14ac:dyDescent="0.35">
      <c r="A536" t="s">
        <v>45</v>
      </c>
      <c r="B536" t="s">
        <v>54</v>
      </c>
      <c r="C536">
        <v>2023</v>
      </c>
      <c r="D536" t="s">
        <v>20</v>
      </c>
      <c r="E536">
        <v>44973.03</v>
      </c>
      <c r="F536">
        <v>70.2</v>
      </c>
      <c r="G536">
        <v>272</v>
      </c>
      <c r="H536">
        <v>156</v>
      </c>
      <c r="I536" t="s">
        <v>32</v>
      </c>
      <c r="J536">
        <v>4</v>
      </c>
      <c r="K536" t="s">
        <v>22</v>
      </c>
      <c r="L536">
        <v>163237</v>
      </c>
      <c r="M536">
        <v>3.63</v>
      </c>
      <c r="N536" s="6">
        <f t="shared" si="8"/>
        <v>7341262498.1099997</v>
      </c>
    </row>
    <row r="537" spans="1:14" x14ac:dyDescent="0.35">
      <c r="A537" t="s">
        <v>26</v>
      </c>
      <c r="B537" t="s">
        <v>52</v>
      </c>
      <c r="C537">
        <v>2023</v>
      </c>
      <c r="D537" t="s">
        <v>15</v>
      </c>
      <c r="E537">
        <v>84710.91</v>
      </c>
      <c r="F537">
        <v>95.4</v>
      </c>
      <c r="G537">
        <v>364</v>
      </c>
      <c r="H537">
        <v>192</v>
      </c>
      <c r="I537" t="s">
        <v>40</v>
      </c>
      <c r="J537">
        <v>4</v>
      </c>
      <c r="K537" t="s">
        <v>20</v>
      </c>
      <c r="L537">
        <v>109134</v>
      </c>
      <c r="M537">
        <v>3.67</v>
      </c>
      <c r="N537" s="6">
        <f t="shared" si="8"/>
        <v>9244840451.9400005</v>
      </c>
    </row>
    <row r="538" spans="1:14" x14ac:dyDescent="0.35">
      <c r="A538" t="s">
        <v>57</v>
      </c>
      <c r="B538" t="s">
        <v>58</v>
      </c>
      <c r="C538">
        <v>2023</v>
      </c>
      <c r="D538" t="s">
        <v>43</v>
      </c>
      <c r="E538">
        <v>61247.58</v>
      </c>
      <c r="F538">
        <v>43</v>
      </c>
      <c r="G538">
        <v>150</v>
      </c>
      <c r="H538">
        <v>145</v>
      </c>
      <c r="I538" t="s">
        <v>32</v>
      </c>
      <c r="J538">
        <v>4</v>
      </c>
      <c r="K538" t="s">
        <v>22</v>
      </c>
      <c r="L538">
        <v>76286</v>
      </c>
      <c r="M538">
        <v>3.13</v>
      </c>
      <c r="N538" s="6">
        <f t="shared" si="8"/>
        <v>4672332887.8800001</v>
      </c>
    </row>
    <row r="539" spans="1:14" x14ac:dyDescent="0.35">
      <c r="A539" t="s">
        <v>45</v>
      </c>
      <c r="B539" t="s">
        <v>69</v>
      </c>
      <c r="C539">
        <v>2023</v>
      </c>
      <c r="D539" t="s">
        <v>43</v>
      </c>
      <c r="E539">
        <v>26581.17</v>
      </c>
      <c r="F539">
        <v>76.3</v>
      </c>
      <c r="G539">
        <v>257</v>
      </c>
      <c r="H539">
        <v>143</v>
      </c>
      <c r="I539" t="s">
        <v>21</v>
      </c>
      <c r="J539">
        <v>5</v>
      </c>
      <c r="K539" t="s">
        <v>47</v>
      </c>
      <c r="L539">
        <v>206659</v>
      </c>
      <c r="M539">
        <v>3.36</v>
      </c>
      <c r="N539" s="6">
        <f t="shared" si="8"/>
        <v>5493238011.0299997</v>
      </c>
    </row>
    <row r="540" spans="1:14" x14ac:dyDescent="0.35">
      <c r="A540" t="s">
        <v>26</v>
      </c>
      <c r="B540" t="s">
        <v>27</v>
      </c>
      <c r="C540">
        <v>2023</v>
      </c>
      <c r="D540" t="s">
        <v>15</v>
      </c>
      <c r="E540">
        <v>92527.86</v>
      </c>
      <c r="F540">
        <v>110.6</v>
      </c>
      <c r="G540">
        <v>404</v>
      </c>
      <c r="H540">
        <v>200</v>
      </c>
      <c r="I540" t="s">
        <v>21</v>
      </c>
      <c r="J540">
        <v>4</v>
      </c>
      <c r="K540" t="s">
        <v>20</v>
      </c>
      <c r="L540">
        <v>118664</v>
      </c>
      <c r="M540">
        <v>3.6</v>
      </c>
      <c r="N540" s="6">
        <f t="shared" si="8"/>
        <v>10979725979.040001</v>
      </c>
    </row>
    <row r="541" spans="1:14" x14ac:dyDescent="0.35">
      <c r="A541" t="s">
        <v>29</v>
      </c>
      <c r="B541" t="s">
        <v>31</v>
      </c>
      <c r="C541">
        <v>2023</v>
      </c>
      <c r="D541" t="s">
        <v>38</v>
      </c>
      <c r="E541">
        <v>106611.48</v>
      </c>
      <c r="F541">
        <v>81.099999999999994</v>
      </c>
      <c r="G541">
        <v>298</v>
      </c>
      <c r="H541">
        <v>153</v>
      </c>
      <c r="I541" t="s">
        <v>32</v>
      </c>
      <c r="J541">
        <v>5</v>
      </c>
      <c r="K541" t="s">
        <v>17</v>
      </c>
      <c r="L541">
        <v>481578</v>
      </c>
      <c r="M541">
        <v>4.09</v>
      </c>
      <c r="N541" s="6">
        <f t="shared" si="8"/>
        <v>51341743315.439995</v>
      </c>
    </row>
    <row r="542" spans="1:14" x14ac:dyDescent="0.35">
      <c r="A542" t="s">
        <v>45</v>
      </c>
      <c r="B542" t="s">
        <v>88</v>
      </c>
      <c r="C542">
        <v>2023</v>
      </c>
      <c r="D542" t="s">
        <v>20</v>
      </c>
      <c r="E542">
        <v>33832.39</v>
      </c>
      <c r="F542">
        <v>82.8</v>
      </c>
      <c r="G542">
        <v>276</v>
      </c>
      <c r="H542">
        <v>128</v>
      </c>
      <c r="I542" t="s">
        <v>21</v>
      </c>
      <c r="J542">
        <v>4</v>
      </c>
      <c r="K542" t="s">
        <v>47</v>
      </c>
      <c r="L542">
        <v>177176</v>
      </c>
      <c r="M542">
        <v>3.68</v>
      </c>
      <c r="N542" s="6">
        <f t="shared" si="8"/>
        <v>5994287530.6400003</v>
      </c>
    </row>
    <row r="543" spans="1:14" x14ac:dyDescent="0.35">
      <c r="A543" t="s">
        <v>13</v>
      </c>
      <c r="B543" t="s">
        <v>66</v>
      </c>
      <c r="C543">
        <v>2023</v>
      </c>
      <c r="D543" t="s">
        <v>20</v>
      </c>
      <c r="E543">
        <v>92433.279999999999</v>
      </c>
      <c r="F543">
        <v>70.099999999999994</v>
      </c>
      <c r="G543">
        <v>250</v>
      </c>
      <c r="H543">
        <v>162</v>
      </c>
      <c r="I543" t="s">
        <v>33</v>
      </c>
      <c r="J543">
        <v>4</v>
      </c>
      <c r="K543" t="s">
        <v>20</v>
      </c>
      <c r="L543">
        <v>212147</v>
      </c>
      <c r="M543">
        <v>3.39</v>
      </c>
      <c r="N543" s="6">
        <f t="shared" si="8"/>
        <v>19609443052.16</v>
      </c>
    </row>
    <row r="544" spans="1:14" x14ac:dyDescent="0.35">
      <c r="A544" t="s">
        <v>29</v>
      </c>
      <c r="B544" t="s">
        <v>59</v>
      </c>
      <c r="C544">
        <v>2023</v>
      </c>
      <c r="D544" t="s">
        <v>38</v>
      </c>
      <c r="E544">
        <v>55932.63</v>
      </c>
      <c r="F544">
        <v>59.8</v>
      </c>
      <c r="G544">
        <v>209</v>
      </c>
      <c r="H544">
        <v>155</v>
      </c>
      <c r="I544" t="s">
        <v>21</v>
      </c>
      <c r="J544">
        <v>3</v>
      </c>
      <c r="K544" t="s">
        <v>22</v>
      </c>
      <c r="L544">
        <v>183636</v>
      </c>
      <c r="M544">
        <v>3.65</v>
      </c>
      <c r="N544" s="6">
        <f t="shared" si="8"/>
        <v>10271244442.68</v>
      </c>
    </row>
    <row r="545" spans="1:14" x14ac:dyDescent="0.35">
      <c r="A545" t="s">
        <v>64</v>
      </c>
      <c r="B545" t="s">
        <v>65</v>
      </c>
      <c r="C545">
        <v>2023</v>
      </c>
      <c r="D545" t="s">
        <v>28</v>
      </c>
      <c r="E545">
        <v>131127.44</v>
      </c>
      <c r="F545">
        <v>88.4</v>
      </c>
      <c r="G545">
        <v>275</v>
      </c>
      <c r="H545">
        <v>175</v>
      </c>
      <c r="I545" t="s">
        <v>25</v>
      </c>
      <c r="J545">
        <v>4</v>
      </c>
      <c r="K545" t="s">
        <v>17</v>
      </c>
      <c r="L545">
        <v>49932</v>
      </c>
      <c r="M545">
        <v>3.32</v>
      </c>
      <c r="N545" s="6">
        <f t="shared" si="8"/>
        <v>6547455334.0799999</v>
      </c>
    </row>
    <row r="546" spans="1:14" x14ac:dyDescent="0.35">
      <c r="A546" t="s">
        <v>29</v>
      </c>
      <c r="B546" t="s">
        <v>31</v>
      </c>
      <c r="C546">
        <v>2023</v>
      </c>
      <c r="D546" t="s">
        <v>28</v>
      </c>
      <c r="E546">
        <v>63692.69</v>
      </c>
      <c r="F546">
        <v>107.7</v>
      </c>
      <c r="G546">
        <v>357</v>
      </c>
      <c r="H546">
        <v>188</v>
      </c>
      <c r="I546" t="s">
        <v>25</v>
      </c>
      <c r="J546">
        <v>3</v>
      </c>
      <c r="K546" t="s">
        <v>22</v>
      </c>
      <c r="L546">
        <v>462962</v>
      </c>
      <c r="M546">
        <v>4.05</v>
      </c>
      <c r="N546" s="6">
        <f t="shared" si="8"/>
        <v>29487295147.780003</v>
      </c>
    </row>
    <row r="547" spans="1:14" x14ac:dyDescent="0.35">
      <c r="A547" t="s">
        <v>13</v>
      </c>
      <c r="B547" t="s">
        <v>56</v>
      </c>
      <c r="C547">
        <v>2023</v>
      </c>
      <c r="D547" t="s">
        <v>15</v>
      </c>
      <c r="E547">
        <v>82345.289999999994</v>
      </c>
      <c r="F547">
        <v>78.400000000000006</v>
      </c>
      <c r="G547">
        <v>276</v>
      </c>
      <c r="H547">
        <v>200</v>
      </c>
      <c r="I547" t="s">
        <v>32</v>
      </c>
      <c r="J547">
        <v>4</v>
      </c>
      <c r="K547" t="s">
        <v>20</v>
      </c>
      <c r="L547">
        <v>291745</v>
      </c>
      <c r="M547">
        <v>3.72</v>
      </c>
      <c r="N547" s="6">
        <f t="shared" si="8"/>
        <v>24023826631.049999</v>
      </c>
    </row>
    <row r="548" spans="1:14" x14ac:dyDescent="0.35">
      <c r="A548" t="s">
        <v>26</v>
      </c>
      <c r="B548" t="s">
        <v>36</v>
      </c>
      <c r="C548">
        <v>2023</v>
      </c>
      <c r="D548" t="s">
        <v>15</v>
      </c>
      <c r="E548">
        <v>59632.87</v>
      </c>
      <c r="F548">
        <v>90.3</v>
      </c>
      <c r="G548">
        <v>325</v>
      </c>
      <c r="H548">
        <v>196</v>
      </c>
      <c r="I548" t="s">
        <v>33</v>
      </c>
      <c r="J548">
        <v>5</v>
      </c>
      <c r="K548" t="s">
        <v>22</v>
      </c>
      <c r="L548">
        <v>97616</v>
      </c>
      <c r="M548">
        <v>3.74</v>
      </c>
      <c r="N548" s="6">
        <f t="shared" si="8"/>
        <v>5821122237.9200001</v>
      </c>
    </row>
    <row r="549" spans="1:14" x14ac:dyDescent="0.35">
      <c r="A549" t="s">
        <v>23</v>
      </c>
      <c r="B549" t="s">
        <v>24</v>
      </c>
      <c r="C549">
        <v>2023</v>
      </c>
      <c r="D549" t="s">
        <v>15</v>
      </c>
      <c r="E549">
        <v>39441.22</v>
      </c>
      <c r="F549">
        <v>70.400000000000006</v>
      </c>
      <c r="G549">
        <v>238</v>
      </c>
      <c r="H549">
        <v>192</v>
      </c>
      <c r="I549" t="s">
        <v>33</v>
      </c>
      <c r="J549">
        <v>3</v>
      </c>
      <c r="K549" t="s">
        <v>22</v>
      </c>
      <c r="L549">
        <v>9783</v>
      </c>
      <c r="M549">
        <v>3.17</v>
      </c>
      <c r="N549" s="6">
        <f t="shared" si="8"/>
        <v>385853455.25999999</v>
      </c>
    </row>
    <row r="550" spans="1:14" x14ac:dyDescent="0.35">
      <c r="A550" t="s">
        <v>26</v>
      </c>
      <c r="B550" t="s">
        <v>27</v>
      </c>
      <c r="C550">
        <v>2023</v>
      </c>
      <c r="D550" t="s">
        <v>38</v>
      </c>
      <c r="E550">
        <v>47384.85</v>
      </c>
      <c r="F550">
        <v>55.2</v>
      </c>
      <c r="G550">
        <v>193</v>
      </c>
      <c r="H550">
        <v>168</v>
      </c>
      <c r="I550" t="s">
        <v>21</v>
      </c>
      <c r="J550">
        <v>4</v>
      </c>
      <c r="K550" t="s">
        <v>22</v>
      </c>
      <c r="L550">
        <v>57685</v>
      </c>
      <c r="M550">
        <v>3.6</v>
      </c>
      <c r="N550" s="6">
        <f t="shared" si="8"/>
        <v>2733395072.25</v>
      </c>
    </row>
    <row r="551" spans="1:14" x14ac:dyDescent="0.35">
      <c r="A551" t="s">
        <v>29</v>
      </c>
      <c r="B551" t="s">
        <v>59</v>
      </c>
      <c r="C551">
        <v>2023</v>
      </c>
      <c r="D551" t="s">
        <v>15</v>
      </c>
      <c r="E551">
        <v>111766.84</v>
      </c>
      <c r="F551">
        <v>104.9</v>
      </c>
      <c r="G551">
        <v>361</v>
      </c>
      <c r="H551">
        <v>200</v>
      </c>
      <c r="I551" t="s">
        <v>32</v>
      </c>
      <c r="J551">
        <v>4</v>
      </c>
      <c r="K551" t="s">
        <v>17</v>
      </c>
      <c r="L551">
        <v>176852</v>
      </c>
      <c r="M551">
        <v>4.05</v>
      </c>
      <c r="N551" s="6">
        <f t="shared" si="8"/>
        <v>19766189187.68</v>
      </c>
    </row>
    <row r="552" spans="1:14" x14ac:dyDescent="0.35">
      <c r="A552" t="s">
        <v>26</v>
      </c>
      <c r="B552" t="s">
        <v>96</v>
      </c>
      <c r="C552">
        <v>2023</v>
      </c>
      <c r="D552" t="s">
        <v>20</v>
      </c>
      <c r="E552">
        <v>82403.5</v>
      </c>
      <c r="F552">
        <v>78.599999999999994</v>
      </c>
      <c r="G552">
        <v>288</v>
      </c>
      <c r="H552">
        <v>151</v>
      </c>
      <c r="I552" t="s">
        <v>25</v>
      </c>
      <c r="J552">
        <v>4</v>
      </c>
      <c r="K552" t="s">
        <v>20</v>
      </c>
      <c r="L552">
        <v>95064</v>
      </c>
      <c r="M552">
        <v>3.74</v>
      </c>
      <c r="N552" s="6">
        <f t="shared" si="8"/>
        <v>7833606324</v>
      </c>
    </row>
    <row r="553" spans="1:14" x14ac:dyDescent="0.35">
      <c r="A553" t="s">
        <v>64</v>
      </c>
      <c r="B553" t="s">
        <v>95</v>
      </c>
      <c r="C553">
        <v>2023</v>
      </c>
      <c r="D553" t="s">
        <v>20</v>
      </c>
      <c r="E553">
        <v>104739.58</v>
      </c>
      <c r="F553">
        <v>54.5</v>
      </c>
      <c r="G553">
        <v>189</v>
      </c>
      <c r="H553">
        <v>151</v>
      </c>
      <c r="I553" t="s">
        <v>33</v>
      </c>
      <c r="J553">
        <v>5</v>
      </c>
      <c r="K553" t="s">
        <v>17</v>
      </c>
      <c r="L553">
        <v>58894</v>
      </c>
      <c r="M553">
        <v>3.16</v>
      </c>
      <c r="N553" s="6">
        <f t="shared" si="8"/>
        <v>6168532824.5200005</v>
      </c>
    </row>
    <row r="554" spans="1:14" x14ac:dyDescent="0.35">
      <c r="A554" t="s">
        <v>29</v>
      </c>
      <c r="B554" t="s">
        <v>53</v>
      </c>
      <c r="C554">
        <v>2023</v>
      </c>
      <c r="D554" t="s">
        <v>28</v>
      </c>
      <c r="E554">
        <v>40789.910000000003</v>
      </c>
      <c r="F554">
        <v>106.8</v>
      </c>
      <c r="G554">
        <v>379</v>
      </c>
      <c r="H554">
        <v>177</v>
      </c>
      <c r="I554" t="s">
        <v>16</v>
      </c>
      <c r="J554">
        <v>5</v>
      </c>
      <c r="K554" t="s">
        <v>22</v>
      </c>
      <c r="L554">
        <v>187262</v>
      </c>
      <c r="M554">
        <v>4.38</v>
      </c>
      <c r="N554" s="6">
        <f t="shared" si="8"/>
        <v>7638400126.420001</v>
      </c>
    </row>
    <row r="555" spans="1:14" x14ac:dyDescent="0.35">
      <c r="A555" t="s">
        <v>114</v>
      </c>
      <c r="B555" t="s">
        <v>135</v>
      </c>
      <c r="C555">
        <v>2023</v>
      </c>
      <c r="D555" t="s">
        <v>15</v>
      </c>
      <c r="E555">
        <v>90903.84</v>
      </c>
      <c r="F555">
        <v>95</v>
      </c>
      <c r="G555">
        <v>337</v>
      </c>
      <c r="H555">
        <v>185</v>
      </c>
      <c r="I555" t="s">
        <v>33</v>
      </c>
      <c r="J555">
        <v>5</v>
      </c>
      <c r="K555" t="s">
        <v>20</v>
      </c>
      <c r="L555">
        <v>18672</v>
      </c>
      <c r="M555">
        <v>3.64</v>
      </c>
      <c r="N555" s="6">
        <f t="shared" si="8"/>
        <v>1697356500.48</v>
      </c>
    </row>
    <row r="556" spans="1:14" x14ac:dyDescent="0.35">
      <c r="A556" t="s">
        <v>45</v>
      </c>
      <c r="B556" t="s">
        <v>69</v>
      </c>
      <c r="C556">
        <v>2023</v>
      </c>
      <c r="D556" t="s">
        <v>28</v>
      </c>
      <c r="E556">
        <v>98961.38</v>
      </c>
      <c r="F556">
        <v>90.2</v>
      </c>
      <c r="G556">
        <v>294</v>
      </c>
      <c r="H556">
        <v>171</v>
      </c>
      <c r="I556" t="s">
        <v>25</v>
      </c>
      <c r="J556">
        <v>4</v>
      </c>
      <c r="K556" t="s">
        <v>20</v>
      </c>
      <c r="L556">
        <v>230275</v>
      </c>
      <c r="M556">
        <v>3.52</v>
      </c>
      <c r="N556" s="6">
        <f t="shared" si="8"/>
        <v>22788331779.5</v>
      </c>
    </row>
    <row r="557" spans="1:14" x14ac:dyDescent="0.35">
      <c r="A557" t="s">
        <v>45</v>
      </c>
      <c r="B557" t="s">
        <v>88</v>
      </c>
      <c r="C557">
        <v>2023</v>
      </c>
      <c r="D557" t="s">
        <v>28</v>
      </c>
      <c r="E557">
        <v>52355.75</v>
      </c>
      <c r="F557">
        <v>87.1</v>
      </c>
      <c r="G557">
        <v>286</v>
      </c>
      <c r="H557">
        <v>184</v>
      </c>
      <c r="I557" t="s">
        <v>40</v>
      </c>
      <c r="J557">
        <v>5</v>
      </c>
      <c r="K557" t="s">
        <v>22</v>
      </c>
      <c r="L557">
        <v>146928</v>
      </c>
      <c r="M557">
        <v>3.27</v>
      </c>
      <c r="N557" s="6">
        <f t="shared" si="8"/>
        <v>7692525636</v>
      </c>
    </row>
    <row r="558" spans="1:14" x14ac:dyDescent="0.35">
      <c r="A558" t="s">
        <v>67</v>
      </c>
      <c r="B558" t="s">
        <v>68</v>
      </c>
      <c r="C558">
        <v>2023</v>
      </c>
      <c r="D558" t="s">
        <v>20</v>
      </c>
      <c r="E558">
        <v>88280.78</v>
      </c>
      <c r="F558">
        <v>42.7</v>
      </c>
      <c r="G558">
        <v>156</v>
      </c>
      <c r="H558">
        <v>173</v>
      </c>
      <c r="I558" t="s">
        <v>33</v>
      </c>
      <c r="J558">
        <v>4</v>
      </c>
      <c r="K558" t="s">
        <v>20</v>
      </c>
      <c r="L558">
        <v>66857</v>
      </c>
      <c r="M558">
        <v>3.24</v>
      </c>
      <c r="N558" s="6">
        <f t="shared" si="8"/>
        <v>5902188108.46</v>
      </c>
    </row>
    <row r="559" spans="1:14" x14ac:dyDescent="0.35">
      <c r="A559" t="s">
        <v>29</v>
      </c>
      <c r="B559" t="s">
        <v>39</v>
      </c>
      <c r="C559">
        <v>2023</v>
      </c>
      <c r="D559" t="s">
        <v>38</v>
      </c>
      <c r="E559">
        <v>45116.56</v>
      </c>
      <c r="F559">
        <v>45.3</v>
      </c>
      <c r="G559">
        <v>169</v>
      </c>
      <c r="H559">
        <v>158</v>
      </c>
      <c r="I559" t="s">
        <v>40</v>
      </c>
      <c r="J559">
        <v>3</v>
      </c>
      <c r="K559" t="s">
        <v>22</v>
      </c>
      <c r="L559">
        <v>116884</v>
      </c>
      <c r="M559">
        <v>3.58</v>
      </c>
      <c r="N559" s="6">
        <f t="shared" si="8"/>
        <v>5273403999.04</v>
      </c>
    </row>
    <row r="560" spans="1:14" x14ac:dyDescent="0.35">
      <c r="A560" t="s">
        <v>13</v>
      </c>
      <c r="B560" t="s">
        <v>51</v>
      </c>
      <c r="C560">
        <v>2023</v>
      </c>
      <c r="D560" t="s">
        <v>28</v>
      </c>
      <c r="E560">
        <v>49537.91</v>
      </c>
      <c r="F560">
        <v>82.9</v>
      </c>
      <c r="G560">
        <v>278</v>
      </c>
      <c r="H560">
        <v>191</v>
      </c>
      <c r="I560" t="s">
        <v>33</v>
      </c>
      <c r="J560">
        <v>5</v>
      </c>
      <c r="K560" t="s">
        <v>22</v>
      </c>
      <c r="L560">
        <v>250021</v>
      </c>
      <c r="M560">
        <v>3.64</v>
      </c>
      <c r="N560" s="6">
        <f t="shared" si="8"/>
        <v>12385517796.110001</v>
      </c>
    </row>
    <row r="561" spans="1:14" x14ac:dyDescent="0.35">
      <c r="A561" t="s">
        <v>29</v>
      </c>
      <c r="B561" t="s">
        <v>30</v>
      </c>
      <c r="C561">
        <v>2023</v>
      </c>
      <c r="D561" t="s">
        <v>15</v>
      </c>
      <c r="E561">
        <v>53096.09</v>
      </c>
      <c r="F561">
        <v>113.8</v>
      </c>
      <c r="G561">
        <v>404</v>
      </c>
      <c r="H561">
        <v>200</v>
      </c>
      <c r="I561" t="s">
        <v>25</v>
      </c>
      <c r="J561">
        <v>4</v>
      </c>
      <c r="K561" t="s">
        <v>22</v>
      </c>
      <c r="L561">
        <v>123687</v>
      </c>
      <c r="M561">
        <v>4.34</v>
      </c>
      <c r="N561" s="6">
        <f t="shared" si="8"/>
        <v>6567296083.8299999</v>
      </c>
    </row>
    <row r="562" spans="1:14" x14ac:dyDescent="0.35">
      <c r="A562" t="s">
        <v>49</v>
      </c>
      <c r="B562" t="s">
        <v>87</v>
      </c>
      <c r="C562">
        <v>2023</v>
      </c>
      <c r="D562" t="s">
        <v>38</v>
      </c>
      <c r="E562">
        <v>40063.519999999997</v>
      </c>
      <c r="F562">
        <v>83</v>
      </c>
      <c r="G562">
        <v>298</v>
      </c>
      <c r="H562">
        <v>134</v>
      </c>
      <c r="I562" t="s">
        <v>25</v>
      </c>
      <c r="J562">
        <v>5</v>
      </c>
      <c r="K562" t="s">
        <v>22</v>
      </c>
      <c r="L562">
        <v>95016</v>
      </c>
      <c r="M562">
        <v>3.55</v>
      </c>
      <c r="N562" s="6">
        <f t="shared" si="8"/>
        <v>3806675416.3199997</v>
      </c>
    </row>
    <row r="563" spans="1:14" x14ac:dyDescent="0.35">
      <c r="A563" t="s">
        <v>45</v>
      </c>
      <c r="B563" t="s">
        <v>46</v>
      </c>
      <c r="C563">
        <v>2023</v>
      </c>
      <c r="D563" t="s">
        <v>38</v>
      </c>
      <c r="E563">
        <v>72565.72</v>
      </c>
      <c r="F563">
        <v>43.8</v>
      </c>
      <c r="G563">
        <v>153</v>
      </c>
      <c r="H563">
        <v>175</v>
      </c>
      <c r="I563" t="s">
        <v>32</v>
      </c>
      <c r="J563">
        <v>5</v>
      </c>
      <c r="K563" t="s">
        <v>20</v>
      </c>
      <c r="L563">
        <v>193019</v>
      </c>
      <c r="M563">
        <v>3.17</v>
      </c>
      <c r="N563" s="6">
        <f t="shared" si="8"/>
        <v>14006562708.68</v>
      </c>
    </row>
    <row r="564" spans="1:14" x14ac:dyDescent="0.35">
      <c r="A564" t="s">
        <v>29</v>
      </c>
      <c r="B564" t="s">
        <v>39</v>
      </c>
      <c r="C564">
        <v>2023</v>
      </c>
      <c r="D564" t="s">
        <v>20</v>
      </c>
      <c r="E564">
        <v>90489.19</v>
      </c>
      <c r="F564">
        <v>66.8</v>
      </c>
      <c r="G564">
        <v>227</v>
      </c>
      <c r="H564">
        <v>144</v>
      </c>
      <c r="I564" t="s">
        <v>25</v>
      </c>
      <c r="J564">
        <v>4</v>
      </c>
      <c r="K564" t="s">
        <v>20</v>
      </c>
      <c r="L564">
        <v>231411</v>
      </c>
      <c r="M564">
        <v>3.84</v>
      </c>
      <c r="N564" s="6">
        <f t="shared" si="8"/>
        <v>20940193947.09</v>
      </c>
    </row>
    <row r="565" spans="1:14" x14ac:dyDescent="0.35">
      <c r="A565" t="s">
        <v>49</v>
      </c>
      <c r="B565" t="s">
        <v>60</v>
      </c>
      <c r="C565">
        <v>2023</v>
      </c>
      <c r="D565" t="s">
        <v>28</v>
      </c>
      <c r="E565">
        <v>79421.070000000007</v>
      </c>
      <c r="F565">
        <v>79.2</v>
      </c>
      <c r="G565">
        <v>250</v>
      </c>
      <c r="H565">
        <v>164</v>
      </c>
      <c r="I565" t="s">
        <v>25</v>
      </c>
      <c r="J565">
        <v>5</v>
      </c>
      <c r="K565" t="s">
        <v>20</v>
      </c>
      <c r="L565">
        <v>120050</v>
      </c>
      <c r="M565">
        <v>3.41</v>
      </c>
      <c r="N565" s="6">
        <f t="shared" si="8"/>
        <v>9534499453.5</v>
      </c>
    </row>
    <row r="566" spans="1:14" x14ac:dyDescent="0.35">
      <c r="A566" t="s">
        <v>49</v>
      </c>
      <c r="B566" t="s">
        <v>50</v>
      </c>
      <c r="C566">
        <v>2023</v>
      </c>
      <c r="D566" t="s">
        <v>28</v>
      </c>
      <c r="E566">
        <v>89541.119999999995</v>
      </c>
      <c r="F566">
        <v>95.4</v>
      </c>
      <c r="G566">
        <v>330</v>
      </c>
      <c r="H566">
        <v>179</v>
      </c>
      <c r="I566" t="s">
        <v>21</v>
      </c>
      <c r="J566">
        <v>5</v>
      </c>
      <c r="K566" t="s">
        <v>20</v>
      </c>
      <c r="L566">
        <v>122583</v>
      </c>
      <c r="M566">
        <v>3.74</v>
      </c>
      <c r="N566" s="6">
        <f t="shared" si="8"/>
        <v>10976219112.959999</v>
      </c>
    </row>
    <row r="567" spans="1:14" x14ac:dyDescent="0.35">
      <c r="A567" t="s">
        <v>64</v>
      </c>
      <c r="B567" t="s">
        <v>70</v>
      </c>
      <c r="C567">
        <v>2023</v>
      </c>
      <c r="D567" t="s">
        <v>38</v>
      </c>
      <c r="E567">
        <v>89086.86</v>
      </c>
      <c r="F567">
        <v>79.5</v>
      </c>
      <c r="G567">
        <v>279</v>
      </c>
      <c r="H567">
        <v>179</v>
      </c>
      <c r="I567" t="s">
        <v>16</v>
      </c>
      <c r="J567">
        <v>4</v>
      </c>
      <c r="K567" t="s">
        <v>20</v>
      </c>
      <c r="L567">
        <v>63501</v>
      </c>
      <c r="M567">
        <v>3.78</v>
      </c>
      <c r="N567" s="6">
        <f t="shared" si="8"/>
        <v>5657104696.8599997</v>
      </c>
    </row>
    <row r="568" spans="1:14" x14ac:dyDescent="0.35">
      <c r="A568" t="s">
        <v>34</v>
      </c>
      <c r="B568" t="s">
        <v>35</v>
      </c>
      <c r="C568">
        <v>2023</v>
      </c>
      <c r="D568" t="s">
        <v>20</v>
      </c>
      <c r="E568">
        <v>111693.41</v>
      </c>
      <c r="F568">
        <v>44.9</v>
      </c>
      <c r="G568">
        <v>154</v>
      </c>
      <c r="H568">
        <v>144</v>
      </c>
      <c r="I568" t="s">
        <v>32</v>
      </c>
      <c r="J568">
        <v>4</v>
      </c>
      <c r="K568" t="s">
        <v>17</v>
      </c>
      <c r="L568">
        <v>72096</v>
      </c>
      <c r="M568">
        <v>3.64</v>
      </c>
      <c r="N568" s="6">
        <f t="shared" si="8"/>
        <v>8052648087.3600006</v>
      </c>
    </row>
    <row r="569" spans="1:14" x14ac:dyDescent="0.35">
      <c r="A569" t="s">
        <v>64</v>
      </c>
      <c r="B569" t="s">
        <v>85</v>
      </c>
      <c r="C569">
        <v>2023</v>
      </c>
      <c r="D569" t="s">
        <v>28</v>
      </c>
      <c r="E569">
        <v>130324.5</v>
      </c>
      <c r="F569">
        <v>105</v>
      </c>
      <c r="G569">
        <v>370</v>
      </c>
      <c r="H569">
        <v>186</v>
      </c>
      <c r="I569" t="s">
        <v>40</v>
      </c>
      <c r="J569">
        <v>5</v>
      </c>
      <c r="K569" t="s">
        <v>17</v>
      </c>
      <c r="L569">
        <v>62481</v>
      </c>
      <c r="M569">
        <v>3.82</v>
      </c>
      <c r="N569" s="6">
        <f t="shared" si="8"/>
        <v>8142805084.5</v>
      </c>
    </row>
    <row r="570" spans="1:14" x14ac:dyDescent="0.35">
      <c r="A570" t="s">
        <v>29</v>
      </c>
      <c r="B570" t="s">
        <v>30</v>
      </c>
      <c r="C570">
        <v>2023</v>
      </c>
      <c r="D570" t="s">
        <v>20</v>
      </c>
      <c r="E570">
        <v>98229.28</v>
      </c>
      <c r="F570">
        <v>82.6</v>
      </c>
      <c r="G570">
        <v>290</v>
      </c>
      <c r="H570">
        <v>142</v>
      </c>
      <c r="I570" t="s">
        <v>40</v>
      </c>
      <c r="J570">
        <v>4</v>
      </c>
      <c r="K570" t="s">
        <v>20</v>
      </c>
      <c r="L570">
        <v>151125</v>
      </c>
      <c r="M570">
        <v>4.05</v>
      </c>
      <c r="N570" s="6">
        <f t="shared" si="8"/>
        <v>14844899940</v>
      </c>
    </row>
    <row r="571" spans="1:14" x14ac:dyDescent="0.35">
      <c r="A571" t="s">
        <v>64</v>
      </c>
      <c r="B571" t="s">
        <v>70</v>
      </c>
      <c r="C571">
        <v>2023</v>
      </c>
      <c r="D571" t="s">
        <v>20</v>
      </c>
      <c r="E571">
        <v>126296.04</v>
      </c>
      <c r="F571">
        <v>69.400000000000006</v>
      </c>
      <c r="G571">
        <v>238</v>
      </c>
      <c r="H571">
        <v>158</v>
      </c>
      <c r="I571" t="s">
        <v>16</v>
      </c>
      <c r="J571">
        <v>4</v>
      </c>
      <c r="K571" t="s">
        <v>17</v>
      </c>
      <c r="L571">
        <v>27018</v>
      </c>
      <c r="M571">
        <v>3.73</v>
      </c>
      <c r="N571" s="6">
        <f t="shared" si="8"/>
        <v>3412266408.7199998</v>
      </c>
    </row>
    <row r="572" spans="1:14" x14ac:dyDescent="0.35">
      <c r="A572" t="s">
        <v>29</v>
      </c>
      <c r="B572" t="s">
        <v>53</v>
      </c>
      <c r="C572">
        <v>2023</v>
      </c>
      <c r="D572" t="s">
        <v>15</v>
      </c>
      <c r="E572">
        <v>182463.57</v>
      </c>
      <c r="F572">
        <v>109.2</v>
      </c>
      <c r="G572">
        <v>389</v>
      </c>
      <c r="H572">
        <v>200</v>
      </c>
      <c r="I572" t="s">
        <v>16</v>
      </c>
      <c r="J572">
        <v>5</v>
      </c>
      <c r="K572" t="s">
        <v>17</v>
      </c>
      <c r="L572">
        <v>202403</v>
      </c>
      <c r="M572">
        <v>3.98</v>
      </c>
      <c r="N572" s="6">
        <f t="shared" si="8"/>
        <v>36931173958.709999</v>
      </c>
    </row>
    <row r="573" spans="1:14" x14ac:dyDescent="0.35">
      <c r="A573" t="s">
        <v>29</v>
      </c>
      <c r="B573" t="s">
        <v>59</v>
      </c>
      <c r="C573">
        <v>2023</v>
      </c>
      <c r="D573" t="s">
        <v>20</v>
      </c>
      <c r="E573">
        <v>43481.03</v>
      </c>
      <c r="F573">
        <v>65.2</v>
      </c>
      <c r="G573">
        <v>217</v>
      </c>
      <c r="H573">
        <v>143</v>
      </c>
      <c r="I573" t="s">
        <v>21</v>
      </c>
      <c r="J573">
        <v>5</v>
      </c>
      <c r="K573" t="s">
        <v>22</v>
      </c>
      <c r="L573">
        <v>134257</v>
      </c>
      <c r="M573">
        <v>3.73</v>
      </c>
      <c r="N573" s="6">
        <f t="shared" si="8"/>
        <v>5837632644.71</v>
      </c>
    </row>
    <row r="574" spans="1:14" x14ac:dyDescent="0.35">
      <c r="A574" t="s">
        <v>45</v>
      </c>
      <c r="B574" t="s">
        <v>48</v>
      </c>
      <c r="C574">
        <v>2023</v>
      </c>
      <c r="D574" t="s">
        <v>38</v>
      </c>
      <c r="E574">
        <v>73542.570000000007</v>
      </c>
      <c r="F574">
        <v>52.6</v>
      </c>
      <c r="G574">
        <v>178</v>
      </c>
      <c r="H574">
        <v>142</v>
      </c>
      <c r="I574" t="s">
        <v>32</v>
      </c>
      <c r="J574">
        <v>5</v>
      </c>
      <c r="K574" t="s">
        <v>20</v>
      </c>
      <c r="L574">
        <v>164917</v>
      </c>
      <c r="M574">
        <v>3</v>
      </c>
      <c r="N574" s="6">
        <f t="shared" si="8"/>
        <v>12128420016.690001</v>
      </c>
    </row>
    <row r="575" spans="1:14" x14ac:dyDescent="0.35">
      <c r="A575" t="s">
        <v>29</v>
      </c>
      <c r="B575" t="s">
        <v>39</v>
      </c>
      <c r="C575">
        <v>2023</v>
      </c>
      <c r="D575" t="s">
        <v>20</v>
      </c>
      <c r="E575">
        <v>51643.69</v>
      </c>
      <c r="F575">
        <v>41.7</v>
      </c>
      <c r="G575">
        <v>150</v>
      </c>
      <c r="H575">
        <v>153</v>
      </c>
      <c r="I575" t="s">
        <v>16</v>
      </c>
      <c r="J575">
        <v>5</v>
      </c>
      <c r="K575" t="s">
        <v>22</v>
      </c>
      <c r="L575">
        <v>247691</v>
      </c>
      <c r="M575">
        <v>3.41</v>
      </c>
      <c r="N575" s="6">
        <f t="shared" si="8"/>
        <v>12791677219.790001</v>
      </c>
    </row>
    <row r="576" spans="1:14" x14ac:dyDescent="0.35">
      <c r="A576" t="s">
        <v>57</v>
      </c>
      <c r="B576" t="s">
        <v>62</v>
      </c>
      <c r="C576">
        <v>2023</v>
      </c>
      <c r="D576" t="s">
        <v>43</v>
      </c>
      <c r="E576">
        <v>53190.35</v>
      </c>
      <c r="F576">
        <v>62.2</v>
      </c>
      <c r="G576">
        <v>200</v>
      </c>
      <c r="H576">
        <v>148</v>
      </c>
      <c r="I576" t="s">
        <v>32</v>
      </c>
      <c r="J576">
        <v>4</v>
      </c>
      <c r="K576" t="s">
        <v>22</v>
      </c>
      <c r="L576">
        <v>73417</v>
      </c>
      <c r="M576">
        <v>3.13</v>
      </c>
      <c r="N576" s="6">
        <f t="shared" si="8"/>
        <v>3905075925.9499998</v>
      </c>
    </row>
    <row r="577" spans="1:14" x14ac:dyDescent="0.35">
      <c r="A577" t="s">
        <v>49</v>
      </c>
      <c r="B577" t="s">
        <v>50</v>
      </c>
      <c r="C577">
        <v>2023</v>
      </c>
      <c r="D577" t="s">
        <v>28</v>
      </c>
      <c r="E577">
        <v>49376.97</v>
      </c>
      <c r="F577">
        <v>105.9</v>
      </c>
      <c r="G577">
        <v>348</v>
      </c>
      <c r="H577">
        <v>175</v>
      </c>
      <c r="I577" t="s">
        <v>32</v>
      </c>
      <c r="J577">
        <v>5</v>
      </c>
      <c r="K577" t="s">
        <v>22</v>
      </c>
      <c r="L577">
        <v>113770</v>
      </c>
      <c r="M577">
        <v>3.51</v>
      </c>
      <c r="N577" s="6">
        <f t="shared" si="8"/>
        <v>5617617876.9000006</v>
      </c>
    </row>
    <row r="578" spans="1:14" x14ac:dyDescent="0.35">
      <c r="A578" t="s">
        <v>41</v>
      </c>
      <c r="B578" t="s">
        <v>92</v>
      </c>
      <c r="C578">
        <v>2023</v>
      </c>
      <c r="D578" t="s">
        <v>38</v>
      </c>
      <c r="E578">
        <v>81514.31</v>
      </c>
      <c r="F578">
        <v>48.1</v>
      </c>
      <c r="G578">
        <v>186</v>
      </c>
      <c r="H578">
        <v>157</v>
      </c>
      <c r="I578" t="s">
        <v>32</v>
      </c>
      <c r="J578">
        <v>4</v>
      </c>
      <c r="K578" t="s">
        <v>20</v>
      </c>
      <c r="L578">
        <v>16427</v>
      </c>
      <c r="M578">
        <v>3.38</v>
      </c>
      <c r="N578" s="6">
        <f t="shared" ref="N578:N641" si="9">E578*L578</f>
        <v>1339035570.3699999</v>
      </c>
    </row>
    <row r="579" spans="1:14" x14ac:dyDescent="0.35">
      <c r="A579" t="s">
        <v>114</v>
      </c>
      <c r="B579" t="s">
        <v>136</v>
      </c>
      <c r="C579">
        <v>2023</v>
      </c>
      <c r="D579" t="s">
        <v>28</v>
      </c>
      <c r="E579">
        <v>77182.19</v>
      </c>
      <c r="F579">
        <v>88.8</v>
      </c>
      <c r="G579">
        <v>337</v>
      </c>
      <c r="H579">
        <v>160</v>
      </c>
      <c r="I579" t="s">
        <v>32</v>
      </c>
      <c r="J579">
        <v>5</v>
      </c>
      <c r="K579" t="s">
        <v>20</v>
      </c>
      <c r="L579">
        <v>5412</v>
      </c>
      <c r="M579">
        <v>3.55</v>
      </c>
      <c r="N579" s="6">
        <f t="shared" si="9"/>
        <v>417710012.28000003</v>
      </c>
    </row>
    <row r="580" spans="1:14" x14ac:dyDescent="0.35">
      <c r="A580" t="s">
        <v>57</v>
      </c>
      <c r="B580" t="s">
        <v>79</v>
      </c>
      <c r="C580">
        <v>2023</v>
      </c>
      <c r="D580" t="s">
        <v>43</v>
      </c>
      <c r="E580">
        <v>38433.81</v>
      </c>
      <c r="F580">
        <v>45.5</v>
      </c>
      <c r="G580">
        <v>152</v>
      </c>
      <c r="H580">
        <v>137</v>
      </c>
      <c r="I580" t="s">
        <v>16</v>
      </c>
      <c r="J580">
        <v>4</v>
      </c>
      <c r="K580" t="s">
        <v>22</v>
      </c>
      <c r="L580">
        <v>31451</v>
      </c>
      <c r="M580">
        <v>3.08</v>
      </c>
      <c r="N580" s="6">
        <f t="shared" si="9"/>
        <v>1208781758.3099999</v>
      </c>
    </row>
    <row r="581" spans="1:14" x14ac:dyDescent="0.35">
      <c r="A581" t="s">
        <v>13</v>
      </c>
      <c r="B581" t="s">
        <v>66</v>
      </c>
      <c r="C581">
        <v>2023</v>
      </c>
      <c r="D581" t="s">
        <v>20</v>
      </c>
      <c r="E581">
        <v>99609.58</v>
      </c>
      <c r="F581">
        <v>83.8</v>
      </c>
      <c r="G581">
        <v>287</v>
      </c>
      <c r="H581">
        <v>141</v>
      </c>
      <c r="I581" t="s">
        <v>33</v>
      </c>
      <c r="J581">
        <v>4</v>
      </c>
      <c r="K581" t="s">
        <v>20</v>
      </c>
      <c r="L581">
        <v>245824</v>
      </c>
      <c r="M581">
        <v>3.56</v>
      </c>
      <c r="N581" s="6">
        <f t="shared" si="9"/>
        <v>24486425393.920002</v>
      </c>
    </row>
    <row r="582" spans="1:14" x14ac:dyDescent="0.35">
      <c r="A582" t="s">
        <v>45</v>
      </c>
      <c r="B582" t="s">
        <v>69</v>
      </c>
      <c r="C582">
        <v>2023</v>
      </c>
      <c r="D582" t="s">
        <v>28</v>
      </c>
      <c r="E582">
        <v>94064.69</v>
      </c>
      <c r="F582">
        <v>95.8</v>
      </c>
      <c r="G582">
        <v>342</v>
      </c>
      <c r="H582">
        <v>180</v>
      </c>
      <c r="I582" t="s">
        <v>32</v>
      </c>
      <c r="J582">
        <v>5</v>
      </c>
      <c r="K582" t="s">
        <v>20</v>
      </c>
      <c r="L582">
        <v>117049</v>
      </c>
      <c r="M582">
        <v>3.64</v>
      </c>
      <c r="N582" s="6">
        <f t="shared" si="9"/>
        <v>11010177899.809999</v>
      </c>
    </row>
    <row r="583" spans="1:14" x14ac:dyDescent="0.35">
      <c r="A583" t="s">
        <v>26</v>
      </c>
      <c r="B583" t="s">
        <v>27</v>
      </c>
      <c r="C583">
        <v>2023</v>
      </c>
      <c r="D583" t="s">
        <v>38</v>
      </c>
      <c r="E583">
        <v>31014.43</v>
      </c>
      <c r="F583">
        <v>43.7</v>
      </c>
      <c r="G583">
        <v>167</v>
      </c>
      <c r="H583">
        <v>149</v>
      </c>
      <c r="I583" t="s">
        <v>21</v>
      </c>
      <c r="J583">
        <v>5</v>
      </c>
      <c r="K583" t="s">
        <v>47</v>
      </c>
      <c r="L583">
        <v>68930</v>
      </c>
      <c r="M583">
        <v>3.05</v>
      </c>
      <c r="N583" s="6">
        <f t="shared" si="9"/>
        <v>2137824659.9000001</v>
      </c>
    </row>
    <row r="584" spans="1:14" x14ac:dyDescent="0.35">
      <c r="A584" t="s">
        <v>23</v>
      </c>
      <c r="B584" t="s">
        <v>37</v>
      </c>
      <c r="C584">
        <v>2023</v>
      </c>
      <c r="D584" t="s">
        <v>43</v>
      </c>
      <c r="E584">
        <v>45534.53</v>
      </c>
      <c r="F584">
        <v>61.3</v>
      </c>
      <c r="G584">
        <v>201</v>
      </c>
      <c r="H584">
        <v>130</v>
      </c>
      <c r="I584" t="s">
        <v>40</v>
      </c>
      <c r="J584">
        <v>5</v>
      </c>
      <c r="K584" t="s">
        <v>22</v>
      </c>
      <c r="L584">
        <v>7422</v>
      </c>
      <c r="M584">
        <v>3.31</v>
      </c>
      <c r="N584" s="6">
        <f t="shared" si="9"/>
        <v>337957281.65999997</v>
      </c>
    </row>
    <row r="585" spans="1:14" x14ac:dyDescent="0.35">
      <c r="A585" t="s">
        <v>23</v>
      </c>
      <c r="B585" t="s">
        <v>37</v>
      </c>
      <c r="C585">
        <v>2023</v>
      </c>
      <c r="D585" t="s">
        <v>38</v>
      </c>
      <c r="E585">
        <v>30572.73</v>
      </c>
      <c r="F585">
        <v>55.2</v>
      </c>
      <c r="G585">
        <v>208</v>
      </c>
      <c r="H585">
        <v>134</v>
      </c>
      <c r="I585" t="s">
        <v>33</v>
      </c>
      <c r="J585">
        <v>4</v>
      </c>
      <c r="K585" t="s">
        <v>47</v>
      </c>
      <c r="L585">
        <v>13459</v>
      </c>
      <c r="M585">
        <v>3.31</v>
      </c>
      <c r="N585" s="6">
        <f t="shared" si="9"/>
        <v>411478373.06999999</v>
      </c>
    </row>
    <row r="586" spans="1:14" x14ac:dyDescent="0.35">
      <c r="A586" t="s">
        <v>29</v>
      </c>
      <c r="B586" t="s">
        <v>39</v>
      </c>
      <c r="C586">
        <v>2023</v>
      </c>
      <c r="D586" t="s">
        <v>38</v>
      </c>
      <c r="E586">
        <v>41460.269999999997</v>
      </c>
      <c r="F586">
        <v>53.8</v>
      </c>
      <c r="G586">
        <v>191</v>
      </c>
      <c r="H586">
        <v>155</v>
      </c>
      <c r="I586" t="s">
        <v>25</v>
      </c>
      <c r="J586">
        <v>4</v>
      </c>
      <c r="K586" t="s">
        <v>22</v>
      </c>
      <c r="L586">
        <v>119951</v>
      </c>
      <c r="M586">
        <v>3.56</v>
      </c>
      <c r="N586" s="6">
        <f t="shared" si="9"/>
        <v>4973200846.7699995</v>
      </c>
    </row>
    <row r="587" spans="1:14" x14ac:dyDescent="0.35">
      <c r="A587" t="s">
        <v>13</v>
      </c>
      <c r="B587" t="s">
        <v>66</v>
      </c>
      <c r="C587">
        <v>2023</v>
      </c>
      <c r="D587" t="s">
        <v>15</v>
      </c>
      <c r="E587">
        <v>70444.740000000005</v>
      </c>
      <c r="F587">
        <v>90.5</v>
      </c>
      <c r="G587">
        <v>338</v>
      </c>
      <c r="H587">
        <v>185</v>
      </c>
      <c r="I587" t="s">
        <v>16</v>
      </c>
      <c r="J587">
        <v>4</v>
      </c>
      <c r="K587" t="s">
        <v>20</v>
      </c>
      <c r="L587">
        <v>214221</v>
      </c>
      <c r="M587">
        <v>3.69</v>
      </c>
      <c r="N587" s="6">
        <f t="shared" si="9"/>
        <v>15090742647.540001</v>
      </c>
    </row>
    <row r="588" spans="1:14" x14ac:dyDescent="0.35">
      <c r="A588" t="s">
        <v>67</v>
      </c>
      <c r="B588" t="s">
        <v>98</v>
      </c>
      <c r="C588">
        <v>2023</v>
      </c>
      <c r="D588" t="s">
        <v>38</v>
      </c>
      <c r="E588">
        <v>48523.32</v>
      </c>
      <c r="F588">
        <v>82.6</v>
      </c>
      <c r="G588">
        <v>283</v>
      </c>
      <c r="H588">
        <v>137</v>
      </c>
      <c r="I588" t="s">
        <v>21</v>
      </c>
      <c r="J588">
        <v>5</v>
      </c>
      <c r="K588" t="s">
        <v>22</v>
      </c>
      <c r="L588">
        <v>57366</v>
      </c>
      <c r="M588">
        <v>3.57</v>
      </c>
      <c r="N588" s="6">
        <f t="shared" si="9"/>
        <v>2783588775.1199999</v>
      </c>
    </row>
    <row r="589" spans="1:14" x14ac:dyDescent="0.35">
      <c r="A589" t="s">
        <v>13</v>
      </c>
      <c r="B589" t="s">
        <v>66</v>
      </c>
      <c r="C589">
        <v>2023</v>
      </c>
      <c r="D589" t="s">
        <v>20</v>
      </c>
      <c r="E589">
        <v>57817.4</v>
      </c>
      <c r="F589">
        <v>40.4</v>
      </c>
      <c r="G589">
        <v>167</v>
      </c>
      <c r="H589">
        <v>156</v>
      </c>
      <c r="I589" t="s">
        <v>16</v>
      </c>
      <c r="J589">
        <v>5</v>
      </c>
      <c r="K589" t="s">
        <v>22</v>
      </c>
      <c r="L589">
        <v>227778</v>
      </c>
      <c r="M589">
        <v>3.41</v>
      </c>
      <c r="N589" s="6">
        <f t="shared" si="9"/>
        <v>13169531737.200001</v>
      </c>
    </row>
    <row r="590" spans="1:14" x14ac:dyDescent="0.35">
      <c r="A590" t="s">
        <v>67</v>
      </c>
      <c r="B590" t="s">
        <v>89</v>
      </c>
      <c r="C590">
        <v>2023</v>
      </c>
      <c r="D590" t="s">
        <v>28</v>
      </c>
      <c r="E590">
        <v>82135.990000000005</v>
      </c>
      <c r="F590">
        <v>78.3</v>
      </c>
      <c r="G590">
        <v>272</v>
      </c>
      <c r="H590">
        <v>170</v>
      </c>
      <c r="I590" t="s">
        <v>40</v>
      </c>
      <c r="J590">
        <v>4</v>
      </c>
      <c r="K590" t="s">
        <v>20</v>
      </c>
      <c r="L590">
        <v>56851</v>
      </c>
      <c r="M590">
        <v>3.65</v>
      </c>
      <c r="N590" s="6">
        <f t="shared" si="9"/>
        <v>4669513167.4900007</v>
      </c>
    </row>
    <row r="591" spans="1:14" x14ac:dyDescent="0.35">
      <c r="A591" t="s">
        <v>34</v>
      </c>
      <c r="B591" t="s">
        <v>106</v>
      </c>
      <c r="C591">
        <v>2023</v>
      </c>
      <c r="D591" t="s">
        <v>43</v>
      </c>
      <c r="E591">
        <v>112177.54</v>
      </c>
      <c r="F591">
        <v>67.5</v>
      </c>
      <c r="G591">
        <v>236</v>
      </c>
      <c r="H591">
        <v>128</v>
      </c>
      <c r="I591" t="s">
        <v>25</v>
      </c>
      <c r="J591">
        <v>4</v>
      </c>
      <c r="K591" t="s">
        <v>17</v>
      </c>
      <c r="L591">
        <v>38676</v>
      </c>
      <c r="M591">
        <v>3.75</v>
      </c>
      <c r="N591" s="6">
        <f t="shared" si="9"/>
        <v>4338578537.04</v>
      </c>
    </row>
    <row r="592" spans="1:14" x14ac:dyDescent="0.35">
      <c r="A592" t="s">
        <v>49</v>
      </c>
      <c r="B592" t="s">
        <v>90</v>
      </c>
      <c r="C592">
        <v>2023</v>
      </c>
      <c r="D592" t="s">
        <v>43</v>
      </c>
      <c r="E592">
        <v>33062.26</v>
      </c>
      <c r="F592">
        <v>78.5</v>
      </c>
      <c r="G592">
        <v>266</v>
      </c>
      <c r="H592">
        <v>128</v>
      </c>
      <c r="I592" t="s">
        <v>25</v>
      </c>
      <c r="J592">
        <v>5</v>
      </c>
      <c r="K592" t="s">
        <v>47</v>
      </c>
      <c r="L592">
        <v>88310</v>
      </c>
      <c r="M592">
        <v>3.39</v>
      </c>
      <c r="N592" s="6">
        <f t="shared" si="9"/>
        <v>2919728180.6000004</v>
      </c>
    </row>
    <row r="593" spans="1:14" x14ac:dyDescent="0.35">
      <c r="A593" t="s">
        <v>13</v>
      </c>
      <c r="B593" t="s">
        <v>14</v>
      </c>
      <c r="C593">
        <v>2023</v>
      </c>
      <c r="D593" t="s">
        <v>15</v>
      </c>
      <c r="E593">
        <v>110994.9</v>
      </c>
      <c r="F593">
        <v>76.8</v>
      </c>
      <c r="G593">
        <v>250</v>
      </c>
      <c r="H593">
        <v>198</v>
      </c>
      <c r="I593" t="s">
        <v>21</v>
      </c>
      <c r="J593">
        <v>5</v>
      </c>
      <c r="K593" t="s">
        <v>17</v>
      </c>
      <c r="L593">
        <v>225518</v>
      </c>
      <c r="M593">
        <v>3.24</v>
      </c>
      <c r="N593" s="6">
        <f t="shared" si="9"/>
        <v>25031347858.199997</v>
      </c>
    </row>
    <row r="594" spans="1:14" x14ac:dyDescent="0.35">
      <c r="A594" t="s">
        <v>23</v>
      </c>
      <c r="B594" t="s">
        <v>99</v>
      </c>
      <c r="C594">
        <v>2023</v>
      </c>
      <c r="D594" t="s">
        <v>15</v>
      </c>
      <c r="E594">
        <v>95648.05</v>
      </c>
      <c r="F594">
        <v>112.2</v>
      </c>
      <c r="G594">
        <v>409</v>
      </c>
      <c r="H594">
        <v>200</v>
      </c>
      <c r="I594" t="s">
        <v>16</v>
      </c>
      <c r="J594">
        <v>4</v>
      </c>
      <c r="K594" t="s">
        <v>20</v>
      </c>
      <c r="L594">
        <v>20948</v>
      </c>
      <c r="M594">
        <v>3.66</v>
      </c>
      <c r="N594" s="6">
        <f t="shared" si="9"/>
        <v>2003635351.4000001</v>
      </c>
    </row>
    <row r="595" spans="1:14" x14ac:dyDescent="0.35">
      <c r="A595" t="s">
        <v>13</v>
      </c>
      <c r="B595" t="s">
        <v>56</v>
      </c>
      <c r="C595">
        <v>2023</v>
      </c>
      <c r="D595" t="s">
        <v>38</v>
      </c>
      <c r="E595">
        <v>44658.67</v>
      </c>
      <c r="F595">
        <v>73.2</v>
      </c>
      <c r="G595">
        <v>219</v>
      </c>
      <c r="H595">
        <v>140</v>
      </c>
      <c r="I595" t="s">
        <v>40</v>
      </c>
      <c r="J595">
        <v>5</v>
      </c>
      <c r="K595" t="s">
        <v>22</v>
      </c>
      <c r="L595">
        <v>256210</v>
      </c>
      <c r="M595">
        <v>3.39</v>
      </c>
      <c r="N595" s="6">
        <f t="shared" si="9"/>
        <v>11441997840.699999</v>
      </c>
    </row>
    <row r="596" spans="1:14" x14ac:dyDescent="0.35">
      <c r="A596" t="s">
        <v>13</v>
      </c>
      <c r="B596" t="s">
        <v>51</v>
      </c>
      <c r="C596">
        <v>2023</v>
      </c>
      <c r="D596" t="s">
        <v>28</v>
      </c>
      <c r="E596">
        <v>78653.83</v>
      </c>
      <c r="F596">
        <v>94.4</v>
      </c>
      <c r="G596">
        <v>350</v>
      </c>
      <c r="H596">
        <v>189</v>
      </c>
      <c r="I596" t="s">
        <v>33</v>
      </c>
      <c r="J596">
        <v>5</v>
      </c>
      <c r="K596" t="s">
        <v>20</v>
      </c>
      <c r="L596">
        <v>204287</v>
      </c>
      <c r="M596">
        <v>3.97</v>
      </c>
      <c r="N596" s="6">
        <f t="shared" si="9"/>
        <v>16067954969.210001</v>
      </c>
    </row>
    <row r="597" spans="1:14" x14ac:dyDescent="0.35">
      <c r="A597" t="s">
        <v>45</v>
      </c>
      <c r="B597" t="s">
        <v>63</v>
      </c>
      <c r="C597">
        <v>2023</v>
      </c>
      <c r="D597" t="s">
        <v>43</v>
      </c>
      <c r="E597">
        <v>74284.45</v>
      </c>
      <c r="F597">
        <v>84.2</v>
      </c>
      <c r="G597">
        <v>286</v>
      </c>
      <c r="H597">
        <v>162</v>
      </c>
      <c r="I597" t="s">
        <v>16</v>
      </c>
      <c r="J597">
        <v>5</v>
      </c>
      <c r="K597" t="s">
        <v>20</v>
      </c>
      <c r="L597">
        <v>128075</v>
      </c>
      <c r="M597">
        <v>3.77</v>
      </c>
      <c r="N597" s="6">
        <f t="shared" si="9"/>
        <v>9513980933.75</v>
      </c>
    </row>
    <row r="598" spans="1:14" x14ac:dyDescent="0.35">
      <c r="A598" t="s">
        <v>45</v>
      </c>
      <c r="B598" t="s">
        <v>46</v>
      </c>
      <c r="C598">
        <v>2023</v>
      </c>
      <c r="D598" t="s">
        <v>20</v>
      </c>
      <c r="E598">
        <v>109450.6</v>
      </c>
      <c r="F598">
        <v>64.2</v>
      </c>
      <c r="G598">
        <v>232</v>
      </c>
      <c r="H598">
        <v>143</v>
      </c>
      <c r="I598" t="s">
        <v>40</v>
      </c>
      <c r="J598">
        <v>5</v>
      </c>
      <c r="K598" t="s">
        <v>17</v>
      </c>
      <c r="L598">
        <v>128508</v>
      </c>
      <c r="M598">
        <v>3.59</v>
      </c>
      <c r="N598" s="6">
        <f t="shared" si="9"/>
        <v>14065277704.800001</v>
      </c>
    </row>
    <row r="599" spans="1:14" x14ac:dyDescent="0.35">
      <c r="A599" t="s">
        <v>29</v>
      </c>
      <c r="B599" t="s">
        <v>59</v>
      </c>
      <c r="C599">
        <v>2023</v>
      </c>
      <c r="D599" t="s">
        <v>15</v>
      </c>
      <c r="E599">
        <v>164467.67000000001</v>
      </c>
      <c r="F599">
        <v>113.9</v>
      </c>
      <c r="G599">
        <v>371</v>
      </c>
      <c r="H599">
        <v>200</v>
      </c>
      <c r="I599" t="s">
        <v>25</v>
      </c>
      <c r="J599">
        <v>5</v>
      </c>
      <c r="K599" t="s">
        <v>17</v>
      </c>
      <c r="L599">
        <v>146842</v>
      </c>
      <c r="M599">
        <v>3.92</v>
      </c>
      <c r="N599" s="6">
        <f t="shared" si="9"/>
        <v>24150761598.140003</v>
      </c>
    </row>
    <row r="600" spans="1:14" x14ac:dyDescent="0.35">
      <c r="A600" t="s">
        <v>49</v>
      </c>
      <c r="B600" t="s">
        <v>87</v>
      </c>
      <c r="C600">
        <v>2023</v>
      </c>
      <c r="D600" t="s">
        <v>43</v>
      </c>
      <c r="E600">
        <v>55335.519999999997</v>
      </c>
      <c r="F600">
        <v>51.9</v>
      </c>
      <c r="G600">
        <v>156</v>
      </c>
      <c r="H600">
        <v>176</v>
      </c>
      <c r="I600" t="s">
        <v>25</v>
      </c>
      <c r="J600">
        <v>3</v>
      </c>
      <c r="K600" t="s">
        <v>22</v>
      </c>
      <c r="L600">
        <v>84896</v>
      </c>
      <c r="M600">
        <v>3.28</v>
      </c>
      <c r="N600" s="6">
        <f t="shared" si="9"/>
        <v>4697764305.9200001</v>
      </c>
    </row>
    <row r="601" spans="1:14" x14ac:dyDescent="0.35">
      <c r="A601" t="s">
        <v>49</v>
      </c>
      <c r="B601" t="s">
        <v>87</v>
      </c>
      <c r="C601">
        <v>2023</v>
      </c>
      <c r="D601" t="s">
        <v>28</v>
      </c>
      <c r="E601">
        <v>41738.1</v>
      </c>
      <c r="F601">
        <v>88.1</v>
      </c>
      <c r="G601">
        <v>330</v>
      </c>
      <c r="H601">
        <v>167</v>
      </c>
      <c r="I601" t="s">
        <v>32</v>
      </c>
      <c r="J601">
        <v>5</v>
      </c>
      <c r="K601" t="s">
        <v>22</v>
      </c>
      <c r="L601">
        <v>92151</v>
      </c>
      <c r="M601">
        <v>3.69</v>
      </c>
      <c r="N601" s="6">
        <f t="shared" si="9"/>
        <v>3846207653.0999999</v>
      </c>
    </row>
    <row r="602" spans="1:14" x14ac:dyDescent="0.35">
      <c r="A602" t="s">
        <v>64</v>
      </c>
      <c r="B602" t="s">
        <v>70</v>
      </c>
      <c r="C602">
        <v>2023</v>
      </c>
      <c r="D602" t="s">
        <v>28</v>
      </c>
      <c r="E602">
        <v>122665.71</v>
      </c>
      <c r="F602">
        <v>102.1</v>
      </c>
      <c r="G602">
        <v>360</v>
      </c>
      <c r="H602">
        <v>190</v>
      </c>
      <c r="I602" t="s">
        <v>32</v>
      </c>
      <c r="J602">
        <v>5</v>
      </c>
      <c r="K602" t="s">
        <v>17</v>
      </c>
      <c r="L602">
        <v>66187</v>
      </c>
      <c r="M602">
        <v>3.78</v>
      </c>
      <c r="N602" s="6">
        <f t="shared" si="9"/>
        <v>8118875347.7700005</v>
      </c>
    </row>
    <row r="603" spans="1:14" x14ac:dyDescent="0.35">
      <c r="A603" t="s">
        <v>23</v>
      </c>
      <c r="B603" t="s">
        <v>24</v>
      </c>
      <c r="C603">
        <v>2024</v>
      </c>
      <c r="D603" t="s">
        <v>20</v>
      </c>
      <c r="E603">
        <v>49651.12</v>
      </c>
      <c r="F603">
        <v>58.2</v>
      </c>
      <c r="G603">
        <v>225</v>
      </c>
      <c r="H603">
        <v>148</v>
      </c>
      <c r="I603" t="s">
        <v>25</v>
      </c>
      <c r="J603">
        <v>4</v>
      </c>
      <c r="K603" t="s">
        <v>22</v>
      </c>
      <c r="L603">
        <v>16590</v>
      </c>
      <c r="M603">
        <v>3.7</v>
      </c>
      <c r="N603" s="6">
        <f t="shared" si="9"/>
        <v>823712080.80000007</v>
      </c>
    </row>
    <row r="604" spans="1:14" x14ac:dyDescent="0.35">
      <c r="A604" t="s">
        <v>26</v>
      </c>
      <c r="B604" t="s">
        <v>27</v>
      </c>
      <c r="C604">
        <v>2024</v>
      </c>
      <c r="D604" t="s">
        <v>28</v>
      </c>
      <c r="E604">
        <v>38131.56</v>
      </c>
      <c r="F604">
        <v>102.5</v>
      </c>
      <c r="G604">
        <v>349</v>
      </c>
      <c r="H604">
        <v>176</v>
      </c>
      <c r="I604" t="s">
        <v>21</v>
      </c>
      <c r="J604">
        <v>4</v>
      </c>
      <c r="K604" t="s">
        <v>22</v>
      </c>
      <c r="L604">
        <v>127201</v>
      </c>
      <c r="M604">
        <v>3.81</v>
      </c>
      <c r="N604" s="6">
        <f t="shared" si="9"/>
        <v>4850372563.5599995</v>
      </c>
    </row>
    <row r="605" spans="1:14" x14ac:dyDescent="0.35">
      <c r="A605" t="s">
        <v>29</v>
      </c>
      <c r="B605" t="s">
        <v>30</v>
      </c>
      <c r="C605">
        <v>2024</v>
      </c>
      <c r="D605" t="s">
        <v>20</v>
      </c>
      <c r="E605">
        <v>128427.66</v>
      </c>
      <c r="F605">
        <v>68.599999999999994</v>
      </c>
      <c r="G605">
        <v>222</v>
      </c>
      <c r="H605">
        <v>149</v>
      </c>
      <c r="I605" t="s">
        <v>33</v>
      </c>
      <c r="J605">
        <v>5</v>
      </c>
      <c r="K605" t="s">
        <v>17</v>
      </c>
      <c r="L605">
        <v>213937</v>
      </c>
      <c r="M605">
        <v>3.54</v>
      </c>
      <c r="N605" s="6">
        <f t="shared" si="9"/>
        <v>27475428297.420002</v>
      </c>
    </row>
    <row r="606" spans="1:14" x14ac:dyDescent="0.35">
      <c r="A606" t="s">
        <v>29</v>
      </c>
      <c r="B606" t="s">
        <v>30</v>
      </c>
      <c r="C606">
        <v>2024</v>
      </c>
      <c r="D606" t="s">
        <v>20</v>
      </c>
      <c r="E606">
        <v>95912.83</v>
      </c>
      <c r="F606">
        <v>49.8</v>
      </c>
      <c r="G606">
        <v>167</v>
      </c>
      <c r="H606">
        <v>138</v>
      </c>
      <c r="I606" t="s">
        <v>40</v>
      </c>
      <c r="J606">
        <v>4</v>
      </c>
      <c r="K606" t="s">
        <v>20</v>
      </c>
      <c r="L606">
        <v>124780</v>
      </c>
      <c r="M606">
        <v>3.56</v>
      </c>
      <c r="N606" s="6">
        <f t="shared" si="9"/>
        <v>11968002927.4</v>
      </c>
    </row>
    <row r="607" spans="1:14" x14ac:dyDescent="0.35">
      <c r="A607" t="s">
        <v>29</v>
      </c>
      <c r="B607" t="s">
        <v>39</v>
      </c>
      <c r="C607">
        <v>2024</v>
      </c>
      <c r="D607" t="s">
        <v>20</v>
      </c>
      <c r="E607">
        <v>134964.13</v>
      </c>
      <c r="F607">
        <v>67.400000000000006</v>
      </c>
      <c r="G607">
        <v>250</v>
      </c>
      <c r="H607">
        <v>135</v>
      </c>
      <c r="I607" t="s">
        <v>25</v>
      </c>
      <c r="J607">
        <v>5</v>
      </c>
      <c r="K607" t="s">
        <v>17</v>
      </c>
      <c r="L607">
        <v>235048</v>
      </c>
      <c r="M607">
        <v>3.81</v>
      </c>
      <c r="N607" s="6">
        <f t="shared" si="9"/>
        <v>31723048828.240002</v>
      </c>
    </row>
    <row r="608" spans="1:14" x14ac:dyDescent="0.35">
      <c r="A608" t="s">
        <v>45</v>
      </c>
      <c r="B608" t="s">
        <v>48</v>
      </c>
      <c r="C608">
        <v>2024</v>
      </c>
      <c r="D608" t="s">
        <v>43</v>
      </c>
      <c r="E608">
        <v>64427.02</v>
      </c>
      <c r="F608">
        <v>70.5</v>
      </c>
      <c r="G608">
        <v>265</v>
      </c>
      <c r="H608">
        <v>138</v>
      </c>
      <c r="I608" t="s">
        <v>16</v>
      </c>
      <c r="J608">
        <v>5</v>
      </c>
      <c r="K608" t="s">
        <v>22</v>
      </c>
      <c r="L608">
        <v>204232</v>
      </c>
      <c r="M608">
        <v>3.52</v>
      </c>
      <c r="N608" s="6">
        <f t="shared" si="9"/>
        <v>13158059148.639999</v>
      </c>
    </row>
    <row r="609" spans="1:14" x14ac:dyDescent="0.35">
      <c r="A609" t="s">
        <v>49</v>
      </c>
      <c r="B609" t="s">
        <v>50</v>
      </c>
      <c r="C609">
        <v>2024</v>
      </c>
      <c r="D609" t="s">
        <v>20</v>
      </c>
      <c r="E609">
        <v>63139.95</v>
      </c>
      <c r="F609">
        <v>81</v>
      </c>
      <c r="G609">
        <v>275</v>
      </c>
      <c r="H609">
        <v>141</v>
      </c>
      <c r="I609" t="s">
        <v>33</v>
      </c>
      <c r="J609">
        <v>4</v>
      </c>
      <c r="K609" t="s">
        <v>22</v>
      </c>
      <c r="L609">
        <v>132242</v>
      </c>
      <c r="M609">
        <v>3.43</v>
      </c>
      <c r="N609" s="6">
        <f t="shared" si="9"/>
        <v>8349753267.8999996</v>
      </c>
    </row>
    <row r="610" spans="1:14" x14ac:dyDescent="0.35">
      <c r="A610" t="s">
        <v>13</v>
      </c>
      <c r="B610" t="s">
        <v>51</v>
      </c>
      <c r="C610">
        <v>2024</v>
      </c>
      <c r="D610" t="s">
        <v>28</v>
      </c>
      <c r="E610">
        <v>77030</v>
      </c>
      <c r="F610">
        <v>88</v>
      </c>
      <c r="G610">
        <v>332</v>
      </c>
      <c r="H610">
        <v>183</v>
      </c>
      <c r="I610" t="s">
        <v>40</v>
      </c>
      <c r="J610">
        <v>4</v>
      </c>
      <c r="K610" t="s">
        <v>20</v>
      </c>
      <c r="L610">
        <v>238587</v>
      </c>
      <c r="M610">
        <v>3.37</v>
      </c>
      <c r="N610" s="6">
        <f t="shared" si="9"/>
        <v>18378356610</v>
      </c>
    </row>
    <row r="611" spans="1:14" x14ac:dyDescent="0.35">
      <c r="A611" t="s">
        <v>45</v>
      </c>
      <c r="B611" t="s">
        <v>48</v>
      </c>
      <c r="C611">
        <v>2024</v>
      </c>
      <c r="D611" t="s">
        <v>20</v>
      </c>
      <c r="E611">
        <v>72336.67</v>
      </c>
      <c r="F611">
        <v>77.900000000000006</v>
      </c>
      <c r="G611">
        <v>295</v>
      </c>
      <c r="H611">
        <v>178</v>
      </c>
      <c r="I611" t="s">
        <v>25</v>
      </c>
      <c r="J611">
        <v>3</v>
      </c>
      <c r="K611" t="s">
        <v>20</v>
      </c>
      <c r="L611">
        <v>168778</v>
      </c>
      <c r="M611">
        <v>3.53</v>
      </c>
      <c r="N611" s="6">
        <f t="shared" si="9"/>
        <v>12208838489.26</v>
      </c>
    </row>
    <row r="612" spans="1:14" x14ac:dyDescent="0.35">
      <c r="A612" t="s">
        <v>45</v>
      </c>
      <c r="B612" t="s">
        <v>54</v>
      </c>
      <c r="C612">
        <v>2024</v>
      </c>
      <c r="D612" t="s">
        <v>15</v>
      </c>
      <c r="E612">
        <v>114839.62</v>
      </c>
      <c r="F612">
        <v>76.599999999999994</v>
      </c>
      <c r="G612">
        <v>293</v>
      </c>
      <c r="H612">
        <v>200</v>
      </c>
      <c r="I612" t="s">
        <v>21</v>
      </c>
      <c r="J612">
        <v>5</v>
      </c>
      <c r="K612" t="s">
        <v>17</v>
      </c>
      <c r="L612">
        <v>229532</v>
      </c>
      <c r="M612">
        <v>3.41</v>
      </c>
      <c r="N612" s="6">
        <f t="shared" si="9"/>
        <v>26359367657.84</v>
      </c>
    </row>
    <row r="613" spans="1:14" x14ac:dyDescent="0.35">
      <c r="A613" t="s">
        <v>13</v>
      </c>
      <c r="B613" t="s">
        <v>55</v>
      </c>
      <c r="C613">
        <v>2024</v>
      </c>
      <c r="D613" t="s">
        <v>28</v>
      </c>
      <c r="E613">
        <v>51142.17</v>
      </c>
      <c r="F613">
        <v>101.7</v>
      </c>
      <c r="G613">
        <v>359</v>
      </c>
      <c r="H613">
        <v>161</v>
      </c>
      <c r="I613" t="s">
        <v>33</v>
      </c>
      <c r="J613">
        <v>4</v>
      </c>
      <c r="K613" t="s">
        <v>22</v>
      </c>
      <c r="L613">
        <v>203079</v>
      </c>
      <c r="M613">
        <v>3.64</v>
      </c>
      <c r="N613" s="6">
        <f t="shared" si="9"/>
        <v>10385900741.43</v>
      </c>
    </row>
    <row r="614" spans="1:14" x14ac:dyDescent="0.35">
      <c r="A614" t="s">
        <v>26</v>
      </c>
      <c r="B614" t="s">
        <v>61</v>
      </c>
      <c r="C614">
        <v>2024</v>
      </c>
      <c r="D614" t="s">
        <v>43</v>
      </c>
      <c r="E614">
        <v>66876.75</v>
      </c>
      <c r="F614">
        <v>66.7</v>
      </c>
      <c r="G614">
        <v>236</v>
      </c>
      <c r="H614">
        <v>164</v>
      </c>
      <c r="I614" t="s">
        <v>21</v>
      </c>
      <c r="J614">
        <v>4</v>
      </c>
      <c r="K614" t="s">
        <v>20</v>
      </c>
      <c r="L614">
        <v>117514</v>
      </c>
      <c r="M614">
        <v>3.53</v>
      </c>
      <c r="N614" s="6">
        <f t="shared" si="9"/>
        <v>7858954399.5</v>
      </c>
    </row>
    <row r="615" spans="1:14" x14ac:dyDescent="0.35">
      <c r="A615" t="s">
        <v>26</v>
      </c>
      <c r="B615" t="s">
        <v>36</v>
      </c>
      <c r="C615">
        <v>2024</v>
      </c>
      <c r="D615" t="s">
        <v>15</v>
      </c>
      <c r="E615">
        <v>105946.66</v>
      </c>
      <c r="F615">
        <v>79.3</v>
      </c>
      <c r="G615">
        <v>245</v>
      </c>
      <c r="H615">
        <v>200</v>
      </c>
      <c r="I615" t="s">
        <v>33</v>
      </c>
      <c r="J615">
        <v>4</v>
      </c>
      <c r="K615" t="s">
        <v>17</v>
      </c>
      <c r="L615">
        <v>147459</v>
      </c>
      <c r="M615">
        <v>3.43</v>
      </c>
      <c r="N615" s="6">
        <f t="shared" si="9"/>
        <v>15622788536.940001</v>
      </c>
    </row>
    <row r="616" spans="1:14" x14ac:dyDescent="0.35">
      <c r="A616" t="s">
        <v>29</v>
      </c>
      <c r="B616" t="s">
        <v>53</v>
      </c>
      <c r="C616">
        <v>2024</v>
      </c>
      <c r="D616" t="s">
        <v>15</v>
      </c>
      <c r="E616">
        <v>42827.24</v>
      </c>
      <c r="F616">
        <v>89.9</v>
      </c>
      <c r="G616">
        <v>311</v>
      </c>
      <c r="H616">
        <v>200</v>
      </c>
      <c r="I616" t="s">
        <v>16</v>
      </c>
      <c r="J616">
        <v>4</v>
      </c>
      <c r="K616" t="s">
        <v>22</v>
      </c>
      <c r="L616">
        <v>133489</v>
      </c>
      <c r="M616">
        <v>3.82</v>
      </c>
      <c r="N616" s="6">
        <f t="shared" si="9"/>
        <v>5716965440.3599997</v>
      </c>
    </row>
    <row r="617" spans="1:14" x14ac:dyDescent="0.35">
      <c r="A617" t="s">
        <v>29</v>
      </c>
      <c r="B617" t="s">
        <v>53</v>
      </c>
      <c r="C617">
        <v>2024</v>
      </c>
      <c r="D617" t="s">
        <v>43</v>
      </c>
      <c r="E617">
        <v>121805.3</v>
      </c>
      <c r="F617">
        <v>58.9</v>
      </c>
      <c r="G617">
        <v>204</v>
      </c>
      <c r="H617">
        <v>173</v>
      </c>
      <c r="I617" t="s">
        <v>16</v>
      </c>
      <c r="J617">
        <v>4</v>
      </c>
      <c r="K617" t="s">
        <v>17</v>
      </c>
      <c r="L617">
        <v>225373</v>
      </c>
      <c r="M617">
        <v>3.75</v>
      </c>
      <c r="N617" s="6">
        <f t="shared" si="9"/>
        <v>27451625876.900002</v>
      </c>
    </row>
    <row r="618" spans="1:14" x14ac:dyDescent="0.35">
      <c r="A618" t="s">
        <v>29</v>
      </c>
      <c r="B618" t="s">
        <v>59</v>
      </c>
      <c r="C618">
        <v>2024</v>
      </c>
      <c r="D618" t="s">
        <v>28</v>
      </c>
      <c r="E618">
        <v>117517.98</v>
      </c>
      <c r="F618">
        <v>101</v>
      </c>
      <c r="G618">
        <v>350</v>
      </c>
      <c r="H618">
        <v>186</v>
      </c>
      <c r="I618" t="s">
        <v>16</v>
      </c>
      <c r="J618">
        <v>5</v>
      </c>
      <c r="K618" t="s">
        <v>17</v>
      </c>
      <c r="L618">
        <v>122440</v>
      </c>
      <c r="M618">
        <v>3.96</v>
      </c>
      <c r="N618" s="6">
        <f t="shared" si="9"/>
        <v>14388901471.199999</v>
      </c>
    </row>
    <row r="619" spans="1:14" x14ac:dyDescent="0.35">
      <c r="A619" t="s">
        <v>45</v>
      </c>
      <c r="B619" t="s">
        <v>69</v>
      </c>
      <c r="C619">
        <v>2024</v>
      </c>
      <c r="D619" t="s">
        <v>38</v>
      </c>
      <c r="E619">
        <v>24029.61</v>
      </c>
      <c r="F619">
        <v>45.6</v>
      </c>
      <c r="G619">
        <v>153</v>
      </c>
      <c r="H619">
        <v>177</v>
      </c>
      <c r="I619" t="s">
        <v>40</v>
      </c>
      <c r="J619">
        <v>5</v>
      </c>
      <c r="K619" t="s">
        <v>47</v>
      </c>
      <c r="L619">
        <v>157077</v>
      </c>
      <c r="M619">
        <v>3.46</v>
      </c>
      <c r="N619" s="6">
        <f t="shared" si="9"/>
        <v>3774499049.9700003</v>
      </c>
    </row>
    <row r="620" spans="1:14" x14ac:dyDescent="0.35">
      <c r="A620" t="s">
        <v>64</v>
      </c>
      <c r="B620" t="s">
        <v>70</v>
      </c>
      <c r="C620">
        <v>2024</v>
      </c>
      <c r="D620" t="s">
        <v>28</v>
      </c>
      <c r="E620">
        <v>120387.4</v>
      </c>
      <c r="F620">
        <v>79.400000000000006</v>
      </c>
      <c r="G620">
        <v>285</v>
      </c>
      <c r="H620">
        <v>193</v>
      </c>
      <c r="I620" t="s">
        <v>16</v>
      </c>
      <c r="J620">
        <v>4</v>
      </c>
      <c r="K620" t="s">
        <v>17</v>
      </c>
      <c r="L620">
        <v>62864</v>
      </c>
      <c r="M620">
        <v>3.27</v>
      </c>
      <c r="N620" s="6">
        <f t="shared" si="9"/>
        <v>7568033513.5999994</v>
      </c>
    </row>
    <row r="621" spans="1:14" x14ac:dyDescent="0.35">
      <c r="A621" t="s">
        <v>26</v>
      </c>
      <c r="B621" t="s">
        <v>27</v>
      </c>
      <c r="C621">
        <v>2024</v>
      </c>
      <c r="D621" t="s">
        <v>28</v>
      </c>
      <c r="E621">
        <v>95244.75</v>
      </c>
      <c r="F621">
        <v>77.2</v>
      </c>
      <c r="G621">
        <v>262</v>
      </c>
      <c r="H621">
        <v>194</v>
      </c>
      <c r="I621" t="s">
        <v>21</v>
      </c>
      <c r="J621">
        <v>4</v>
      </c>
      <c r="K621" t="s">
        <v>20</v>
      </c>
      <c r="L621">
        <v>76023</v>
      </c>
      <c r="M621">
        <v>3.44</v>
      </c>
      <c r="N621" s="6">
        <f t="shared" si="9"/>
        <v>7240791629.25</v>
      </c>
    </row>
    <row r="622" spans="1:14" x14ac:dyDescent="0.35">
      <c r="A622" t="s">
        <v>75</v>
      </c>
      <c r="B622" t="s">
        <v>76</v>
      </c>
      <c r="C622">
        <v>2024</v>
      </c>
      <c r="D622" t="s">
        <v>38</v>
      </c>
      <c r="E622">
        <v>66816.36</v>
      </c>
      <c r="F622">
        <v>69.900000000000006</v>
      </c>
      <c r="G622">
        <v>247</v>
      </c>
      <c r="H622">
        <v>171</v>
      </c>
      <c r="I622" t="s">
        <v>40</v>
      </c>
      <c r="J622">
        <v>5</v>
      </c>
      <c r="K622" t="s">
        <v>20</v>
      </c>
      <c r="L622">
        <v>27456</v>
      </c>
      <c r="M622">
        <v>3.39</v>
      </c>
      <c r="N622" s="6">
        <f t="shared" si="9"/>
        <v>1834509980.1600001</v>
      </c>
    </row>
    <row r="623" spans="1:14" x14ac:dyDescent="0.35">
      <c r="A623" t="s">
        <v>13</v>
      </c>
      <c r="B623" t="s">
        <v>56</v>
      </c>
      <c r="C623">
        <v>2024</v>
      </c>
      <c r="D623" t="s">
        <v>28</v>
      </c>
      <c r="E623">
        <v>42431.05</v>
      </c>
      <c r="F623">
        <v>88.6</v>
      </c>
      <c r="G623">
        <v>306</v>
      </c>
      <c r="H623">
        <v>166</v>
      </c>
      <c r="I623" t="s">
        <v>33</v>
      </c>
      <c r="J623">
        <v>3</v>
      </c>
      <c r="K623" t="s">
        <v>22</v>
      </c>
      <c r="L623">
        <v>260840</v>
      </c>
      <c r="M623">
        <v>3.53</v>
      </c>
      <c r="N623" s="6">
        <f t="shared" si="9"/>
        <v>11067715082</v>
      </c>
    </row>
    <row r="624" spans="1:14" x14ac:dyDescent="0.35">
      <c r="A624" t="s">
        <v>45</v>
      </c>
      <c r="B624" t="s">
        <v>77</v>
      </c>
      <c r="C624">
        <v>2024</v>
      </c>
      <c r="D624" t="s">
        <v>15</v>
      </c>
      <c r="E624">
        <v>30671.06</v>
      </c>
      <c r="F624">
        <v>87.5</v>
      </c>
      <c r="G624">
        <v>303</v>
      </c>
      <c r="H624">
        <v>190</v>
      </c>
      <c r="I624" t="s">
        <v>40</v>
      </c>
      <c r="J624">
        <v>5</v>
      </c>
      <c r="K624" t="s">
        <v>47</v>
      </c>
      <c r="L624">
        <v>201621</v>
      </c>
      <c r="M624">
        <v>3.28</v>
      </c>
      <c r="N624" s="6">
        <f t="shared" si="9"/>
        <v>6183929788.2600002</v>
      </c>
    </row>
    <row r="625" spans="1:14" x14ac:dyDescent="0.35">
      <c r="A625" t="s">
        <v>45</v>
      </c>
      <c r="B625" t="s">
        <v>77</v>
      </c>
      <c r="C625">
        <v>2024</v>
      </c>
      <c r="D625" t="s">
        <v>20</v>
      </c>
      <c r="E625">
        <v>83518.44</v>
      </c>
      <c r="F625">
        <v>77.099999999999994</v>
      </c>
      <c r="G625">
        <v>267</v>
      </c>
      <c r="H625">
        <v>146</v>
      </c>
      <c r="I625" t="s">
        <v>33</v>
      </c>
      <c r="J625">
        <v>3</v>
      </c>
      <c r="K625" t="s">
        <v>20</v>
      </c>
      <c r="L625">
        <v>148454</v>
      </c>
      <c r="M625">
        <v>3.28</v>
      </c>
      <c r="N625" s="6">
        <f t="shared" si="9"/>
        <v>12398646491.76</v>
      </c>
    </row>
    <row r="626" spans="1:14" x14ac:dyDescent="0.35">
      <c r="A626" t="s">
        <v>26</v>
      </c>
      <c r="B626" t="s">
        <v>36</v>
      </c>
      <c r="C626">
        <v>2024</v>
      </c>
      <c r="D626" t="s">
        <v>20</v>
      </c>
      <c r="E626">
        <v>68436.66</v>
      </c>
      <c r="F626">
        <v>70</v>
      </c>
      <c r="G626">
        <v>249</v>
      </c>
      <c r="H626">
        <v>141</v>
      </c>
      <c r="I626" t="s">
        <v>33</v>
      </c>
      <c r="J626">
        <v>3</v>
      </c>
      <c r="K626" t="s">
        <v>20</v>
      </c>
      <c r="L626">
        <v>81219</v>
      </c>
      <c r="M626">
        <v>3.63</v>
      </c>
      <c r="N626" s="6">
        <f t="shared" si="9"/>
        <v>5558357088.54</v>
      </c>
    </row>
    <row r="627" spans="1:14" x14ac:dyDescent="0.35">
      <c r="A627" t="s">
        <v>57</v>
      </c>
      <c r="B627" t="s">
        <v>79</v>
      </c>
      <c r="C627">
        <v>2024</v>
      </c>
      <c r="D627" t="s">
        <v>28</v>
      </c>
      <c r="E627">
        <v>66402.61</v>
      </c>
      <c r="F627">
        <v>90.5</v>
      </c>
      <c r="G627">
        <v>334</v>
      </c>
      <c r="H627">
        <v>162</v>
      </c>
      <c r="I627" t="s">
        <v>25</v>
      </c>
      <c r="J627">
        <v>5</v>
      </c>
      <c r="K627" t="s">
        <v>20</v>
      </c>
      <c r="L627">
        <v>36517</v>
      </c>
      <c r="M627">
        <v>3.69</v>
      </c>
      <c r="N627" s="6">
        <f t="shared" si="9"/>
        <v>2424824109.3699999</v>
      </c>
    </row>
    <row r="628" spans="1:14" x14ac:dyDescent="0.35">
      <c r="A628" t="s">
        <v>29</v>
      </c>
      <c r="B628" t="s">
        <v>59</v>
      </c>
      <c r="C628">
        <v>2024</v>
      </c>
      <c r="D628" t="s">
        <v>15</v>
      </c>
      <c r="E628">
        <v>42932.18</v>
      </c>
      <c r="F628">
        <v>99</v>
      </c>
      <c r="G628">
        <v>356</v>
      </c>
      <c r="H628">
        <v>192</v>
      </c>
      <c r="I628" t="s">
        <v>32</v>
      </c>
      <c r="J628">
        <v>5</v>
      </c>
      <c r="K628" t="s">
        <v>22</v>
      </c>
      <c r="L628">
        <v>238196</v>
      </c>
      <c r="M628">
        <v>4</v>
      </c>
      <c r="N628" s="6">
        <f t="shared" si="9"/>
        <v>10226273547.280001</v>
      </c>
    </row>
    <row r="629" spans="1:14" x14ac:dyDescent="0.35">
      <c r="A629" t="s">
        <v>29</v>
      </c>
      <c r="B629" t="s">
        <v>39</v>
      </c>
      <c r="C629">
        <v>2024</v>
      </c>
      <c r="D629" t="s">
        <v>20</v>
      </c>
      <c r="E629">
        <v>66707.72</v>
      </c>
      <c r="F629">
        <v>45.8</v>
      </c>
      <c r="G629">
        <v>150</v>
      </c>
      <c r="H629">
        <v>166</v>
      </c>
      <c r="I629" t="s">
        <v>25</v>
      </c>
      <c r="J629">
        <v>5</v>
      </c>
      <c r="K629" t="s">
        <v>20</v>
      </c>
      <c r="L629">
        <v>187104</v>
      </c>
      <c r="M629">
        <v>3.23</v>
      </c>
      <c r="N629" s="6">
        <f t="shared" si="9"/>
        <v>12481281242.880001</v>
      </c>
    </row>
    <row r="630" spans="1:14" x14ac:dyDescent="0.35">
      <c r="A630" t="s">
        <v>57</v>
      </c>
      <c r="B630" t="s">
        <v>79</v>
      </c>
      <c r="C630">
        <v>2024</v>
      </c>
      <c r="D630" t="s">
        <v>28</v>
      </c>
      <c r="E630">
        <v>69723.399999999994</v>
      </c>
      <c r="F630">
        <v>91.5</v>
      </c>
      <c r="G630">
        <v>331</v>
      </c>
      <c r="H630">
        <v>180</v>
      </c>
      <c r="I630" t="s">
        <v>16</v>
      </c>
      <c r="J630">
        <v>5</v>
      </c>
      <c r="K630" t="s">
        <v>20</v>
      </c>
      <c r="L630">
        <v>54063</v>
      </c>
      <c r="M630">
        <v>3.64</v>
      </c>
      <c r="N630" s="6">
        <f t="shared" si="9"/>
        <v>3769456174.1999998</v>
      </c>
    </row>
    <row r="631" spans="1:14" x14ac:dyDescent="0.35">
      <c r="A631" t="s">
        <v>23</v>
      </c>
      <c r="B631" t="s">
        <v>83</v>
      </c>
      <c r="C631">
        <v>2024</v>
      </c>
      <c r="D631" t="s">
        <v>28</v>
      </c>
      <c r="E631">
        <v>78668.52</v>
      </c>
      <c r="F631">
        <v>102.9</v>
      </c>
      <c r="G631">
        <v>368</v>
      </c>
      <c r="H631">
        <v>179</v>
      </c>
      <c r="I631" t="s">
        <v>21</v>
      </c>
      <c r="J631">
        <v>5</v>
      </c>
      <c r="K631" t="s">
        <v>20</v>
      </c>
      <c r="L631">
        <v>14020</v>
      </c>
      <c r="M631">
        <v>3.97</v>
      </c>
      <c r="N631" s="6">
        <f t="shared" si="9"/>
        <v>1102932650.4000001</v>
      </c>
    </row>
    <row r="632" spans="1:14" x14ac:dyDescent="0.35">
      <c r="A632" t="s">
        <v>57</v>
      </c>
      <c r="B632" t="s">
        <v>58</v>
      </c>
      <c r="C632">
        <v>2024</v>
      </c>
      <c r="D632" t="s">
        <v>43</v>
      </c>
      <c r="E632">
        <v>79438.2</v>
      </c>
      <c r="F632">
        <v>82.5</v>
      </c>
      <c r="G632">
        <v>299</v>
      </c>
      <c r="H632">
        <v>149</v>
      </c>
      <c r="I632" t="s">
        <v>25</v>
      </c>
      <c r="J632">
        <v>5</v>
      </c>
      <c r="K632" t="s">
        <v>20</v>
      </c>
      <c r="L632">
        <v>21827</v>
      </c>
      <c r="M632">
        <v>3.81</v>
      </c>
      <c r="N632" s="6">
        <f t="shared" si="9"/>
        <v>1733897591.3999999</v>
      </c>
    </row>
    <row r="633" spans="1:14" x14ac:dyDescent="0.35">
      <c r="A633" t="s">
        <v>29</v>
      </c>
      <c r="B633" t="s">
        <v>30</v>
      </c>
      <c r="C633">
        <v>2024</v>
      </c>
      <c r="D633" t="s">
        <v>15</v>
      </c>
      <c r="E633">
        <v>139025.28</v>
      </c>
      <c r="F633">
        <v>93.4</v>
      </c>
      <c r="G633">
        <v>320</v>
      </c>
      <c r="H633">
        <v>200</v>
      </c>
      <c r="I633" t="s">
        <v>33</v>
      </c>
      <c r="J633">
        <v>4</v>
      </c>
      <c r="K633" t="s">
        <v>17</v>
      </c>
      <c r="L633">
        <v>220216</v>
      </c>
      <c r="M633">
        <v>4.07</v>
      </c>
      <c r="N633" s="6">
        <f t="shared" si="9"/>
        <v>30615591060.48</v>
      </c>
    </row>
    <row r="634" spans="1:14" x14ac:dyDescent="0.35">
      <c r="A634" t="s">
        <v>29</v>
      </c>
      <c r="B634" t="s">
        <v>53</v>
      </c>
      <c r="C634">
        <v>2024</v>
      </c>
      <c r="D634" t="s">
        <v>28</v>
      </c>
      <c r="E634">
        <v>158925.9</v>
      </c>
      <c r="F634">
        <v>82.5</v>
      </c>
      <c r="G634">
        <v>291</v>
      </c>
      <c r="H634">
        <v>186</v>
      </c>
      <c r="I634" t="s">
        <v>16</v>
      </c>
      <c r="J634">
        <v>5</v>
      </c>
      <c r="K634" t="s">
        <v>17</v>
      </c>
      <c r="L634">
        <v>138950</v>
      </c>
      <c r="M634">
        <v>3.85</v>
      </c>
      <c r="N634" s="6">
        <f t="shared" si="9"/>
        <v>22082753805</v>
      </c>
    </row>
    <row r="635" spans="1:14" x14ac:dyDescent="0.35">
      <c r="A635" t="s">
        <v>45</v>
      </c>
      <c r="B635" t="s">
        <v>63</v>
      </c>
      <c r="C635">
        <v>2024</v>
      </c>
      <c r="D635" t="s">
        <v>20</v>
      </c>
      <c r="E635">
        <v>100360.19</v>
      </c>
      <c r="F635">
        <v>50</v>
      </c>
      <c r="G635">
        <v>193</v>
      </c>
      <c r="H635">
        <v>155</v>
      </c>
      <c r="I635" t="s">
        <v>25</v>
      </c>
      <c r="J635">
        <v>5</v>
      </c>
      <c r="K635" t="s">
        <v>17</v>
      </c>
      <c r="L635">
        <v>137465</v>
      </c>
      <c r="M635">
        <v>3.1</v>
      </c>
      <c r="N635" s="6">
        <f t="shared" si="9"/>
        <v>13796013518.35</v>
      </c>
    </row>
    <row r="636" spans="1:14" x14ac:dyDescent="0.35">
      <c r="A636" t="s">
        <v>64</v>
      </c>
      <c r="B636" t="s">
        <v>70</v>
      </c>
      <c r="C636">
        <v>2024</v>
      </c>
      <c r="D636" t="s">
        <v>43</v>
      </c>
      <c r="E636">
        <v>84405.92</v>
      </c>
      <c r="F636">
        <v>52.5</v>
      </c>
      <c r="G636">
        <v>173</v>
      </c>
      <c r="H636">
        <v>169</v>
      </c>
      <c r="I636" t="s">
        <v>16</v>
      </c>
      <c r="J636">
        <v>3</v>
      </c>
      <c r="K636" t="s">
        <v>20</v>
      </c>
      <c r="L636">
        <v>42777</v>
      </c>
      <c r="M636">
        <v>3.19</v>
      </c>
      <c r="N636" s="6">
        <f t="shared" si="9"/>
        <v>3610632039.8400002</v>
      </c>
    </row>
    <row r="637" spans="1:14" x14ac:dyDescent="0.35">
      <c r="A637" t="s">
        <v>67</v>
      </c>
      <c r="B637" t="s">
        <v>86</v>
      </c>
      <c r="C637">
        <v>2024</v>
      </c>
      <c r="D637" t="s">
        <v>43</v>
      </c>
      <c r="E637">
        <v>73910.789999999994</v>
      </c>
      <c r="F637">
        <v>41.9</v>
      </c>
      <c r="G637">
        <v>150</v>
      </c>
      <c r="H637">
        <v>142</v>
      </c>
      <c r="I637" t="s">
        <v>21</v>
      </c>
      <c r="J637">
        <v>4</v>
      </c>
      <c r="K637" t="s">
        <v>20</v>
      </c>
      <c r="L637">
        <v>36319</v>
      </c>
      <c r="M637">
        <v>3</v>
      </c>
      <c r="N637" s="6">
        <f t="shared" si="9"/>
        <v>2684365982.0099998</v>
      </c>
    </row>
    <row r="638" spans="1:14" x14ac:dyDescent="0.35">
      <c r="A638" t="s">
        <v>29</v>
      </c>
      <c r="B638" t="s">
        <v>53</v>
      </c>
      <c r="C638">
        <v>2024</v>
      </c>
      <c r="D638" t="s">
        <v>38</v>
      </c>
      <c r="E638">
        <v>38394.15</v>
      </c>
      <c r="F638">
        <v>47.7</v>
      </c>
      <c r="G638">
        <v>189</v>
      </c>
      <c r="H638">
        <v>169</v>
      </c>
      <c r="I638" t="s">
        <v>16</v>
      </c>
      <c r="J638">
        <v>3</v>
      </c>
      <c r="K638" t="s">
        <v>22</v>
      </c>
      <c r="L638">
        <v>246203</v>
      </c>
      <c r="M638">
        <v>3.51</v>
      </c>
      <c r="N638" s="6">
        <f t="shared" si="9"/>
        <v>9452754912.4500008</v>
      </c>
    </row>
    <row r="639" spans="1:14" x14ac:dyDescent="0.35">
      <c r="A639" t="s">
        <v>23</v>
      </c>
      <c r="B639" t="s">
        <v>37</v>
      </c>
      <c r="C639">
        <v>2024</v>
      </c>
      <c r="D639" t="s">
        <v>28</v>
      </c>
      <c r="E639">
        <v>76560.479999999996</v>
      </c>
      <c r="F639">
        <v>82.9</v>
      </c>
      <c r="G639">
        <v>300</v>
      </c>
      <c r="H639">
        <v>184</v>
      </c>
      <c r="I639" t="s">
        <v>25</v>
      </c>
      <c r="J639">
        <v>4</v>
      </c>
      <c r="K639" t="s">
        <v>20</v>
      </c>
      <c r="L639">
        <v>12139</v>
      </c>
      <c r="M639">
        <v>3.5</v>
      </c>
      <c r="N639" s="6">
        <f t="shared" si="9"/>
        <v>929367666.71999991</v>
      </c>
    </row>
    <row r="640" spans="1:14" x14ac:dyDescent="0.35">
      <c r="A640" t="s">
        <v>49</v>
      </c>
      <c r="B640" t="s">
        <v>71</v>
      </c>
      <c r="C640">
        <v>2024</v>
      </c>
      <c r="D640" t="s">
        <v>43</v>
      </c>
      <c r="E640">
        <v>44654.99</v>
      </c>
      <c r="F640">
        <v>65.400000000000006</v>
      </c>
      <c r="G640">
        <v>223</v>
      </c>
      <c r="H640">
        <v>146</v>
      </c>
      <c r="I640" t="s">
        <v>21</v>
      </c>
      <c r="J640">
        <v>4</v>
      </c>
      <c r="K640" t="s">
        <v>22</v>
      </c>
      <c r="L640">
        <v>128091</v>
      </c>
      <c r="M640">
        <v>3</v>
      </c>
      <c r="N640" s="6">
        <f t="shared" si="9"/>
        <v>5719902324.0900002</v>
      </c>
    </row>
    <row r="641" spans="1:14" x14ac:dyDescent="0.35">
      <c r="A641" t="s">
        <v>29</v>
      </c>
      <c r="B641" t="s">
        <v>53</v>
      </c>
      <c r="C641">
        <v>2024</v>
      </c>
      <c r="D641" t="s">
        <v>15</v>
      </c>
      <c r="E641">
        <v>177944.09</v>
      </c>
      <c r="F641">
        <v>93</v>
      </c>
      <c r="G641">
        <v>295</v>
      </c>
      <c r="H641">
        <v>193</v>
      </c>
      <c r="I641" t="s">
        <v>16</v>
      </c>
      <c r="J641">
        <v>3</v>
      </c>
      <c r="K641" t="s">
        <v>17</v>
      </c>
      <c r="L641">
        <v>234160</v>
      </c>
      <c r="M641">
        <v>3.91</v>
      </c>
      <c r="N641" s="6">
        <f t="shared" si="9"/>
        <v>41667388114.400002</v>
      </c>
    </row>
    <row r="642" spans="1:14" x14ac:dyDescent="0.35">
      <c r="A642" t="s">
        <v>29</v>
      </c>
      <c r="B642" t="s">
        <v>53</v>
      </c>
      <c r="C642">
        <v>2024</v>
      </c>
      <c r="D642" t="s">
        <v>38</v>
      </c>
      <c r="E642">
        <v>59967.87</v>
      </c>
      <c r="F642">
        <v>70</v>
      </c>
      <c r="G642">
        <v>238</v>
      </c>
      <c r="H642">
        <v>159</v>
      </c>
      <c r="I642" t="s">
        <v>16</v>
      </c>
      <c r="J642">
        <v>4</v>
      </c>
      <c r="K642" t="s">
        <v>22</v>
      </c>
      <c r="L642">
        <v>228933</v>
      </c>
      <c r="M642">
        <v>3.44</v>
      </c>
      <c r="N642" s="6">
        <f t="shared" ref="N642:N705" si="10">E642*L642</f>
        <v>13728624382.710001</v>
      </c>
    </row>
    <row r="643" spans="1:14" x14ac:dyDescent="0.35">
      <c r="A643" t="s">
        <v>64</v>
      </c>
      <c r="B643" t="s">
        <v>85</v>
      </c>
      <c r="C643">
        <v>2024</v>
      </c>
      <c r="D643" t="s">
        <v>15</v>
      </c>
      <c r="E643">
        <v>84125.95</v>
      </c>
      <c r="F643">
        <v>98.9</v>
      </c>
      <c r="G643">
        <v>363</v>
      </c>
      <c r="H643">
        <v>192</v>
      </c>
      <c r="I643" t="s">
        <v>32</v>
      </c>
      <c r="J643">
        <v>5</v>
      </c>
      <c r="K643" t="s">
        <v>20</v>
      </c>
      <c r="L643">
        <v>33561</v>
      </c>
      <c r="M643">
        <v>3.47</v>
      </c>
      <c r="N643" s="6">
        <f t="shared" si="10"/>
        <v>2823351007.9499998</v>
      </c>
    </row>
    <row r="644" spans="1:14" x14ac:dyDescent="0.35">
      <c r="A644" t="s">
        <v>13</v>
      </c>
      <c r="B644" t="s">
        <v>66</v>
      </c>
      <c r="C644">
        <v>2024</v>
      </c>
      <c r="D644" t="s">
        <v>15</v>
      </c>
      <c r="E644">
        <v>50097.49</v>
      </c>
      <c r="F644">
        <v>98.3</v>
      </c>
      <c r="G644">
        <v>341</v>
      </c>
      <c r="H644">
        <v>200</v>
      </c>
      <c r="I644" t="s">
        <v>25</v>
      </c>
      <c r="J644">
        <v>3</v>
      </c>
      <c r="K644" t="s">
        <v>22</v>
      </c>
      <c r="L644">
        <v>263009</v>
      </c>
      <c r="M644">
        <v>3.76</v>
      </c>
      <c r="N644" s="6">
        <f t="shared" si="10"/>
        <v>13176090747.41</v>
      </c>
    </row>
    <row r="645" spans="1:14" x14ac:dyDescent="0.35">
      <c r="A645" t="s">
        <v>23</v>
      </c>
      <c r="B645" t="s">
        <v>82</v>
      </c>
      <c r="C645">
        <v>2024</v>
      </c>
      <c r="D645" t="s">
        <v>20</v>
      </c>
      <c r="E645">
        <v>43668.28</v>
      </c>
      <c r="F645">
        <v>79.400000000000006</v>
      </c>
      <c r="G645">
        <v>284</v>
      </c>
      <c r="H645">
        <v>120</v>
      </c>
      <c r="I645" t="s">
        <v>16</v>
      </c>
      <c r="J645">
        <v>4</v>
      </c>
      <c r="K645" t="s">
        <v>22</v>
      </c>
      <c r="L645">
        <v>1211</v>
      </c>
      <c r="M645">
        <v>3.34</v>
      </c>
      <c r="N645" s="6">
        <f t="shared" si="10"/>
        <v>52882287.079999998</v>
      </c>
    </row>
    <row r="646" spans="1:14" x14ac:dyDescent="0.35">
      <c r="A646" t="s">
        <v>57</v>
      </c>
      <c r="B646" t="s">
        <v>72</v>
      </c>
      <c r="C646">
        <v>2024</v>
      </c>
      <c r="D646" t="s">
        <v>28</v>
      </c>
      <c r="E646">
        <v>54997.37</v>
      </c>
      <c r="F646">
        <v>100.7</v>
      </c>
      <c r="G646">
        <v>353</v>
      </c>
      <c r="H646">
        <v>183</v>
      </c>
      <c r="I646" t="s">
        <v>16</v>
      </c>
      <c r="J646">
        <v>5</v>
      </c>
      <c r="K646" t="s">
        <v>22</v>
      </c>
      <c r="L646">
        <v>49671</v>
      </c>
      <c r="M646">
        <v>3.66</v>
      </c>
      <c r="N646" s="6">
        <f t="shared" si="10"/>
        <v>2731774365.27</v>
      </c>
    </row>
    <row r="647" spans="1:14" x14ac:dyDescent="0.35">
      <c r="A647" t="s">
        <v>67</v>
      </c>
      <c r="B647" t="s">
        <v>86</v>
      </c>
      <c r="C647">
        <v>2024</v>
      </c>
      <c r="D647" t="s">
        <v>28</v>
      </c>
      <c r="E647">
        <v>130606.12</v>
      </c>
      <c r="F647">
        <v>106.6</v>
      </c>
      <c r="G647">
        <v>385</v>
      </c>
      <c r="H647">
        <v>169</v>
      </c>
      <c r="I647" t="s">
        <v>21</v>
      </c>
      <c r="J647">
        <v>5</v>
      </c>
      <c r="K647" t="s">
        <v>17</v>
      </c>
      <c r="L647">
        <v>39897</v>
      </c>
      <c r="M647">
        <v>3.7</v>
      </c>
      <c r="N647" s="6">
        <f t="shared" si="10"/>
        <v>5210792369.6399994</v>
      </c>
    </row>
    <row r="648" spans="1:14" x14ac:dyDescent="0.35">
      <c r="A648" t="s">
        <v>45</v>
      </c>
      <c r="B648" t="s">
        <v>48</v>
      </c>
      <c r="C648">
        <v>2024</v>
      </c>
      <c r="D648" t="s">
        <v>28</v>
      </c>
      <c r="E648">
        <v>47823.41</v>
      </c>
      <c r="F648">
        <v>77.2</v>
      </c>
      <c r="G648">
        <v>258</v>
      </c>
      <c r="H648">
        <v>182</v>
      </c>
      <c r="I648" t="s">
        <v>33</v>
      </c>
      <c r="J648">
        <v>5</v>
      </c>
      <c r="K648" t="s">
        <v>22</v>
      </c>
      <c r="L648">
        <v>108045</v>
      </c>
      <c r="M648">
        <v>3.61</v>
      </c>
      <c r="N648" s="6">
        <f t="shared" si="10"/>
        <v>5167080333.4500008</v>
      </c>
    </row>
    <row r="649" spans="1:14" x14ac:dyDescent="0.35">
      <c r="A649" t="s">
        <v>45</v>
      </c>
      <c r="B649" t="s">
        <v>88</v>
      </c>
      <c r="C649">
        <v>2024</v>
      </c>
      <c r="D649" t="s">
        <v>43</v>
      </c>
      <c r="E649">
        <v>21712.400000000001</v>
      </c>
      <c r="F649">
        <v>83.3</v>
      </c>
      <c r="G649">
        <v>307</v>
      </c>
      <c r="H649">
        <v>171</v>
      </c>
      <c r="I649" t="s">
        <v>25</v>
      </c>
      <c r="J649">
        <v>4</v>
      </c>
      <c r="K649" t="s">
        <v>47</v>
      </c>
      <c r="L649">
        <v>169389</v>
      </c>
      <c r="M649">
        <v>3.37</v>
      </c>
      <c r="N649" s="6">
        <f t="shared" si="10"/>
        <v>3677841723.6000004</v>
      </c>
    </row>
    <row r="650" spans="1:14" x14ac:dyDescent="0.35">
      <c r="A650" t="s">
        <v>13</v>
      </c>
      <c r="B650" t="s">
        <v>56</v>
      </c>
      <c r="C650">
        <v>2024</v>
      </c>
      <c r="D650" t="s">
        <v>28</v>
      </c>
      <c r="E650">
        <v>54335.65</v>
      </c>
      <c r="F650">
        <v>77.599999999999994</v>
      </c>
      <c r="G650">
        <v>286</v>
      </c>
      <c r="H650">
        <v>186</v>
      </c>
      <c r="I650" t="s">
        <v>40</v>
      </c>
      <c r="J650">
        <v>5</v>
      </c>
      <c r="K650" t="s">
        <v>22</v>
      </c>
      <c r="L650">
        <v>284565</v>
      </c>
      <c r="M650">
        <v>3.65</v>
      </c>
      <c r="N650" s="6">
        <f t="shared" si="10"/>
        <v>15462024242.25</v>
      </c>
    </row>
    <row r="651" spans="1:14" x14ac:dyDescent="0.35">
      <c r="A651" t="s">
        <v>57</v>
      </c>
      <c r="B651" t="s">
        <v>79</v>
      </c>
      <c r="C651">
        <v>2024</v>
      </c>
      <c r="D651" t="s">
        <v>38</v>
      </c>
      <c r="E651">
        <v>53737.95</v>
      </c>
      <c r="F651">
        <v>61.5</v>
      </c>
      <c r="G651">
        <v>226</v>
      </c>
      <c r="H651">
        <v>152</v>
      </c>
      <c r="I651" t="s">
        <v>40</v>
      </c>
      <c r="J651">
        <v>3</v>
      </c>
      <c r="K651" t="s">
        <v>22</v>
      </c>
      <c r="L651">
        <v>62660</v>
      </c>
      <c r="M651">
        <v>3.28</v>
      </c>
      <c r="N651" s="6">
        <f t="shared" si="10"/>
        <v>3367219947</v>
      </c>
    </row>
    <row r="652" spans="1:14" x14ac:dyDescent="0.35">
      <c r="A652" t="s">
        <v>29</v>
      </c>
      <c r="B652" t="s">
        <v>31</v>
      </c>
      <c r="C652">
        <v>2024</v>
      </c>
      <c r="D652" t="s">
        <v>38</v>
      </c>
      <c r="E652">
        <v>105607.38</v>
      </c>
      <c r="F652">
        <v>44.4</v>
      </c>
      <c r="G652">
        <v>150</v>
      </c>
      <c r="H652">
        <v>163</v>
      </c>
      <c r="I652" t="s">
        <v>25</v>
      </c>
      <c r="J652">
        <v>4</v>
      </c>
      <c r="K652" t="s">
        <v>17</v>
      </c>
      <c r="L652">
        <v>422392</v>
      </c>
      <c r="M652">
        <v>3.52</v>
      </c>
      <c r="N652" s="6">
        <f t="shared" si="10"/>
        <v>44607712452.959999</v>
      </c>
    </row>
    <row r="653" spans="1:14" x14ac:dyDescent="0.35">
      <c r="A653" t="s">
        <v>29</v>
      </c>
      <c r="B653" t="s">
        <v>30</v>
      </c>
      <c r="C653">
        <v>2024</v>
      </c>
      <c r="D653" t="s">
        <v>28</v>
      </c>
      <c r="E653">
        <v>138760.95999999999</v>
      </c>
      <c r="F653">
        <v>99.4</v>
      </c>
      <c r="G653">
        <v>376</v>
      </c>
      <c r="H653">
        <v>175</v>
      </c>
      <c r="I653" t="s">
        <v>40</v>
      </c>
      <c r="J653">
        <v>5</v>
      </c>
      <c r="K653" t="s">
        <v>17</v>
      </c>
      <c r="L653">
        <v>204411</v>
      </c>
      <c r="M653">
        <v>3.95</v>
      </c>
      <c r="N653" s="6">
        <f t="shared" si="10"/>
        <v>28364266594.559998</v>
      </c>
    </row>
    <row r="654" spans="1:14" x14ac:dyDescent="0.35">
      <c r="A654" t="s">
        <v>45</v>
      </c>
      <c r="B654" t="s">
        <v>77</v>
      </c>
      <c r="C654">
        <v>2024</v>
      </c>
      <c r="D654" t="s">
        <v>20</v>
      </c>
      <c r="E654">
        <v>89340.39</v>
      </c>
      <c r="F654">
        <v>64.599999999999994</v>
      </c>
      <c r="G654">
        <v>223</v>
      </c>
      <c r="H654">
        <v>132</v>
      </c>
      <c r="I654" t="s">
        <v>25</v>
      </c>
      <c r="J654">
        <v>5</v>
      </c>
      <c r="K654" t="s">
        <v>20</v>
      </c>
      <c r="L654">
        <v>229760</v>
      </c>
      <c r="M654">
        <v>3.35</v>
      </c>
      <c r="N654" s="6">
        <f t="shared" si="10"/>
        <v>20526848006.400002</v>
      </c>
    </row>
    <row r="655" spans="1:14" x14ac:dyDescent="0.35">
      <c r="A655" t="s">
        <v>49</v>
      </c>
      <c r="B655" t="s">
        <v>71</v>
      </c>
      <c r="C655">
        <v>2024</v>
      </c>
      <c r="D655" t="s">
        <v>38</v>
      </c>
      <c r="E655">
        <v>29445.040000000001</v>
      </c>
      <c r="F655">
        <v>64.2</v>
      </c>
      <c r="G655">
        <v>222</v>
      </c>
      <c r="H655">
        <v>173</v>
      </c>
      <c r="I655" t="s">
        <v>32</v>
      </c>
      <c r="J655">
        <v>5</v>
      </c>
      <c r="K655" t="s">
        <v>47</v>
      </c>
      <c r="L655">
        <v>53245</v>
      </c>
      <c r="M655">
        <v>3.2</v>
      </c>
      <c r="N655" s="6">
        <f t="shared" si="10"/>
        <v>1567801154.8</v>
      </c>
    </row>
    <row r="656" spans="1:14" x14ac:dyDescent="0.35">
      <c r="A656" t="s">
        <v>29</v>
      </c>
      <c r="B656" t="s">
        <v>53</v>
      </c>
      <c r="C656">
        <v>2024</v>
      </c>
      <c r="D656" t="s">
        <v>28</v>
      </c>
      <c r="E656">
        <v>57586.87</v>
      </c>
      <c r="F656">
        <v>108.4</v>
      </c>
      <c r="G656">
        <v>364</v>
      </c>
      <c r="H656">
        <v>163</v>
      </c>
      <c r="I656" t="s">
        <v>16</v>
      </c>
      <c r="J656">
        <v>4</v>
      </c>
      <c r="K656" t="s">
        <v>22</v>
      </c>
      <c r="L656">
        <v>136381</v>
      </c>
      <c r="M656">
        <v>3.84</v>
      </c>
      <c r="N656" s="6">
        <f t="shared" si="10"/>
        <v>7853754917.4700003</v>
      </c>
    </row>
    <row r="657" spans="1:14" x14ac:dyDescent="0.35">
      <c r="A657" t="s">
        <v>67</v>
      </c>
      <c r="B657" t="s">
        <v>86</v>
      </c>
      <c r="C657">
        <v>2024</v>
      </c>
      <c r="D657" t="s">
        <v>43</v>
      </c>
      <c r="E657">
        <v>112837.91</v>
      </c>
      <c r="F657">
        <v>61</v>
      </c>
      <c r="G657">
        <v>222</v>
      </c>
      <c r="H657">
        <v>144</v>
      </c>
      <c r="I657" t="s">
        <v>40</v>
      </c>
      <c r="J657">
        <v>3</v>
      </c>
      <c r="K657" t="s">
        <v>17</v>
      </c>
      <c r="L657">
        <v>45029</v>
      </c>
      <c r="M657">
        <v>3.56</v>
      </c>
      <c r="N657" s="6">
        <f t="shared" si="10"/>
        <v>5080978249.3900003</v>
      </c>
    </row>
    <row r="658" spans="1:14" x14ac:dyDescent="0.35">
      <c r="A658" t="s">
        <v>29</v>
      </c>
      <c r="B658" t="s">
        <v>31</v>
      </c>
      <c r="C658">
        <v>2024</v>
      </c>
      <c r="D658" t="s">
        <v>38</v>
      </c>
      <c r="E658">
        <v>40219.61</v>
      </c>
      <c r="F658">
        <v>80.099999999999994</v>
      </c>
      <c r="G658">
        <v>308</v>
      </c>
      <c r="H658">
        <v>171</v>
      </c>
      <c r="I658" t="s">
        <v>33</v>
      </c>
      <c r="J658">
        <v>5</v>
      </c>
      <c r="K658" t="s">
        <v>22</v>
      </c>
      <c r="L658">
        <v>429025</v>
      </c>
      <c r="M658">
        <v>3.73</v>
      </c>
      <c r="N658" s="6">
        <f t="shared" si="10"/>
        <v>17255218180.25</v>
      </c>
    </row>
    <row r="659" spans="1:14" x14ac:dyDescent="0.35">
      <c r="A659" t="s">
        <v>80</v>
      </c>
      <c r="B659" t="s">
        <v>94</v>
      </c>
      <c r="C659">
        <v>2024</v>
      </c>
      <c r="D659" t="s">
        <v>20</v>
      </c>
      <c r="E659">
        <v>142936.98000000001</v>
      </c>
      <c r="F659">
        <v>54.2</v>
      </c>
      <c r="G659">
        <v>186</v>
      </c>
      <c r="H659">
        <v>130</v>
      </c>
      <c r="I659" t="s">
        <v>21</v>
      </c>
      <c r="J659">
        <v>5</v>
      </c>
      <c r="K659" t="s">
        <v>17</v>
      </c>
      <c r="L659">
        <v>23751</v>
      </c>
      <c r="M659">
        <v>3.87</v>
      </c>
      <c r="N659" s="6">
        <f t="shared" si="10"/>
        <v>3394896211.98</v>
      </c>
    </row>
    <row r="660" spans="1:14" x14ac:dyDescent="0.35">
      <c r="A660" t="s">
        <v>45</v>
      </c>
      <c r="B660" t="s">
        <v>88</v>
      </c>
      <c r="C660">
        <v>2024</v>
      </c>
      <c r="D660" t="s">
        <v>15</v>
      </c>
      <c r="E660">
        <v>99381.36</v>
      </c>
      <c r="F660">
        <v>80.7</v>
      </c>
      <c r="G660">
        <v>289</v>
      </c>
      <c r="H660">
        <v>200</v>
      </c>
      <c r="I660" t="s">
        <v>16</v>
      </c>
      <c r="J660">
        <v>4</v>
      </c>
      <c r="K660" t="s">
        <v>20</v>
      </c>
      <c r="L660">
        <v>152043</v>
      </c>
      <c r="M660">
        <v>3.48</v>
      </c>
      <c r="N660" s="6">
        <f t="shared" si="10"/>
        <v>15110240118.48</v>
      </c>
    </row>
    <row r="661" spans="1:14" x14ac:dyDescent="0.35">
      <c r="A661" t="s">
        <v>64</v>
      </c>
      <c r="B661" t="s">
        <v>70</v>
      </c>
      <c r="C661">
        <v>2024</v>
      </c>
      <c r="D661" t="s">
        <v>20</v>
      </c>
      <c r="E661">
        <v>109123.19</v>
      </c>
      <c r="F661">
        <v>75.8</v>
      </c>
      <c r="G661">
        <v>284</v>
      </c>
      <c r="H661">
        <v>136</v>
      </c>
      <c r="I661" t="s">
        <v>25</v>
      </c>
      <c r="J661">
        <v>5</v>
      </c>
      <c r="K661" t="s">
        <v>17</v>
      </c>
      <c r="L661">
        <v>54152</v>
      </c>
      <c r="M661">
        <v>3.63</v>
      </c>
      <c r="N661" s="6">
        <f t="shared" si="10"/>
        <v>5909238984.8800001</v>
      </c>
    </row>
    <row r="662" spans="1:14" x14ac:dyDescent="0.35">
      <c r="A662" t="s">
        <v>45</v>
      </c>
      <c r="B662" t="s">
        <v>46</v>
      </c>
      <c r="C662">
        <v>2024</v>
      </c>
      <c r="D662" t="s">
        <v>38</v>
      </c>
      <c r="E662">
        <v>19470.990000000002</v>
      </c>
      <c r="F662">
        <v>82.7</v>
      </c>
      <c r="G662">
        <v>291</v>
      </c>
      <c r="H662">
        <v>159</v>
      </c>
      <c r="I662" t="s">
        <v>16</v>
      </c>
      <c r="J662">
        <v>3</v>
      </c>
      <c r="K662" t="s">
        <v>47</v>
      </c>
      <c r="L662">
        <v>210937</v>
      </c>
      <c r="M662">
        <v>3.48</v>
      </c>
      <c r="N662" s="6">
        <f t="shared" si="10"/>
        <v>4107152217.6300001</v>
      </c>
    </row>
    <row r="663" spans="1:14" x14ac:dyDescent="0.35">
      <c r="A663" t="s">
        <v>34</v>
      </c>
      <c r="B663" t="s">
        <v>84</v>
      </c>
      <c r="C663">
        <v>2024</v>
      </c>
      <c r="D663" t="s">
        <v>20</v>
      </c>
      <c r="E663">
        <v>194076.68</v>
      </c>
      <c r="F663">
        <v>41.1</v>
      </c>
      <c r="G663">
        <v>160</v>
      </c>
      <c r="H663">
        <v>136</v>
      </c>
      <c r="I663" t="s">
        <v>32</v>
      </c>
      <c r="J663">
        <v>3</v>
      </c>
      <c r="K663" t="s">
        <v>17</v>
      </c>
      <c r="L663">
        <v>69583</v>
      </c>
      <c r="M663">
        <v>3.65</v>
      </c>
      <c r="N663" s="6">
        <f t="shared" si="10"/>
        <v>13504437624.439999</v>
      </c>
    </row>
    <row r="664" spans="1:14" x14ac:dyDescent="0.35">
      <c r="A664" t="s">
        <v>29</v>
      </c>
      <c r="B664" t="s">
        <v>31</v>
      </c>
      <c r="C664">
        <v>2024</v>
      </c>
      <c r="D664" t="s">
        <v>43</v>
      </c>
      <c r="E664">
        <v>31623.119999999999</v>
      </c>
      <c r="F664">
        <v>77.5</v>
      </c>
      <c r="G664">
        <v>246</v>
      </c>
      <c r="H664">
        <v>165</v>
      </c>
      <c r="I664" t="s">
        <v>32</v>
      </c>
      <c r="J664">
        <v>5</v>
      </c>
      <c r="K664" t="s">
        <v>47</v>
      </c>
      <c r="L664">
        <v>457458</v>
      </c>
      <c r="M664">
        <v>3.75</v>
      </c>
      <c r="N664" s="6">
        <f t="shared" si="10"/>
        <v>14466249228.959999</v>
      </c>
    </row>
    <row r="665" spans="1:14" x14ac:dyDescent="0.35">
      <c r="A665" t="s">
        <v>45</v>
      </c>
      <c r="B665" t="s">
        <v>63</v>
      </c>
      <c r="C665">
        <v>2024</v>
      </c>
      <c r="D665" t="s">
        <v>38</v>
      </c>
      <c r="E665">
        <v>77144.36</v>
      </c>
      <c r="F665">
        <v>70.900000000000006</v>
      </c>
      <c r="G665">
        <v>259</v>
      </c>
      <c r="H665">
        <v>137</v>
      </c>
      <c r="I665" t="s">
        <v>32</v>
      </c>
      <c r="J665">
        <v>4</v>
      </c>
      <c r="K665" t="s">
        <v>20</v>
      </c>
      <c r="L665">
        <v>140199</v>
      </c>
      <c r="M665">
        <v>3.58</v>
      </c>
      <c r="N665" s="6">
        <f t="shared" si="10"/>
        <v>10815562127.639999</v>
      </c>
    </row>
    <row r="666" spans="1:14" x14ac:dyDescent="0.35">
      <c r="A666" t="s">
        <v>45</v>
      </c>
      <c r="B666" t="s">
        <v>63</v>
      </c>
      <c r="C666">
        <v>2024</v>
      </c>
      <c r="D666" t="s">
        <v>43</v>
      </c>
      <c r="E666">
        <v>55111.29</v>
      </c>
      <c r="F666">
        <v>68.400000000000006</v>
      </c>
      <c r="G666">
        <v>223</v>
      </c>
      <c r="H666">
        <v>171</v>
      </c>
      <c r="I666" t="s">
        <v>32</v>
      </c>
      <c r="J666">
        <v>4</v>
      </c>
      <c r="K666" t="s">
        <v>22</v>
      </c>
      <c r="L666">
        <v>112631</v>
      </c>
      <c r="M666">
        <v>3.46</v>
      </c>
      <c r="N666" s="6">
        <f t="shared" si="10"/>
        <v>6207239703.9899998</v>
      </c>
    </row>
    <row r="667" spans="1:14" x14ac:dyDescent="0.35">
      <c r="A667" t="s">
        <v>26</v>
      </c>
      <c r="B667" t="s">
        <v>61</v>
      </c>
      <c r="C667">
        <v>2024</v>
      </c>
      <c r="D667" t="s">
        <v>20</v>
      </c>
      <c r="E667">
        <v>65472.17</v>
      </c>
      <c r="F667">
        <v>78.2</v>
      </c>
      <c r="G667">
        <v>224</v>
      </c>
      <c r="H667">
        <v>133</v>
      </c>
      <c r="I667" t="s">
        <v>21</v>
      </c>
      <c r="J667">
        <v>4</v>
      </c>
      <c r="K667" t="s">
        <v>20</v>
      </c>
      <c r="L667">
        <v>60682</v>
      </c>
      <c r="M667">
        <v>3.3</v>
      </c>
      <c r="N667" s="6">
        <f t="shared" si="10"/>
        <v>3972982219.9400001</v>
      </c>
    </row>
    <row r="668" spans="1:14" x14ac:dyDescent="0.35">
      <c r="A668" t="s">
        <v>29</v>
      </c>
      <c r="B668" t="s">
        <v>39</v>
      </c>
      <c r="C668">
        <v>2024</v>
      </c>
      <c r="D668" t="s">
        <v>15</v>
      </c>
      <c r="E668">
        <v>119857.21</v>
      </c>
      <c r="F668">
        <v>83.5</v>
      </c>
      <c r="G668">
        <v>307</v>
      </c>
      <c r="H668">
        <v>200</v>
      </c>
      <c r="I668" t="s">
        <v>16</v>
      </c>
      <c r="J668">
        <v>4</v>
      </c>
      <c r="K668" t="s">
        <v>17</v>
      </c>
      <c r="L668">
        <v>142701</v>
      </c>
      <c r="M668">
        <v>4.1399999999999997</v>
      </c>
      <c r="N668" s="6">
        <f t="shared" si="10"/>
        <v>17103743724.210001</v>
      </c>
    </row>
    <row r="669" spans="1:14" x14ac:dyDescent="0.35">
      <c r="A669" t="s">
        <v>57</v>
      </c>
      <c r="B669" t="s">
        <v>79</v>
      </c>
      <c r="C669">
        <v>2024</v>
      </c>
      <c r="D669" t="s">
        <v>15</v>
      </c>
      <c r="E669">
        <v>105603.42</v>
      </c>
      <c r="F669">
        <v>114.4</v>
      </c>
      <c r="G669">
        <v>427</v>
      </c>
      <c r="H669">
        <v>200</v>
      </c>
      <c r="I669" t="s">
        <v>25</v>
      </c>
      <c r="J669">
        <v>4</v>
      </c>
      <c r="K669" t="s">
        <v>17</v>
      </c>
      <c r="L669">
        <v>31600</v>
      </c>
      <c r="M669">
        <v>4.03</v>
      </c>
      <c r="N669" s="6">
        <f t="shared" si="10"/>
        <v>3337068072</v>
      </c>
    </row>
    <row r="670" spans="1:14" x14ac:dyDescent="0.35">
      <c r="A670" t="s">
        <v>64</v>
      </c>
      <c r="B670" t="s">
        <v>65</v>
      </c>
      <c r="C670">
        <v>2024</v>
      </c>
      <c r="D670" t="s">
        <v>28</v>
      </c>
      <c r="E670">
        <v>93724.2</v>
      </c>
      <c r="F670">
        <v>100</v>
      </c>
      <c r="G670">
        <v>326</v>
      </c>
      <c r="H670">
        <v>188</v>
      </c>
      <c r="I670" t="s">
        <v>25</v>
      </c>
      <c r="J670">
        <v>4</v>
      </c>
      <c r="K670" t="s">
        <v>20</v>
      </c>
      <c r="L670">
        <v>36760</v>
      </c>
      <c r="M670">
        <v>3.63</v>
      </c>
      <c r="N670" s="6">
        <f t="shared" si="10"/>
        <v>3445301592</v>
      </c>
    </row>
    <row r="671" spans="1:14" x14ac:dyDescent="0.35">
      <c r="A671" t="s">
        <v>45</v>
      </c>
      <c r="B671" t="s">
        <v>46</v>
      </c>
      <c r="C671">
        <v>2024</v>
      </c>
      <c r="D671" t="s">
        <v>43</v>
      </c>
      <c r="E671">
        <v>32276.7</v>
      </c>
      <c r="F671">
        <v>53.8</v>
      </c>
      <c r="G671">
        <v>220</v>
      </c>
      <c r="H671">
        <v>142</v>
      </c>
      <c r="I671" t="s">
        <v>32</v>
      </c>
      <c r="J671">
        <v>5</v>
      </c>
      <c r="K671" t="s">
        <v>47</v>
      </c>
      <c r="L671">
        <v>236029</v>
      </c>
      <c r="M671">
        <v>3.7</v>
      </c>
      <c r="N671" s="6">
        <f t="shared" si="10"/>
        <v>7618237224.3000002</v>
      </c>
    </row>
    <row r="672" spans="1:14" x14ac:dyDescent="0.35">
      <c r="A672" t="s">
        <v>23</v>
      </c>
      <c r="B672" t="s">
        <v>24</v>
      </c>
      <c r="C672">
        <v>2024</v>
      </c>
      <c r="D672" t="s">
        <v>43</v>
      </c>
      <c r="E672">
        <v>61070.92</v>
      </c>
      <c r="F672">
        <v>75.7</v>
      </c>
      <c r="G672">
        <v>280</v>
      </c>
      <c r="H672">
        <v>156</v>
      </c>
      <c r="I672" t="s">
        <v>32</v>
      </c>
      <c r="J672">
        <v>5</v>
      </c>
      <c r="K672" t="s">
        <v>22</v>
      </c>
      <c r="L672">
        <v>2434</v>
      </c>
      <c r="M672">
        <v>3.31</v>
      </c>
      <c r="N672" s="6">
        <f t="shared" si="10"/>
        <v>148646619.28</v>
      </c>
    </row>
    <row r="673" spans="1:14" x14ac:dyDescent="0.35">
      <c r="A673" t="s">
        <v>23</v>
      </c>
      <c r="B673" t="s">
        <v>24</v>
      </c>
      <c r="C673">
        <v>2024</v>
      </c>
      <c r="D673" t="s">
        <v>38</v>
      </c>
      <c r="E673">
        <v>56305.37</v>
      </c>
      <c r="F673">
        <v>52</v>
      </c>
      <c r="G673">
        <v>170</v>
      </c>
      <c r="H673">
        <v>149</v>
      </c>
      <c r="I673" t="s">
        <v>25</v>
      </c>
      <c r="J673">
        <v>4</v>
      </c>
      <c r="K673" t="s">
        <v>22</v>
      </c>
      <c r="L673">
        <v>2728</v>
      </c>
      <c r="M673">
        <v>3.2</v>
      </c>
      <c r="N673" s="6">
        <f t="shared" si="10"/>
        <v>153601049.36000001</v>
      </c>
    </row>
    <row r="674" spans="1:14" x14ac:dyDescent="0.35">
      <c r="A674" t="s">
        <v>26</v>
      </c>
      <c r="B674" t="s">
        <v>96</v>
      </c>
      <c r="C674">
        <v>2024</v>
      </c>
      <c r="D674" t="s">
        <v>43</v>
      </c>
      <c r="E674">
        <v>44920.54</v>
      </c>
      <c r="F674">
        <v>57.9</v>
      </c>
      <c r="G674">
        <v>198</v>
      </c>
      <c r="H674">
        <v>122</v>
      </c>
      <c r="I674" t="s">
        <v>16</v>
      </c>
      <c r="J674">
        <v>5</v>
      </c>
      <c r="K674" t="s">
        <v>22</v>
      </c>
      <c r="L674">
        <v>145791</v>
      </c>
      <c r="M674">
        <v>3</v>
      </c>
      <c r="N674" s="6">
        <f t="shared" si="10"/>
        <v>6549010447.1400003</v>
      </c>
    </row>
    <row r="675" spans="1:14" x14ac:dyDescent="0.35">
      <c r="A675" t="s">
        <v>29</v>
      </c>
      <c r="B675" t="s">
        <v>53</v>
      </c>
      <c r="C675">
        <v>2024</v>
      </c>
      <c r="D675" t="s">
        <v>20</v>
      </c>
      <c r="E675">
        <v>47891.48</v>
      </c>
      <c r="F675">
        <v>42.5</v>
      </c>
      <c r="G675">
        <v>164</v>
      </c>
      <c r="H675">
        <v>175</v>
      </c>
      <c r="I675" t="s">
        <v>16</v>
      </c>
      <c r="J675">
        <v>3</v>
      </c>
      <c r="K675" t="s">
        <v>22</v>
      </c>
      <c r="L675">
        <v>118665</v>
      </c>
      <c r="M675">
        <v>3.65</v>
      </c>
      <c r="N675" s="6">
        <f t="shared" si="10"/>
        <v>5683042474.2000008</v>
      </c>
    </row>
    <row r="676" spans="1:14" x14ac:dyDescent="0.35">
      <c r="A676" t="s">
        <v>41</v>
      </c>
      <c r="B676" t="s">
        <v>42</v>
      </c>
      <c r="C676">
        <v>2024</v>
      </c>
      <c r="D676" t="s">
        <v>20</v>
      </c>
      <c r="E676">
        <v>67456.63</v>
      </c>
      <c r="F676">
        <v>41.7</v>
      </c>
      <c r="G676">
        <v>150</v>
      </c>
      <c r="H676">
        <v>169</v>
      </c>
      <c r="I676" t="s">
        <v>33</v>
      </c>
      <c r="J676">
        <v>4</v>
      </c>
      <c r="K676" t="s">
        <v>20</v>
      </c>
      <c r="L676">
        <v>20333</v>
      </c>
      <c r="M676">
        <v>3.29</v>
      </c>
      <c r="N676" s="6">
        <f t="shared" si="10"/>
        <v>1371595657.7900002</v>
      </c>
    </row>
    <row r="677" spans="1:14" x14ac:dyDescent="0.35">
      <c r="A677" t="s">
        <v>49</v>
      </c>
      <c r="B677" t="s">
        <v>87</v>
      </c>
      <c r="C677">
        <v>2024</v>
      </c>
      <c r="D677" t="s">
        <v>28</v>
      </c>
      <c r="E677">
        <v>83570.149999999994</v>
      </c>
      <c r="F677">
        <v>78.5</v>
      </c>
      <c r="G677">
        <v>258</v>
      </c>
      <c r="H677">
        <v>189</v>
      </c>
      <c r="I677" t="s">
        <v>33</v>
      </c>
      <c r="J677">
        <v>5</v>
      </c>
      <c r="K677" t="s">
        <v>20</v>
      </c>
      <c r="L677">
        <v>145959</v>
      </c>
      <c r="M677">
        <v>3.37</v>
      </c>
      <c r="N677" s="6">
        <f t="shared" si="10"/>
        <v>12197815523.849998</v>
      </c>
    </row>
    <row r="678" spans="1:14" x14ac:dyDescent="0.35">
      <c r="A678" t="s">
        <v>45</v>
      </c>
      <c r="B678" t="s">
        <v>54</v>
      </c>
      <c r="C678">
        <v>2024</v>
      </c>
      <c r="D678" t="s">
        <v>20</v>
      </c>
      <c r="E678">
        <v>107358.88</v>
      </c>
      <c r="F678">
        <v>58.4</v>
      </c>
      <c r="G678">
        <v>205</v>
      </c>
      <c r="H678">
        <v>132</v>
      </c>
      <c r="I678" t="s">
        <v>33</v>
      </c>
      <c r="J678">
        <v>3</v>
      </c>
      <c r="K678" t="s">
        <v>17</v>
      </c>
      <c r="L678">
        <v>110469</v>
      </c>
      <c r="M678">
        <v>3.56</v>
      </c>
      <c r="N678" s="6">
        <f t="shared" si="10"/>
        <v>11859828114.720001</v>
      </c>
    </row>
    <row r="679" spans="1:14" x14ac:dyDescent="0.35">
      <c r="A679" t="s">
        <v>13</v>
      </c>
      <c r="B679" t="s">
        <v>56</v>
      </c>
      <c r="C679">
        <v>2024</v>
      </c>
      <c r="D679" t="s">
        <v>28</v>
      </c>
      <c r="E679">
        <v>59514</v>
      </c>
      <c r="F679">
        <v>103.6</v>
      </c>
      <c r="G679">
        <v>337</v>
      </c>
      <c r="H679">
        <v>183</v>
      </c>
      <c r="I679" t="s">
        <v>21</v>
      </c>
      <c r="J679">
        <v>4</v>
      </c>
      <c r="K679" t="s">
        <v>22</v>
      </c>
      <c r="L679">
        <v>230145</v>
      </c>
      <c r="M679">
        <v>3.7</v>
      </c>
      <c r="N679" s="6">
        <f t="shared" si="10"/>
        <v>13696849530</v>
      </c>
    </row>
    <row r="680" spans="1:14" x14ac:dyDescent="0.35">
      <c r="A680" t="s">
        <v>75</v>
      </c>
      <c r="B680" t="s">
        <v>101</v>
      </c>
      <c r="C680">
        <v>2024</v>
      </c>
      <c r="D680" t="s">
        <v>43</v>
      </c>
      <c r="E680">
        <v>84156.92</v>
      </c>
      <c r="F680">
        <v>68.400000000000006</v>
      </c>
      <c r="G680">
        <v>226</v>
      </c>
      <c r="H680">
        <v>165</v>
      </c>
      <c r="I680" t="s">
        <v>33</v>
      </c>
      <c r="J680">
        <v>4</v>
      </c>
      <c r="K680" t="s">
        <v>20</v>
      </c>
      <c r="L680">
        <v>29685</v>
      </c>
      <c r="M680">
        <v>3.44</v>
      </c>
      <c r="N680" s="6">
        <f t="shared" si="10"/>
        <v>2498198170.1999998</v>
      </c>
    </row>
    <row r="681" spans="1:14" x14ac:dyDescent="0.35">
      <c r="A681" t="s">
        <v>13</v>
      </c>
      <c r="B681" t="s">
        <v>55</v>
      </c>
      <c r="C681">
        <v>2024</v>
      </c>
      <c r="D681" t="s">
        <v>38</v>
      </c>
      <c r="E681">
        <v>39960.53</v>
      </c>
      <c r="F681">
        <v>63.9</v>
      </c>
      <c r="G681">
        <v>252</v>
      </c>
      <c r="H681">
        <v>165</v>
      </c>
      <c r="I681" t="s">
        <v>40</v>
      </c>
      <c r="J681">
        <v>4</v>
      </c>
      <c r="K681" t="s">
        <v>22</v>
      </c>
      <c r="L681">
        <v>212818</v>
      </c>
      <c r="M681">
        <v>3.48</v>
      </c>
      <c r="N681" s="6">
        <f t="shared" si="10"/>
        <v>8504320073.54</v>
      </c>
    </row>
    <row r="682" spans="1:14" x14ac:dyDescent="0.35">
      <c r="A682" t="s">
        <v>41</v>
      </c>
      <c r="B682" t="s">
        <v>42</v>
      </c>
      <c r="C682">
        <v>2024</v>
      </c>
      <c r="D682" t="s">
        <v>28</v>
      </c>
      <c r="E682">
        <v>115878.52</v>
      </c>
      <c r="F682">
        <v>94.5</v>
      </c>
      <c r="G682">
        <v>334</v>
      </c>
      <c r="H682">
        <v>166</v>
      </c>
      <c r="I682" t="s">
        <v>16</v>
      </c>
      <c r="J682">
        <v>4</v>
      </c>
      <c r="K682" t="s">
        <v>17</v>
      </c>
      <c r="L682">
        <v>6077</v>
      </c>
      <c r="M682">
        <v>3.64</v>
      </c>
      <c r="N682" s="6">
        <f t="shared" si="10"/>
        <v>704193766.04000008</v>
      </c>
    </row>
    <row r="683" spans="1:14" x14ac:dyDescent="0.35">
      <c r="A683" t="s">
        <v>18</v>
      </c>
      <c r="B683" t="s">
        <v>19</v>
      </c>
      <c r="C683">
        <v>2024</v>
      </c>
      <c r="D683" t="s">
        <v>28</v>
      </c>
      <c r="E683">
        <v>64461.760000000002</v>
      </c>
      <c r="F683">
        <v>85.4</v>
      </c>
      <c r="G683">
        <v>288</v>
      </c>
      <c r="H683">
        <v>180</v>
      </c>
      <c r="I683" t="s">
        <v>21</v>
      </c>
      <c r="J683">
        <v>4</v>
      </c>
      <c r="K683" t="s">
        <v>22</v>
      </c>
      <c r="L683">
        <v>1214</v>
      </c>
      <c r="M683">
        <v>3.76</v>
      </c>
      <c r="N683" s="6">
        <f t="shared" si="10"/>
        <v>78256576.640000001</v>
      </c>
    </row>
    <row r="684" spans="1:14" x14ac:dyDescent="0.35">
      <c r="A684" t="s">
        <v>49</v>
      </c>
      <c r="B684" t="s">
        <v>71</v>
      </c>
      <c r="C684">
        <v>2024</v>
      </c>
      <c r="D684" t="s">
        <v>38</v>
      </c>
      <c r="E684">
        <v>50276.57</v>
      </c>
      <c r="F684">
        <v>73.2</v>
      </c>
      <c r="G684">
        <v>241</v>
      </c>
      <c r="H684">
        <v>138</v>
      </c>
      <c r="I684" t="s">
        <v>25</v>
      </c>
      <c r="J684">
        <v>3</v>
      </c>
      <c r="K684" t="s">
        <v>22</v>
      </c>
      <c r="L684">
        <v>126203</v>
      </c>
      <c r="M684">
        <v>3.42</v>
      </c>
      <c r="N684" s="6">
        <f t="shared" si="10"/>
        <v>6345053963.71</v>
      </c>
    </row>
    <row r="685" spans="1:14" x14ac:dyDescent="0.35">
      <c r="A685" t="s">
        <v>45</v>
      </c>
      <c r="B685" t="s">
        <v>63</v>
      </c>
      <c r="C685">
        <v>2024</v>
      </c>
      <c r="D685" t="s">
        <v>15</v>
      </c>
      <c r="E685">
        <v>118468.84</v>
      </c>
      <c r="F685">
        <v>86.8</v>
      </c>
      <c r="G685">
        <v>291</v>
      </c>
      <c r="H685">
        <v>200</v>
      </c>
      <c r="I685" t="s">
        <v>33</v>
      </c>
      <c r="J685">
        <v>4</v>
      </c>
      <c r="K685" t="s">
        <v>17</v>
      </c>
      <c r="L685">
        <v>209498</v>
      </c>
      <c r="M685">
        <v>3.76</v>
      </c>
      <c r="N685" s="6">
        <f t="shared" si="10"/>
        <v>24818985042.32</v>
      </c>
    </row>
    <row r="686" spans="1:14" x14ac:dyDescent="0.35">
      <c r="A686" t="s">
        <v>57</v>
      </c>
      <c r="B686" t="s">
        <v>58</v>
      </c>
      <c r="C686">
        <v>2024</v>
      </c>
      <c r="D686" t="s">
        <v>38</v>
      </c>
      <c r="E686">
        <v>52120.46</v>
      </c>
      <c r="F686">
        <v>64.5</v>
      </c>
      <c r="G686">
        <v>208</v>
      </c>
      <c r="H686">
        <v>181</v>
      </c>
      <c r="I686" t="s">
        <v>33</v>
      </c>
      <c r="J686">
        <v>4</v>
      </c>
      <c r="K686" t="s">
        <v>22</v>
      </c>
      <c r="L686">
        <v>29029</v>
      </c>
      <c r="M686">
        <v>3.16</v>
      </c>
      <c r="N686" s="6">
        <f t="shared" si="10"/>
        <v>1513004833.3399999</v>
      </c>
    </row>
    <row r="687" spans="1:14" x14ac:dyDescent="0.35">
      <c r="A687" t="s">
        <v>34</v>
      </c>
      <c r="B687" t="s">
        <v>78</v>
      </c>
      <c r="C687">
        <v>2024</v>
      </c>
      <c r="D687" t="s">
        <v>28</v>
      </c>
      <c r="E687">
        <v>169395.24</v>
      </c>
      <c r="F687">
        <v>99.7</v>
      </c>
      <c r="G687">
        <v>323</v>
      </c>
      <c r="H687">
        <v>172</v>
      </c>
      <c r="I687" t="s">
        <v>16</v>
      </c>
      <c r="J687">
        <v>3</v>
      </c>
      <c r="K687" t="s">
        <v>17</v>
      </c>
      <c r="L687">
        <v>60151</v>
      </c>
      <c r="M687">
        <v>3.87</v>
      </c>
      <c r="N687" s="6">
        <f t="shared" si="10"/>
        <v>10189293081.24</v>
      </c>
    </row>
    <row r="688" spans="1:14" x14ac:dyDescent="0.35">
      <c r="A688" t="s">
        <v>49</v>
      </c>
      <c r="B688" t="s">
        <v>71</v>
      </c>
      <c r="C688">
        <v>2024</v>
      </c>
      <c r="D688" t="s">
        <v>15</v>
      </c>
      <c r="E688">
        <v>50087.55</v>
      </c>
      <c r="F688">
        <v>104.8</v>
      </c>
      <c r="G688">
        <v>362</v>
      </c>
      <c r="H688">
        <v>188</v>
      </c>
      <c r="I688" t="s">
        <v>16</v>
      </c>
      <c r="J688">
        <v>5</v>
      </c>
      <c r="K688" t="s">
        <v>22</v>
      </c>
      <c r="L688">
        <v>62703</v>
      </c>
      <c r="M688">
        <v>3.86</v>
      </c>
      <c r="N688" s="6">
        <f t="shared" si="10"/>
        <v>3140639647.6500001</v>
      </c>
    </row>
    <row r="689" spans="1:14" x14ac:dyDescent="0.35">
      <c r="A689" t="s">
        <v>45</v>
      </c>
      <c r="B689" t="s">
        <v>69</v>
      </c>
      <c r="C689">
        <v>2024</v>
      </c>
      <c r="D689" t="s">
        <v>38</v>
      </c>
      <c r="E689">
        <v>36467.370000000003</v>
      </c>
      <c r="F689">
        <v>45</v>
      </c>
      <c r="G689">
        <v>150</v>
      </c>
      <c r="H689">
        <v>169</v>
      </c>
      <c r="I689" t="s">
        <v>33</v>
      </c>
      <c r="J689">
        <v>4</v>
      </c>
      <c r="K689" t="s">
        <v>22</v>
      </c>
      <c r="L689">
        <v>220450</v>
      </c>
      <c r="M689">
        <v>3.22</v>
      </c>
      <c r="N689" s="6">
        <f t="shared" si="10"/>
        <v>8039231716.500001</v>
      </c>
    </row>
    <row r="690" spans="1:14" x14ac:dyDescent="0.35">
      <c r="A690" t="s">
        <v>34</v>
      </c>
      <c r="B690" t="s">
        <v>84</v>
      </c>
      <c r="C690">
        <v>2024</v>
      </c>
      <c r="D690" t="s">
        <v>38</v>
      </c>
      <c r="E690">
        <v>116775.93</v>
      </c>
      <c r="F690">
        <v>78.599999999999994</v>
      </c>
      <c r="G690">
        <v>259</v>
      </c>
      <c r="H690">
        <v>166</v>
      </c>
      <c r="I690" t="s">
        <v>32</v>
      </c>
      <c r="J690">
        <v>4</v>
      </c>
      <c r="K690" t="s">
        <v>17</v>
      </c>
      <c r="L690">
        <v>43904</v>
      </c>
      <c r="M690">
        <v>3.6</v>
      </c>
      <c r="N690" s="6">
        <f t="shared" si="10"/>
        <v>5126930430.7199993</v>
      </c>
    </row>
    <row r="691" spans="1:14" x14ac:dyDescent="0.35">
      <c r="A691" t="s">
        <v>13</v>
      </c>
      <c r="B691" t="s">
        <v>66</v>
      </c>
      <c r="C691">
        <v>2024</v>
      </c>
      <c r="D691" t="s">
        <v>20</v>
      </c>
      <c r="E691">
        <v>98791.59</v>
      </c>
      <c r="F691">
        <v>77</v>
      </c>
      <c r="G691">
        <v>250</v>
      </c>
      <c r="H691">
        <v>133</v>
      </c>
      <c r="I691" t="s">
        <v>32</v>
      </c>
      <c r="J691">
        <v>5</v>
      </c>
      <c r="K691" t="s">
        <v>20</v>
      </c>
      <c r="L691">
        <v>289215</v>
      </c>
      <c r="M691">
        <v>3.46</v>
      </c>
      <c r="N691" s="6">
        <f t="shared" si="10"/>
        <v>28572009701.849998</v>
      </c>
    </row>
    <row r="692" spans="1:14" x14ac:dyDescent="0.35">
      <c r="A692" t="s">
        <v>49</v>
      </c>
      <c r="B692" t="s">
        <v>50</v>
      </c>
      <c r="C692">
        <v>2024</v>
      </c>
      <c r="D692" t="s">
        <v>20</v>
      </c>
      <c r="E692">
        <v>75053.58</v>
      </c>
      <c r="F692">
        <v>43</v>
      </c>
      <c r="G692">
        <v>154</v>
      </c>
      <c r="H692">
        <v>150</v>
      </c>
      <c r="I692" t="s">
        <v>16</v>
      </c>
      <c r="J692">
        <v>4</v>
      </c>
      <c r="K692" t="s">
        <v>20</v>
      </c>
      <c r="L692">
        <v>86699</v>
      </c>
      <c r="M692">
        <v>3.36</v>
      </c>
      <c r="N692" s="6">
        <f t="shared" si="10"/>
        <v>6507070332.4200001</v>
      </c>
    </row>
    <row r="693" spans="1:14" x14ac:dyDescent="0.35">
      <c r="A693" t="s">
        <v>45</v>
      </c>
      <c r="B693" t="s">
        <v>69</v>
      </c>
      <c r="C693">
        <v>2024</v>
      </c>
      <c r="D693" t="s">
        <v>43</v>
      </c>
      <c r="E693">
        <v>39727.71</v>
      </c>
      <c r="F693">
        <v>45.3</v>
      </c>
      <c r="G693">
        <v>154</v>
      </c>
      <c r="H693">
        <v>170</v>
      </c>
      <c r="I693" t="s">
        <v>25</v>
      </c>
      <c r="J693">
        <v>4</v>
      </c>
      <c r="K693" t="s">
        <v>22</v>
      </c>
      <c r="L693">
        <v>139199</v>
      </c>
      <c r="M693">
        <v>3.11</v>
      </c>
      <c r="N693" s="6">
        <f t="shared" si="10"/>
        <v>5530057504.29</v>
      </c>
    </row>
    <row r="694" spans="1:14" x14ac:dyDescent="0.35">
      <c r="A694" t="s">
        <v>49</v>
      </c>
      <c r="B694" t="s">
        <v>87</v>
      </c>
      <c r="C694">
        <v>2024</v>
      </c>
      <c r="D694" t="s">
        <v>20</v>
      </c>
      <c r="E694">
        <v>80948.92</v>
      </c>
      <c r="F694">
        <v>68.599999999999994</v>
      </c>
      <c r="G694">
        <v>262</v>
      </c>
      <c r="H694">
        <v>162</v>
      </c>
      <c r="I694" t="s">
        <v>25</v>
      </c>
      <c r="J694">
        <v>5</v>
      </c>
      <c r="K694" t="s">
        <v>20</v>
      </c>
      <c r="L694">
        <v>134570</v>
      </c>
      <c r="M694">
        <v>3.64</v>
      </c>
      <c r="N694" s="6">
        <f t="shared" si="10"/>
        <v>10893296164.4</v>
      </c>
    </row>
    <row r="695" spans="1:14" x14ac:dyDescent="0.35">
      <c r="A695" t="s">
        <v>45</v>
      </c>
      <c r="B695" t="s">
        <v>88</v>
      </c>
      <c r="C695">
        <v>2024</v>
      </c>
      <c r="D695" t="s">
        <v>20</v>
      </c>
      <c r="E695">
        <v>67622.89</v>
      </c>
      <c r="F695">
        <v>80.400000000000006</v>
      </c>
      <c r="G695">
        <v>289</v>
      </c>
      <c r="H695">
        <v>131</v>
      </c>
      <c r="I695" t="s">
        <v>32</v>
      </c>
      <c r="J695">
        <v>4</v>
      </c>
      <c r="K695" t="s">
        <v>20</v>
      </c>
      <c r="L695">
        <v>235660</v>
      </c>
      <c r="M695">
        <v>3.57</v>
      </c>
      <c r="N695" s="6">
        <f t="shared" si="10"/>
        <v>15936010257.4</v>
      </c>
    </row>
    <row r="696" spans="1:14" x14ac:dyDescent="0.35">
      <c r="A696" t="s">
        <v>45</v>
      </c>
      <c r="B696" t="s">
        <v>63</v>
      </c>
      <c r="C696">
        <v>2024</v>
      </c>
      <c r="D696" t="s">
        <v>38</v>
      </c>
      <c r="E696">
        <v>56388.91</v>
      </c>
      <c r="F696">
        <v>73.7</v>
      </c>
      <c r="G696">
        <v>242</v>
      </c>
      <c r="H696">
        <v>156</v>
      </c>
      <c r="I696" t="s">
        <v>40</v>
      </c>
      <c r="J696">
        <v>5</v>
      </c>
      <c r="K696" t="s">
        <v>22</v>
      </c>
      <c r="L696">
        <v>205113</v>
      </c>
      <c r="M696">
        <v>3.4</v>
      </c>
      <c r="N696" s="6">
        <f t="shared" si="10"/>
        <v>11566098496.83</v>
      </c>
    </row>
    <row r="697" spans="1:14" x14ac:dyDescent="0.35">
      <c r="A697" t="s">
        <v>29</v>
      </c>
      <c r="B697" t="s">
        <v>53</v>
      </c>
      <c r="C697">
        <v>2024</v>
      </c>
      <c r="D697" t="s">
        <v>38</v>
      </c>
      <c r="E697">
        <v>37365.06</v>
      </c>
      <c r="F697">
        <v>44.7</v>
      </c>
      <c r="G697">
        <v>150</v>
      </c>
      <c r="H697">
        <v>169</v>
      </c>
      <c r="I697" t="s">
        <v>16</v>
      </c>
      <c r="J697">
        <v>5</v>
      </c>
      <c r="K697" t="s">
        <v>22</v>
      </c>
      <c r="L697">
        <v>220616</v>
      </c>
      <c r="M697">
        <v>3.81</v>
      </c>
      <c r="N697" s="6">
        <f t="shared" si="10"/>
        <v>8243330076.9599991</v>
      </c>
    </row>
    <row r="698" spans="1:14" x14ac:dyDescent="0.35">
      <c r="A698" t="s">
        <v>45</v>
      </c>
      <c r="B698" t="s">
        <v>63</v>
      </c>
      <c r="C698">
        <v>2024</v>
      </c>
      <c r="D698" t="s">
        <v>38</v>
      </c>
      <c r="E698">
        <v>76472.570000000007</v>
      </c>
      <c r="F698">
        <v>67.2</v>
      </c>
      <c r="G698">
        <v>227</v>
      </c>
      <c r="H698">
        <v>139</v>
      </c>
      <c r="I698" t="s">
        <v>25</v>
      </c>
      <c r="J698">
        <v>4</v>
      </c>
      <c r="K698" t="s">
        <v>20</v>
      </c>
      <c r="L698">
        <v>191416</v>
      </c>
      <c r="M698">
        <v>3.33</v>
      </c>
      <c r="N698" s="6">
        <f t="shared" si="10"/>
        <v>14638073459.120001</v>
      </c>
    </row>
    <row r="699" spans="1:14" x14ac:dyDescent="0.35">
      <c r="A699" t="s">
        <v>45</v>
      </c>
      <c r="B699" t="s">
        <v>46</v>
      </c>
      <c r="C699">
        <v>2024</v>
      </c>
      <c r="D699" t="s">
        <v>15</v>
      </c>
      <c r="E699">
        <v>117281.9</v>
      </c>
      <c r="F699">
        <v>115.7</v>
      </c>
      <c r="G699">
        <v>431</v>
      </c>
      <c r="H699">
        <v>195</v>
      </c>
      <c r="I699" t="s">
        <v>40</v>
      </c>
      <c r="J699">
        <v>3</v>
      </c>
      <c r="K699" t="s">
        <v>17</v>
      </c>
      <c r="L699">
        <v>111137</v>
      </c>
      <c r="M699">
        <v>3.92</v>
      </c>
      <c r="N699" s="6">
        <f t="shared" si="10"/>
        <v>13034358520.299999</v>
      </c>
    </row>
    <row r="700" spans="1:14" x14ac:dyDescent="0.35">
      <c r="A700" t="s">
        <v>49</v>
      </c>
      <c r="B700" t="s">
        <v>50</v>
      </c>
      <c r="C700">
        <v>2024</v>
      </c>
      <c r="D700" t="s">
        <v>38</v>
      </c>
      <c r="E700">
        <v>52223.31</v>
      </c>
      <c r="F700">
        <v>42.1</v>
      </c>
      <c r="G700">
        <v>150</v>
      </c>
      <c r="H700">
        <v>161</v>
      </c>
      <c r="I700" t="s">
        <v>25</v>
      </c>
      <c r="J700">
        <v>4</v>
      </c>
      <c r="K700" t="s">
        <v>22</v>
      </c>
      <c r="L700">
        <v>89573</v>
      </c>
      <c r="M700">
        <v>3.43</v>
      </c>
      <c r="N700" s="6">
        <f t="shared" si="10"/>
        <v>4677798546.6300001</v>
      </c>
    </row>
    <row r="701" spans="1:14" x14ac:dyDescent="0.35">
      <c r="A701" t="s">
        <v>64</v>
      </c>
      <c r="B701" t="s">
        <v>95</v>
      </c>
      <c r="C701">
        <v>2024</v>
      </c>
      <c r="D701" t="s">
        <v>15</v>
      </c>
      <c r="E701">
        <v>76696.39</v>
      </c>
      <c r="F701">
        <v>87.4</v>
      </c>
      <c r="G701">
        <v>313</v>
      </c>
      <c r="H701">
        <v>192</v>
      </c>
      <c r="I701" t="s">
        <v>21</v>
      </c>
      <c r="J701">
        <v>5</v>
      </c>
      <c r="K701" t="s">
        <v>20</v>
      </c>
      <c r="L701">
        <v>21525</v>
      </c>
      <c r="M701">
        <v>3.69</v>
      </c>
      <c r="N701" s="6">
        <f t="shared" si="10"/>
        <v>1650889794.75</v>
      </c>
    </row>
    <row r="702" spans="1:14" x14ac:dyDescent="0.35">
      <c r="A702" t="s">
        <v>34</v>
      </c>
      <c r="B702" t="s">
        <v>35</v>
      </c>
      <c r="C702">
        <v>2024</v>
      </c>
      <c r="D702" t="s">
        <v>20</v>
      </c>
      <c r="E702">
        <v>99625.48</v>
      </c>
      <c r="F702">
        <v>81.2</v>
      </c>
      <c r="G702">
        <v>306</v>
      </c>
      <c r="H702">
        <v>153</v>
      </c>
      <c r="I702" t="s">
        <v>21</v>
      </c>
      <c r="J702">
        <v>4</v>
      </c>
      <c r="K702" t="s">
        <v>20</v>
      </c>
      <c r="L702">
        <v>71016</v>
      </c>
      <c r="M702">
        <v>3.79</v>
      </c>
      <c r="N702" s="6">
        <f t="shared" si="10"/>
        <v>7075003087.6799994</v>
      </c>
    </row>
    <row r="703" spans="1:14" x14ac:dyDescent="0.35">
      <c r="A703" t="s">
        <v>29</v>
      </c>
      <c r="B703" t="s">
        <v>31</v>
      </c>
      <c r="C703">
        <v>2024</v>
      </c>
      <c r="D703" t="s">
        <v>43</v>
      </c>
      <c r="E703">
        <v>110939.31</v>
      </c>
      <c r="F703">
        <v>48.7</v>
      </c>
      <c r="G703">
        <v>160</v>
      </c>
      <c r="H703">
        <v>169</v>
      </c>
      <c r="I703" t="s">
        <v>33</v>
      </c>
      <c r="J703">
        <v>4</v>
      </c>
      <c r="K703" t="s">
        <v>17</v>
      </c>
      <c r="L703">
        <v>456268</v>
      </c>
      <c r="M703">
        <v>3.43</v>
      </c>
      <c r="N703" s="6">
        <f t="shared" si="10"/>
        <v>50618057095.080002</v>
      </c>
    </row>
    <row r="704" spans="1:14" x14ac:dyDescent="0.35">
      <c r="A704" t="s">
        <v>64</v>
      </c>
      <c r="B704" t="s">
        <v>70</v>
      </c>
      <c r="C704">
        <v>2024</v>
      </c>
      <c r="D704" t="s">
        <v>20</v>
      </c>
      <c r="E704">
        <v>69442.009999999995</v>
      </c>
      <c r="F704">
        <v>54.1</v>
      </c>
      <c r="G704">
        <v>193</v>
      </c>
      <c r="H704">
        <v>169</v>
      </c>
      <c r="I704" t="s">
        <v>25</v>
      </c>
      <c r="J704">
        <v>4</v>
      </c>
      <c r="K704" t="s">
        <v>20</v>
      </c>
      <c r="L704">
        <v>51378</v>
      </c>
      <c r="M704">
        <v>3.2</v>
      </c>
      <c r="N704" s="6">
        <f t="shared" si="10"/>
        <v>3567791589.7799997</v>
      </c>
    </row>
    <row r="705" spans="1:14" x14ac:dyDescent="0.35">
      <c r="A705" t="s">
        <v>26</v>
      </c>
      <c r="B705" t="s">
        <v>52</v>
      </c>
      <c r="C705">
        <v>2024</v>
      </c>
      <c r="D705" t="s">
        <v>20</v>
      </c>
      <c r="E705">
        <v>56096.47</v>
      </c>
      <c r="F705">
        <v>47.3</v>
      </c>
      <c r="G705">
        <v>176</v>
      </c>
      <c r="H705">
        <v>159</v>
      </c>
      <c r="I705" t="s">
        <v>33</v>
      </c>
      <c r="J705">
        <v>3</v>
      </c>
      <c r="K705" t="s">
        <v>22</v>
      </c>
      <c r="L705">
        <v>113782</v>
      </c>
      <c r="M705">
        <v>3.4</v>
      </c>
      <c r="N705" s="6">
        <f t="shared" si="10"/>
        <v>6382768549.54</v>
      </c>
    </row>
    <row r="706" spans="1:14" x14ac:dyDescent="0.35">
      <c r="A706" t="s">
        <v>73</v>
      </c>
      <c r="B706" t="s">
        <v>91</v>
      </c>
      <c r="C706">
        <v>2024</v>
      </c>
      <c r="D706" t="s">
        <v>38</v>
      </c>
      <c r="E706">
        <v>82536.87</v>
      </c>
      <c r="F706">
        <v>69.7</v>
      </c>
      <c r="G706">
        <v>264</v>
      </c>
      <c r="H706">
        <v>127</v>
      </c>
      <c r="I706" t="s">
        <v>16</v>
      </c>
      <c r="J706">
        <v>5</v>
      </c>
      <c r="K706" t="s">
        <v>20</v>
      </c>
      <c r="L706">
        <v>17477</v>
      </c>
      <c r="M706">
        <v>3.38</v>
      </c>
      <c r="N706" s="6">
        <f t="shared" ref="N706:N769" si="11">E706*L706</f>
        <v>1442496876.99</v>
      </c>
    </row>
    <row r="707" spans="1:14" x14ac:dyDescent="0.35">
      <c r="A707" t="s">
        <v>49</v>
      </c>
      <c r="B707" t="s">
        <v>60</v>
      </c>
      <c r="C707">
        <v>2024</v>
      </c>
      <c r="D707" t="s">
        <v>38</v>
      </c>
      <c r="E707">
        <v>54234.95</v>
      </c>
      <c r="F707">
        <v>58.4</v>
      </c>
      <c r="G707">
        <v>217</v>
      </c>
      <c r="H707">
        <v>132</v>
      </c>
      <c r="I707" t="s">
        <v>16</v>
      </c>
      <c r="J707">
        <v>5</v>
      </c>
      <c r="K707" t="s">
        <v>22</v>
      </c>
      <c r="L707">
        <v>136935</v>
      </c>
      <c r="M707">
        <v>3.41</v>
      </c>
      <c r="N707" s="6">
        <f t="shared" si="11"/>
        <v>7426662878.25</v>
      </c>
    </row>
    <row r="708" spans="1:14" x14ac:dyDescent="0.35">
      <c r="A708" t="s">
        <v>18</v>
      </c>
      <c r="B708" t="s">
        <v>19</v>
      </c>
      <c r="C708">
        <v>2024</v>
      </c>
      <c r="D708" t="s">
        <v>38</v>
      </c>
      <c r="E708">
        <v>62799.62</v>
      </c>
      <c r="F708">
        <v>80.2</v>
      </c>
      <c r="G708">
        <v>271</v>
      </c>
      <c r="H708">
        <v>143</v>
      </c>
      <c r="I708" t="s">
        <v>21</v>
      </c>
      <c r="J708">
        <v>4</v>
      </c>
      <c r="K708" t="s">
        <v>22</v>
      </c>
      <c r="L708">
        <v>8458</v>
      </c>
      <c r="M708">
        <v>3.67</v>
      </c>
      <c r="N708" s="6">
        <f t="shared" si="11"/>
        <v>531159185.96000004</v>
      </c>
    </row>
    <row r="709" spans="1:14" x14ac:dyDescent="0.35">
      <c r="A709" t="s">
        <v>29</v>
      </c>
      <c r="B709" t="s">
        <v>53</v>
      </c>
      <c r="C709">
        <v>2024</v>
      </c>
      <c r="D709" t="s">
        <v>43</v>
      </c>
      <c r="E709">
        <v>130803.06</v>
      </c>
      <c r="F709">
        <v>83.1</v>
      </c>
      <c r="G709">
        <v>289</v>
      </c>
      <c r="H709">
        <v>150</v>
      </c>
      <c r="I709" t="s">
        <v>16</v>
      </c>
      <c r="J709">
        <v>4</v>
      </c>
      <c r="K709" t="s">
        <v>17</v>
      </c>
      <c r="L709">
        <v>105012</v>
      </c>
      <c r="M709">
        <v>4.03</v>
      </c>
      <c r="N709" s="6">
        <f t="shared" si="11"/>
        <v>13735890936.719999</v>
      </c>
    </row>
    <row r="710" spans="1:14" x14ac:dyDescent="0.35">
      <c r="A710" t="s">
        <v>29</v>
      </c>
      <c r="B710" t="s">
        <v>31</v>
      </c>
      <c r="C710">
        <v>2024</v>
      </c>
      <c r="D710" t="s">
        <v>28</v>
      </c>
      <c r="E710">
        <v>85409.4</v>
      </c>
      <c r="F710">
        <v>94.6</v>
      </c>
      <c r="G710">
        <v>338</v>
      </c>
      <c r="H710">
        <v>167</v>
      </c>
      <c r="I710" t="s">
        <v>40</v>
      </c>
      <c r="J710">
        <v>4</v>
      </c>
      <c r="K710" t="s">
        <v>20</v>
      </c>
      <c r="L710">
        <v>497556</v>
      </c>
      <c r="M710">
        <v>4.0599999999999996</v>
      </c>
      <c r="N710" s="6">
        <f t="shared" si="11"/>
        <v>42495959426.399994</v>
      </c>
    </row>
    <row r="711" spans="1:14" x14ac:dyDescent="0.35">
      <c r="A711" t="s">
        <v>29</v>
      </c>
      <c r="B711" t="s">
        <v>31</v>
      </c>
      <c r="C711">
        <v>2024</v>
      </c>
      <c r="D711" t="s">
        <v>38</v>
      </c>
      <c r="E711">
        <v>43315.76</v>
      </c>
      <c r="F711">
        <v>61.7</v>
      </c>
      <c r="G711">
        <v>224</v>
      </c>
      <c r="H711">
        <v>136</v>
      </c>
      <c r="I711" t="s">
        <v>40</v>
      </c>
      <c r="J711">
        <v>5</v>
      </c>
      <c r="K711" t="s">
        <v>22</v>
      </c>
      <c r="L711">
        <v>424937</v>
      </c>
      <c r="M711">
        <v>3.73</v>
      </c>
      <c r="N711" s="6">
        <f t="shared" si="11"/>
        <v>18406469107.120003</v>
      </c>
    </row>
    <row r="712" spans="1:14" x14ac:dyDescent="0.35">
      <c r="A712" t="s">
        <v>29</v>
      </c>
      <c r="B712" t="s">
        <v>59</v>
      </c>
      <c r="C712">
        <v>2024</v>
      </c>
      <c r="D712" t="s">
        <v>43</v>
      </c>
      <c r="E712">
        <v>79315.78</v>
      </c>
      <c r="F712">
        <v>60.6</v>
      </c>
      <c r="G712">
        <v>195</v>
      </c>
      <c r="H712">
        <v>164</v>
      </c>
      <c r="I712" t="s">
        <v>16</v>
      </c>
      <c r="J712">
        <v>5</v>
      </c>
      <c r="K712" t="s">
        <v>20</v>
      </c>
      <c r="L712">
        <v>122128</v>
      </c>
      <c r="M712">
        <v>3.66</v>
      </c>
      <c r="N712" s="6">
        <f t="shared" si="11"/>
        <v>9686677579.8400002</v>
      </c>
    </row>
    <row r="713" spans="1:14" x14ac:dyDescent="0.35">
      <c r="A713" t="s">
        <v>67</v>
      </c>
      <c r="B713" t="s">
        <v>89</v>
      </c>
      <c r="C713">
        <v>2024</v>
      </c>
      <c r="D713" t="s">
        <v>28</v>
      </c>
      <c r="E713">
        <v>130131.59</v>
      </c>
      <c r="F713">
        <v>94</v>
      </c>
      <c r="G713">
        <v>322</v>
      </c>
      <c r="H713">
        <v>163</v>
      </c>
      <c r="I713" t="s">
        <v>40</v>
      </c>
      <c r="J713">
        <v>4</v>
      </c>
      <c r="K713" t="s">
        <v>17</v>
      </c>
      <c r="L713">
        <v>36875</v>
      </c>
      <c r="M713">
        <v>3.63</v>
      </c>
      <c r="N713" s="6">
        <f t="shared" si="11"/>
        <v>4798602381.25</v>
      </c>
    </row>
    <row r="714" spans="1:14" x14ac:dyDescent="0.35">
      <c r="A714" t="s">
        <v>23</v>
      </c>
      <c r="B714" t="s">
        <v>24</v>
      </c>
      <c r="C714">
        <v>2024</v>
      </c>
      <c r="D714" t="s">
        <v>28</v>
      </c>
      <c r="E714">
        <v>56344.05</v>
      </c>
      <c r="F714">
        <v>94.4</v>
      </c>
      <c r="G714">
        <v>351</v>
      </c>
      <c r="H714">
        <v>176</v>
      </c>
      <c r="I714" t="s">
        <v>33</v>
      </c>
      <c r="J714">
        <v>5</v>
      </c>
      <c r="K714" t="s">
        <v>22</v>
      </c>
      <c r="L714">
        <v>12802</v>
      </c>
      <c r="M714">
        <v>3.81</v>
      </c>
      <c r="N714" s="6">
        <f t="shared" si="11"/>
        <v>721316528.10000002</v>
      </c>
    </row>
    <row r="715" spans="1:14" x14ac:dyDescent="0.35">
      <c r="A715" t="s">
        <v>57</v>
      </c>
      <c r="B715" t="s">
        <v>72</v>
      </c>
      <c r="C715">
        <v>2024</v>
      </c>
      <c r="D715" t="s">
        <v>43</v>
      </c>
      <c r="E715">
        <v>59797.58</v>
      </c>
      <c r="F715">
        <v>46.4</v>
      </c>
      <c r="G715">
        <v>171</v>
      </c>
      <c r="H715">
        <v>154</v>
      </c>
      <c r="I715" t="s">
        <v>16</v>
      </c>
      <c r="J715">
        <v>4</v>
      </c>
      <c r="K715" t="s">
        <v>22</v>
      </c>
      <c r="L715">
        <v>57357</v>
      </c>
      <c r="M715">
        <v>3.14</v>
      </c>
      <c r="N715" s="6">
        <f t="shared" si="11"/>
        <v>3429809796.0599999</v>
      </c>
    </row>
    <row r="716" spans="1:14" x14ac:dyDescent="0.35">
      <c r="A716" t="s">
        <v>57</v>
      </c>
      <c r="B716" t="s">
        <v>62</v>
      </c>
      <c r="C716">
        <v>2024</v>
      </c>
      <c r="D716" t="s">
        <v>15</v>
      </c>
      <c r="E716">
        <v>98104.320000000007</v>
      </c>
      <c r="F716">
        <v>80.3</v>
      </c>
      <c r="G716">
        <v>266</v>
      </c>
      <c r="H716">
        <v>181</v>
      </c>
      <c r="I716" t="s">
        <v>25</v>
      </c>
      <c r="J716">
        <v>4</v>
      </c>
      <c r="K716" t="s">
        <v>20</v>
      </c>
      <c r="L716">
        <v>47356</v>
      </c>
      <c r="M716">
        <v>3.62</v>
      </c>
      <c r="N716" s="6">
        <f t="shared" si="11"/>
        <v>4645828177.9200001</v>
      </c>
    </row>
    <row r="717" spans="1:14" x14ac:dyDescent="0.35">
      <c r="A717" t="s">
        <v>13</v>
      </c>
      <c r="B717" t="s">
        <v>66</v>
      </c>
      <c r="C717">
        <v>2024</v>
      </c>
      <c r="D717" t="s">
        <v>38</v>
      </c>
      <c r="E717">
        <v>32753.54</v>
      </c>
      <c r="F717">
        <v>42.3</v>
      </c>
      <c r="G717">
        <v>178</v>
      </c>
      <c r="H717">
        <v>139</v>
      </c>
      <c r="I717" t="s">
        <v>16</v>
      </c>
      <c r="J717">
        <v>5</v>
      </c>
      <c r="K717" t="s">
        <v>47</v>
      </c>
      <c r="L717">
        <v>224478</v>
      </c>
      <c r="M717">
        <v>3.16</v>
      </c>
      <c r="N717" s="6">
        <f t="shared" si="11"/>
        <v>7352449152.1199999</v>
      </c>
    </row>
    <row r="718" spans="1:14" x14ac:dyDescent="0.35">
      <c r="A718" t="s">
        <v>75</v>
      </c>
      <c r="B718" t="s">
        <v>108</v>
      </c>
      <c r="C718">
        <v>2024</v>
      </c>
      <c r="D718" t="s">
        <v>28</v>
      </c>
      <c r="E718">
        <v>99040.38</v>
      </c>
      <c r="F718">
        <v>77.599999999999994</v>
      </c>
      <c r="G718">
        <v>294</v>
      </c>
      <c r="H718">
        <v>169</v>
      </c>
      <c r="I718" t="s">
        <v>33</v>
      </c>
      <c r="J718">
        <v>5</v>
      </c>
      <c r="K718" t="s">
        <v>20</v>
      </c>
      <c r="L718">
        <v>10950</v>
      </c>
      <c r="M718">
        <v>3.77</v>
      </c>
      <c r="N718" s="6">
        <f t="shared" si="11"/>
        <v>1084492161</v>
      </c>
    </row>
    <row r="719" spans="1:14" x14ac:dyDescent="0.35">
      <c r="A719" t="s">
        <v>67</v>
      </c>
      <c r="B719" t="s">
        <v>89</v>
      </c>
      <c r="C719">
        <v>2024</v>
      </c>
      <c r="D719" t="s">
        <v>28</v>
      </c>
      <c r="E719">
        <v>92779.16</v>
      </c>
      <c r="F719">
        <v>80</v>
      </c>
      <c r="G719">
        <v>260</v>
      </c>
      <c r="H719">
        <v>178</v>
      </c>
      <c r="I719" t="s">
        <v>32</v>
      </c>
      <c r="J719">
        <v>4</v>
      </c>
      <c r="K719" t="s">
        <v>20</v>
      </c>
      <c r="L719">
        <v>22988</v>
      </c>
      <c r="M719">
        <v>3.55</v>
      </c>
      <c r="N719" s="6">
        <f t="shared" si="11"/>
        <v>2132807330.0800002</v>
      </c>
    </row>
    <row r="720" spans="1:14" x14ac:dyDescent="0.35">
      <c r="A720" t="s">
        <v>13</v>
      </c>
      <c r="B720" t="s">
        <v>51</v>
      </c>
      <c r="C720">
        <v>2024</v>
      </c>
      <c r="D720" t="s">
        <v>20</v>
      </c>
      <c r="E720">
        <v>93014.64</v>
      </c>
      <c r="F720">
        <v>70.2</v>
      </c>
      <c r="G720">
        <v>255</v>
      </c>
      <c r="H720">
        <v>169</v>
      </c>
      <c r="I720" t="s">
        <v>16</v>
      </c>
      <c r="J720">
        <v>5</v>
      </c>
      <c r="K720" t="s">
        <v>20</v>
      </c>
      <c r="L720">
        <v>264436</v>
      </c>
      <c r="M720">
        <v>3.26</v>
      </c>
      <c r="N720" s="6">
        <f t="shared" si="11"/>
        <v>24596419343.040001</v>
      </c>
    </row>
    <row r="721" spans="1:14" x14ac:dyDescent="0.35">
      <c r="A721" t="s">
        <v>18</v>
      </c>
      <c r="B721" t="s">
        <v>19</v>
      </c>
      <c r="C721">
        <v>2024</v>
      </c>
      <c r="D721" t="s">
        <v>43</v>
      </c>
      <c r="E721">
        <v>62299.25</v>
      </c>
      <c r="F721">
        <v>60.9</v>
      </c>
      <c r="G721">
        <v>213</v>
      </c>
      <c r="H721">
        <v>169</v>
      </c>
      <c r="I721" t="s">
        <v>21</v>
      </c>
      <c r="J721">
        <v>3</v>
      </c>
      <c r="K721" t="s">
        <v>22</v>
      </c>
      <c r="L721">
        <v>25820</v>
      </c>
      <c r="M721">
        <v>3.36</v>
      </c>
      <c r="N721" s="6">
        <f t="shared" si="11"/>
        <v>1608566635</v>
      </c>
    </row>
    <row r="722" spans="1:14" x14ac:dyDescent="0.35">
      <c r="A722" t="s">
        <v>67</v>
      </c>
      <c r="B722" t="s">
        <v>98</v>
      </c>
      <c r="C722">
        <v>2024</v>
      </c>
      <c r="D722" t="s">
        <v>38</v>
      </c>
      <c r="E722">
        <v>108294.87</v>
      </c>
      <c r="F722">
        <v>84.2</v>
      </c>
      <c r="G722">
        <v>297</v>
      </c>
      <c r="H722">
        <v>142</v>
      </c>
      <c r="I722" t="s">
        <v>16</v>
      </c>
      <c r="J722">
        <v>5</v>
      </c>
      <c r="K722" t="s">
        <v>17</v>
      </c>
      <c r="L722">
        <v>75960</v>
      </c>
      <c r="M722">
        <v>3.64</v>
      </c>
      <c r="N722" s="6">
        <f t="shared" si="11"/>
        <v>8226078325.1999998</v>
      </c>
    </row>
    <row r="723" spans="1:14" x14ac:dyDescent="0.35">
      <c r="A723" t="s">
        <v>23</v>
      </c>
      <c r="B723" t="s">
        <v>24</v>
      </c>
      <c r="C723">
        <v>2024</v>
      </c>
      <c r="D723" t="s">
        <v>43</v>
      </c>
      <c r="E723">
        <v>40534.339999999997</v>
      </c>
      <c r="F723">
        <v>52</v>
      </c>
      <c r="G723">
        <v>170</v>
      </c>
      <c r="H723">
        <v>148</v>
      </c>
      <c r="I723" t="s">
        <v>33</v>
      </c>
      <c r="J723">
        <v>5</v>
      </c>
      <c r="K723" t="s">
        <v>22</v>
      </c>
      <c r="L723">
        <v>24616</v>
      </c>
      <c r="M723">
        <v>3.08</v>
      </c>
      <c r="N723" s="6">
        <f t="shared" si="11"/>
        <v>997793313.43999994</v>
      </c>
    </row>
    <row r="724" spans="1:14" x14ac:dyDescent="0.35">
      <c r="A724" t="s">
        <v>29</v>
      </c>
      <c r="B724" t="s">
        <v>31</v>
      </c>
      <c r="C724">
        <v>2024</v>
      </c>
      <c r="D724" t="s">
        <v>20</v>
      </c>
      <c r="E724">
        <v>47765.25</v>
      </c>
      <c r="F724">
        <v>45.3</v>
      </c>
      <c r="G724">
        <v>171</v>
      </c>
      <c r="H724">
        <v>167</v>
      </c>
      <c r="I724" t="s">
        <v>40</v>
      </c>
      <c r="J724">
        <v>5</v>
      </c>
      <c r="K724" t="s">
        <v>22</v>
      </c>
      <c r="L724">
        <v>423769</v>
      </c>
      <c r="M724">
        <v>3.45</v>
      </c>
      <c r="N724" s="6">
        <f t="shared" si="11"/>
        <v>20241432227.25</v>
      </c>
    </row>
    <row r="725" spans="1:14" x14ac:dyDescent="0.35">
      <c r="A725" t="s">
        <v>57</v>
      </c>
      <c r="B725" t="s">
        <v>58</v>
      </c>
      <c r="C725">
        <v>2024</v>
      </c>
      <c r="D725" t="s">
        <v>15</v>
      </c>
      <c r="E725">
        <v>92734.95</v>
      </c>
      <c r="F725">
        <v>71.599999999999994</v>
      </c>
      <c r="G725">
        <v>257</v>
      </c>
      <c r="H725">
        <v>183</v>
      </c>
      <c r="I725" t="s">
        <v>25</v>
      </c>
      <c r="J725">
        <v>4</v>
      </c>
      <c r="K725" t="s">
        <v>20</v>
      </c>
      <c r="L725">
        <v>52532</v>
      </c>
      <c r="M725">
        <v>3.34</v>
      </c>
      <c r="N725" s="6">
        <f t="shared" si="11"/>
        <v>4871552393.3999996</v>
      </c>
    </row>
    <row r="726" spans="1:14" x14ac:dyDescent="0.35">
      <c r="A726" t="s">
        <v>23</v>
      </c>
      <c r="B726" t="s">
        <v>82</v>
      </c>
      <c r="C726">
        <v>2024</v>
      </c>
      <c r="D726" t="s">
        <v>43</v>
      </c>
      <c r="E726">
        <v>53007.41</v>
      </c>
      <c r="F726">
        <v>82.4</v>
      </c>
      <c r="G726">
        <v>303</v>
      </c>
      <c r="H726">
        <v>145</v>
      </c>
      <c r="I726" t="s">
        <v>21</v>
      </c>
      <c r="J726">
        <v>4</v>
      </c>
      <c r="K726" t="s">
        <v>22</v>
      </c>
      <c r="L726">
        <v>25295</v>
      </c>
      <c r="M726">
        <v>3.72</v>
      </c>
      <c r="N726" s="6">
        <f t="shared" si="11"/>
        <v>1340822435.95</v>
      </c>
    </row>
    <row r="727" spans="1:14" x14ac:dyDescent="0.35">
      <c r="A727" t="s">
        <v>29</v>
      </c>
      <c r="B727" t="s">
        <v>30</v>
      </c>
      <c r="C727">
        <v>2024</v>
      </c>
      <c r="D727" t="s">
        <v>28</v>
      </c>
      <c r="E727">
        <v>74766.45</v>
      </c>
      <c r="F727">
        <v>76.5</v>
      </c>
      <c r="G727">
        <v>284</v>
      </c>
      <c r="H727">
        <v>169</v>
      </c>
      <c r="I727" t="s">
        <v>40</v>
      </c>
      <c r="J727">
        <v>5</v>
      </c>
      <c r="K727" t="s">
        <v>20</v>
      </c>
      <c r="L727">
        <v>155185</v>
      </c>
      <c r="M727">
        <v>4.1399999999999997</v>
      </c>
      <c r="N727" s="6">
        <f t="shared" si="11"/>
        <v>11602631543.25</v>
      </c>
    </row>
    <row r="728" spans="1:14" x14ac:dyDescent="0.35">
      <c r="A728" t="s">
        <v>18</v>
      </c>
      <c r="B728" t="s">
        <v>19</v>
      </c>
      <c r="C728">
        <v>2024</v>
      </c>
      <c r="D728" t="s">
        <v>28</v>
      </c>
      <c r="E728">
        <v>87515.62</v>
      </c>
      <c r="F728">
        <v>75.8</v>
      </c>
      <c r="G728">
        <v>273</v>
      </c>
      <c r="H728">
        <v>170</v>
      </c>
      <c r="I728" t="s">
        <v>21</v>
      </c>
      <c r="J728">
        <v>4</v>
      </c>
      <c r="K728" t="s">
        <v>20</v>
      </c>
      <c r="L728">
        <v>24507</v>
      </c>
      <c r="M728">
        <v>3.51</v>
      </c>
      <c r="N728" s="6">
        <f t="shared" si="11"/>
        <v>2144745299.3399999</v>
      </c>
    </row>
    <row r="729" spans="1:14" x14ac:dyDescent="0.35">
      <c r="A729" t="s">
        <v>13</v>
      </c>
      <c r="B729" t="s">
        <v>51</v>
      </c>
      <c r="C729">
        <v>2024</v>
      </c>
      <c r="D729" t="s">
        <v>20</v>
      </c>
      <c r="E729">
        <v>114364.87</v>
      </c>
      <c r="F729">
        <v>45.2</v>
      </c>
      <c r="G729">
        <v>151</v>
      </c>
      <c r="H729">
        <v>150</v>
      </c>
      <c r="I729" t="s">
        <v>32</v>
      </c>
      <c r="J729">
        <v>5</v>
      </c>
      <c r="K729" t="s">
        <v>17</v>
      </c>
      <c r="L729">
        <v>233971</v>
      </c>
      <c r="M729">
        <v>3.16</v>
      </c>
      <c r="N729" s="6">
        <f t="shared" si="11"/>
        <v>26758062998.77</v>
      </c>
    </row>
    <row r="730" spans="1:14" x14ac:dyDescent="0.35">
      <c r="A730" t="s">
        <v>29</v>
      </c>
      <c r="B730" t="s">
        <v>30</v>
      </c>
      <c r="C730">
        <v>2024</v>
      </c>
      <c r="D730" t="s">
        <v>38</v>
      </c>
      <c r="E730">
        <v>32105.759999999998</v>
      </c>
      <c r="F730">
        <v>54.4</v>
      </c>
      <c r="G730">
        <v>214</v>
      </c>
      <c r="H730">
        <v>129</v>
      </c>
      <c r="I730" t="s">
        <v>33</v>
      </c>
      <c r="J730">
        <v>4</v>
      </c>
      <c r="K730" t="s">
        <v>47</v>
      </c>
      <c r="L730">
        <v>245170</v>
      </c>
      <c r="M730">
        <v>3.53</v>
      </c>
      <c r="N730" s="6">
        <f t="shared" si="11"/>
        <v>7871369179.1999998</v>
      </c>
    </row>
    <row r="731" spans="1:14" x14ac:dyDescent="0.35">
      <c r="A731" t="s">
        <v>18</v>
      </c>
      <c r="B731" t="s">
        <v>93</v>
      </c>
      <c r="C731">
        <v>2024</v>
      </c>
      <c r="D731" t="s">
        <v>28</v>
      </c>
      <c r="E731">
        <v>55686.21</v>
      </c>
      <c r="F731">
        <v>91.7</v>
      </c>
      <c r="G731">
        <v>324</v>
      </c>
      <c r="H731">
        <v>179</v>
      </c>
      <c r="I731" t="s">
        <v>25</v>
      </c>
      <c r="J731">
        <v>5</v>
      </c>
      <c r="K731" t="s">
        <v>22</v>
      </c>
      <c r="L731">
        <v>18558</v>
      </c>
      <c r="M731">
        <v>3.6</v>
      </c>
      <c r="N731" s="6">
        <f t="shared" si="11"/>
        <v>1033424685.1799999</v>
      </c>
    </row>
    <row r="732" spans="1:14" x14ac:dyDescent="0.35">
      <c r="A732" t="s">
        <v>18</v>
      </c>
      <c r="B732" t="s">
        <v>93</v>
      </c>
      <c r="C732">
        <v>2024</v>
      </c>
      <c r="D732" t="s">
        <v>38</v>
      </c>
      <c r="E732">
        <v>36014.199999999997</v>
      </c>
      <c r="F732">
        <v>52.5</v>
      </c>
      <c r="G732">
        <v>186</v>
      </c>
      <c r="H732">
        <v>177</v>
      </c>
      <c r="I732" t="s">
        <v>33</v>
      </c>
      <c r="J732">
        <v>4</v>
      </c>
      <c r="K732" t="s">
        <v>22</v>
      </c>
      <c r="L732">
        <v>5267</v>
      </c>
      <c r="M732">
        <v>3.41</v>
      </c>
      <c r="N732" s="6">
        <f t="shared" si="11"/>
        <v>189686791.39999998</v>
      </c>
    </row>
    <row r="733" spans="1:14" x14ac:dyDescent="0.35">
      <c r="A733" t="s">
        <v>41</v>
      </c>
      <c r="B733" t="s">
        <v>42</v>
      </c>
      <c r="C733">
        <v>2024</v>
      </c>
      <c r="D733" t="s">
        <v>38</v>
      </c>
      <c r="E733">
        <v>65556.39</v>
      </c>
      <c r="F733">
        <v>55.1</v>
      </c>
      <c r="G733">
        <v>194</v>
      </c>
      <c r="H733">
        <v>143</v>
      </c>
      <c r="I733" t="s">
        <v>25</v>
      </c>
      <c r="J733">
        <v>5</v>
      </c>
      <c r="K733" t="s">
        <v>20</v>
      </c>
      <c r="L733">
        <v>2927</v>
      </c>
      <c r="M733">
        <v>3.38</v>
      </c>
      <c r="N733" s="6">
        <f t="shared" si="11"/>
        <v>191883553.53</v>
      </c>
    </row>
    <row r="734" spans="1:14" x14ac:dyDescent="0.35">
      <c r="A734" t="s">
        <v>26</v>
      </c>
      <c r="B734" t="s">
        <v>61</v>
      </c>
      <c r="C734">
        <v>2024</v>
      </c>
      <c r="D734" t="s">
        <v>43</v>
      </c>
      <c r="E734">
        <v>70066.61</v>
      </c>
      <c r="F734">
        <v>55.2</v>
      </c>
      <c r="G734">
        <v>186</v>
      </c>
      <c r="H734">
        <v>169</v>
      </c>
      <c r="I734" t="s">
        <v>21</v>
      </c>
      <c r="J734">
        <v>4</v>
      </c>
      <c r="K734" t="s">
        <v>20</v>
      </c>
      <c r="L734">
        <v>125092</v>
      </c>
      <c r="M734">
        <v>3.1</v>
      </c>
      <c r="N734" s="6">
        <f t="shared" si="11"/>
        <v>8764772378.1200008</v>
      </c>
    </row>
    <row r="735" spans="1:14" x14ac:dyDescent="0.35">
      <c r="A735" t="s">
        <v>64</v>
      </c>
      <c r="B735" t="s">
        <v>65</v>
      </c>
      <c r="C735">
        <v>2024</v>
      </c>
      <c r="D735" t="s">
        <v>43</v>
      </c>
      <c r="E735">
        <v>64827.83</v>
      </c>
      <c r="F735">
        <v>42.9</v>
      </c>
      <c r="G735">
        <v>150</v>
      </c>
      <c r="H735">
        <v>176</v>
      </c>
      <c r="I735" t="s">
        <v>21</v>
      </c>
      <c r="J735">
        <v>4</v>
      </c>
      <c r="K735" t="s">
        <v>22</v>
      </c>
      <c r="L735">
        <v>69279</v>
      </c>
      <c r="M735">
        <v>3.23</v>
      </c>
      <c r="N735" s="6">
        <f t="shared" si="11"/>
        <v>4491207234.5699997</v>
      </c>
    </row>
    <row r="736" spans="1:14" x14ac:dyDescent="0.35">
      <c r="A736" t="s">
        <v>18</v>
      </c>
      <c r="B736" t="s">
        <v>93</v>
      </c>
      <c r="C736">
        <v>2024</v>
      </c>
      <c r="D736" t="s">
        <v>43</v>
      </c>
      <c r="E736">
        <v>61582.84</v>
      </c>
      <c r="F736">
        <v>62.3</v>
      </c>
      <c r="G736">
        <v>215</v>
      </c>
      <c r="H736">
        <v>130</v>
      </c>
      <c r="I736" t="s">
        <v>32</v>
      </c>
      <c r="J736">
        <v>5</v>
      </c>
      <c r="K736" t="s">
        <v>22</v>
      </c>
      <c r="L736">
        <v>26767</v>
      </c>
      <c r="M736">
        <v>3.22</v>
      </c>
      <c r="N736" s="6">
        <f t="shared" si="11"/>
        <v>1648387878.28</v>
      </c>
    </row>
    <row r="737" spans="1:14" x14ac:dyDescent="0.35">
      <c r="A737" t="s">
        <v>49</v>
      </c>
      <c r="B737" t="s">
        <v>60</v>
      </c>
      <c r="C737">
        <v>2024</v>
      </c>
      <c r="D737" t="s">
        <v>20</v>
      </c>
      <c r="E737">
        <v>45546.32</v>
      </c>
      <c r="F737">
        <v>45.1</v>
      </c>
      <c r="G737">
        <v>160</v>
      </c>
      <c r="H737">
        <v>171</v>
      </c>
      <c r="I737" t="s">
        <v>40</v>
      </c>
      <c r="J737">
        <v>4</v>
      </c>
      <c r="K737" t="s">
        <v>22</v>
      </c>
      <c r="L737">
        <v>71807</v>
      </c>
      <c r="M737">
        <v>3.28</v>
      </c>
      <c r="N737" s="6">
        <f t="shared" si="11"/>
        <v>3270544600.2399998</v>
      </c>
    </row>
    <row r="738" spans="1:14" x14ac:dyDescent="0.35">
      <c r="A738" t="s">
        <v>41</v>
      </c>
      <c r="B738" t="s">
        <v>92</v>
      </c>
      <c r="C738">
        <v>2024</v>
      </c>
      <c r="D738" t="s">
        <v>28</v>
      </c>
      <c r="E738">
        <v>113331.61</v>
      </c>
      <c r="F738">
        <v>84.6</v>
      </c>
      <c r="G738">
        <v>274</v>
      </c>
      <c r="H738">
        <v>170</v>
      </c>
      <c r="I738" t="s">
        <v>16</v>
      </c>
      <c r="J738">
        <v>5</v>
      </c>
      <c r="K738" t="s">
        <v>17</v>
      </c>
      <c r="L738">
        <v>17978</v>
      </c>
      <c r="M738">
        <v>3.23</v>
      </c>
      <c r="N738" s="6">
        <f t="shared" si="11"/>
        <v>2037475684.5799999</v>
      </c>
    </row>
    <row r="739" spans="1:14" x14ac:dyDescent="0.35">
      <c r="A739" t="s">
        <v>80</v>
      </c>
      <c r="B739" t="s">
        <v>94</v>
      </c>
      <c r="C739">
        <v>2024</v>
      </c>
      <c r="D739" t="s">
        <v>28</v>
      </c>
      <c r="E739">
        <v>111922.96</v>
      </c>
      <c r="F739">
        <v>102.7</v>
      </c>
      <c r="G739">
        <v>358</v>
      </c>
      <c r="H739">
        <v>188</v>
      </c>
      <c r="I739" t="s">
        <v>32</v>
      </c>
      <c r="J739">
        <v>5</v>
      </c>
      <c r="K739" t="s">
        <v>17</v>
      </c>
      <c r="L739">
        <v>28429</v>
      </c>
      <c r="M739">
        <v>3.99</v>
      </c>
      <c r="N739" s="6">
        <f t="shared" si="11"/>
        <v>3181857829.8400002</v>
      </c>
    </row>
    <row r="740" spans="1:14" x14ac:dyDescent="0.35">
      <c r="A740" t="s">
        <v>23</v>
      </c>
      <c r="B740" t="s">
        <v>99</v>
      </c>
      <c r="C740">
        <v>2024</v>
      </c>
      <c r="D740" t="s">
        <v>15</v>
      </c>
      <c r="E740">
        <v>74262.98</v>
      </c>
      <c r="F740">
        <v>80.7</v>
      </c>
      <c r="G740">
        <v>285</v>
      </c>
      <c r="H740">
        <v>197</v>
      </c>
      <c r="I740" t="s">
        <v>40</v>
      </c>
      <c r="J740">
        <v>5</v>
      </c>
      <c r="K740" t="s">
        <v>20</v>
      </c>
      <c r="L740">
        <v>24171</v>
      </c>
      <c r="M740">
        <v>3.38</v>
      </c>
      <c r="N740" s="6">
        <f t="shared" si="11"/>
        <v>1795010489.5799999</v>
      </c>
    </row>
    <row r="741" spans="1:14" x14ac:dyDescent="0.35">
      <c r="A741" t="s">
        <v>49</v>
      </c>
      <c r="B741" t="s">
        <v>87</v>
      </c>
      <c r="C741">
        <v>2024</v>
      </c>
      <c r="D741" t="s">
        <v>28</v>
      </c>
      <c r="E741">
        <v>41621.620000000003</v>
      </c>
      <c r="F741">
        <v>97.9</v>
      </c>
      <c r="G741">
        <v>365</v>
      </c>
      <c r="H741">
        <v>162</v>
      </c>
      <c r="I741" t="s">
        <v>32</v>
      </c>
      <c r="J741">
        <v>5</v>
      </c>
      <c r="K741" t="s">
        <v>22</v>
      </c>
      <c r="L741">
        <v>70525</v>
      </c>
      <c r="M741">
        <v>3.62</v>
      </c>
      <c r="N741" s="6">
        <f t="shared" si="11"/>
        <v>2935364750.5</v>
      </c>
    </row>
    <row r="742" spans="1:14" x14ac:dyDescent="0.35">
      <c r="A742" t="s">
        <v>34</v>
      </c>
      <c r="B742" t="s">
        <v>35</v>
      </c>
      <c r="C742">
        <v>2024</v>
      </c>
      <c r="D742" t="s">
        <v>15</v>
      </c>
      <c r="E742">
        <v>114049.24</v>
      </c>
      <c r="F742">
        <v>103.4</v>
      </c>
      <c r="G742">
        <v>368</v>
      </c>
      <c r="H742">
        <v>187</v>
      </c>
      <c r="I742" t="s">
        <v>25</v>
      </c>
      <c r="J742">
        <v>5</v>
      </c>
      <c r="K742" t="s">
        <v>17</v>
      </c>
      <c r="L742">
        <v>68987</v>
      </c>
      <c r="M742">
        <v>3.92</v>
      </c>
      <c r="N742" s="6">
        <f t="shared" si="11"/>
        <v>7867914919.8800001</v>
      </c>
    </row>
    <row r="743" spans="1:14" x14ac:dyDescent="0.35">
      <c r="A743" t="s">
        <v>29</v>
      </c>
      <c r="B743" t="s">
        <v>30</v>
      </c>
      <c r="C743">
        <v>2024</v>
      </c>
      <c r="D743" t="s">
        <v>43</v>
      </c>
      <c r="E743">
        <v>36657.019999999997</v>
      </c>
      <c r="F743">
        <v>61.2</v>
      </c>
      <c r="G743">
        <v>188</v>
      </c>
      <c r="H743">
        <v>144</v>
      </c>
      <c r="I743" t="s">
        <v>33</v>
      </c>
      <c r="J743">
        <v>5</v>
      </c>
      <c r="K743" t="s">
        <v>22</v>
      </c>
      <c r="L743">
        <v>208877</v>
      </c>
      <c r="M743">
        <v>3.91</v>
      </c>
      <c r="N743" s="6">
        <f t="shared" si="11"/>
        <v>7656808366.539999</v>
      </c>
    </row>
    <row r="744" spans="1:14" x14ac:dyDescent="0.35">
      <c r="A744" t="s">
        <v>26</v>
      </c>
      <c r="B744" t="s">
        <v>36</v>
      </c>
      <c r="C744">
        <v>2024</v>
      </c>
      <c r="D744" t="s">
        <v>15</v>
      </c>
      <c r="E744">
        <v>51697.58</v>
      </c>
      <c r="F744">
        <v>115.1</v>
      </c>
      <c r="G744">
        <v>396</v>
      </c>
      <c r="H744">
        <v>194</v>
      </c>
      <c r="I744" t="s">
        <v>16</v>
      </c>
      <c r="J744">
        <v>5</v>
      </c>
      <c r="K744" t="s">
        <v>22</v>
      </c>
      <c r="L744">
        <v>56242</v>
      </c>
      <c r="M744">
        <v>3.84</v>
      </c>
      <c r="N744" s="6">
        <f t="shared" si="11"/>
        <v>2907575294.3600001</v>
      </c>
    </row>
    <row r="745" spans="1:14" x14ac:dyDescent="0.35">
      <c r="A745" t="s">
        <v>13</v>
      </c>
      <c r="B745" t="s">
        <v>51</v>
      </c>
      <c r="C745">
        <v>2024</v>
      </c>
      <c r="D745" t="s">
        <v>43</v>
      </c>
      <c r="E745">
        <v>36019.25</v>
      </c>
      <c r="F745">
        <v>63.3</v>
      </c>
      <c r="G745">
        <v>224</v>
      </c>
      <c r="H745">
        <v>140</v>
      </c>
      <c r="I745" t="s">
        <v>32</v>
      </c>
      <c r="J745">
        <v>4</v>
      </c>
      <c r="K745" t="s">
        <v>22</v>
      </c>
      <c r="L745">
        <v>209890</v>
      </c>
      <c r="M745">
        <v>3.52</v>
      </c>
      <c r="N745" s="6">
        <f t="shared" si="11"/>
        <v>7560080382.5</v>
      </c>
    </row>
    <row r="746" spans="1:14" x14ac:dyDescent="0.35">
      <c r="A746" t="s">
        <v>41</v>
      </c>
      <c r="B746" t="s">
        <v>92</v>
      </c>
      <c r="C746">
        <v>2024</v>
      </c>
      <c r="D746" t="s">
        <v>20</v>
      </c>
      <c r="E746">
        <v>121374.95</v>
      </c>
      <c r="F746">
        <v>70.8</v>
      </c>
      <c r="G746">
        <v>262</v>
      </c>
      <c r="H746">
        <v>153</v>
      </c>
      <c r="I746" t="s">
        <v>25</v>
      </c>
      <c r="J746">
        <v>3</v>
      </c>
      <c r="K746" t="s">
        <v>17</v>
      </c>
      <c r="L746">
        <v>26859</v>
      </c>
      <c r="M746">
        <v>3.7</v>
      </c>
      <c r="N746" s="6">
        <f t="shared" si="11"/>
        <v>3260009782.0499997</v>
      </c>
    </row>
    <row r="747" spans="1:14" x14ac:dyDescent="0.35">
      <c r="A747" t="s">
        <v>45</v>
      </c>
      <c r="B747" t="s">
        <v>54</v>
      </c>
      <c r="C747">
        <v>2024</v>
      </c>
      <c r="D747" t="s">
        <v>38</v>
      </c>
      <c r="E747">
        <v>40390.03</v>
      </c>
      <c r="F747">
        <v>62.1</v>
      </c>
      <c r="G747">
        <v>232</v>
      </c>
      <c r="H747">
        <v>138</v>
      </c>
      <c r="I747" t="s">
        <v>33</v>
      </c>
      <c r="J747">
        <v>5</v>
      </c>
      <c r="K747" t="s">
        <v>22</v>
      </c>
      <c r="L747">
        <v>138054</v>
      </c>
      <c r="M747">
        <v>3.39</v>
      </c>
      <c r="N747" s="6">
        <f t="shared" si="11"/>
        <v>5576005201.6199999</v>
      </c>
    </row>
    <row r="748" spans="1:14" x14ac:dyDescent="0.35">
      <c r="A748" t="s">
        <v>29</v>
      </c>
      <c r="B748" t="s">
        <v>53</v>
      </c>
      <c r="C748">
        <v>2024</v>
      </c>
      <c r="D748" t="s">
        <v>28</v>
      </c>
      <c r="E748">
        <v>45682.18</v>
      </c>
      <c r="F748">
        <v>109.7</v>
      </c>
      <c r="G748">
        <v>377</v>
      </c>
      <c r="H748">
        <v>165</v>
      </c>
      <c r="I748" t="s">
        <v>16</v>
      </c>
      <c r="J748">
        <v>4</v>
      </c>
      <c r="K748" t="s">
        <v>22</v>
      </c>
      <c r="L748">
        <v>170687</v>
      </c>
      <c r="M748">
        <v>3.94</v>
      </c>
      <c r="N748" s="6">
        <f t="shared" si="11"/>
        <v>7797354257.6599998</v>
      </c>
    </row>
    <row r="749" spans="1:14" x14ac:dyDescent="0.35">
      <c r="A749" t="s">
        <v>111</v>
      </c>
      <c r="B749" t="s">
        <v>112</v>
      </c>
      <c r="C749">
        <v>2024</v>
      </c>
      <c r="D749" t="s">
        <v>15</v>
      </c>
      <c r="E749">
        <v>102584.09</v>
      </c>
      <c r="F749">
        <v>74.5</v>
      </c>
      <c r="G749">
        <v>250</v>
      </c>
      <c r="H749">
        <v>195</v>
      </c>
      <c r="I749" t="s">
        <v>32</v>
      </c>
      <c r="J749">
        <v>5</v>
      </c>
      <c r="K749" t="s">
        <v>17</v>
      </c>
      <c r="L749">
        <v>19780</v>
      </c>
      <c r="M749">
        <v>3.36</v>
      </c>
      <c r="N749" s="6">
        <f t="shared" si="11"/>
        <v>2029113300.2</v>
      </c>
    </row>
    <row r="750" spans="1:14" x14ac:dyDescent="0.35">
      <c r="A750" t="s">
        <v>26</v>
      </c>
      <c r="B750" t="s">
        <v>27</v>
      </c>
      <c r="C750">
        <v>2024</v>
      </c>
      <c r="D750" t="s">
        <v>28</v>
      </c>
      <c r="E750">
        <v>99048.18</v>
      </c>
      <c r="F750">
        <v>89</v>
      </c>
      <c r="G750">
        <v>324</v>
      </c>
      <c r="H750">
        <v>168</v>
      </c>
      <c r="I750" t="s">
        <v>21</v>
      </c>
      <c r="J750">
        <v>5</v>
      </c>
      <c r="K750" t="s">
        <v>20</v>
      </c>
      <c r="L750">
        <v>55742</v>
      </c>
      <c r="M750">
        <v>3.56</v>
      </c>
      <c r="N750" s="6">
        <f t="shared" si="11"/>
        <v>5521143649.5599995</v>
      </c>
    </row>
    <row r="751" spans="1:14" x14ac:dyDescent="0.35">
      <c r="A751" t="s">
        <v>34</v>
      </c>
      <c r="B751" t="s">
        <v>78</v>
      </c>
      <c r="C751">
        <v>2024</v>
      </c>
      <c r="D751" t="s">
        <v>15</v>
      </c>
      <c r="E751">
        <v>167898.8</v>
      </c>
      <c r="F751">
        <v>106</v>
      </c>
      <c r="G751">
        <v>375</v>
      </c>
      <c r="H751">
        <v>200</v>
      </c>
      <c r="I751" t="s">
        <v>33</v>
      </c>
      <c r="J751">
        <v>4</v>
      </c>
      <c r="K751" t="s">
        <v>17</v>
      </c>
      <c r="L751">
        <v>20936</v>
      </c>
      <c r="M751">
        <v>4.04</v>
      </c>
      <c r="N751" s="6">
        <f t="shared" si="11"/>
        <v>3515129276.7999997</v>
      </c>
    </row>
    <row r="752" spans="1:14" x14ac:dyDescent="0.35">
      <c r="A752" t="s">
        <v>26</v>
      </c>
      <c r="B752" t="s">
        <v>96</v>
      </c>
      <c r="C752">
        <v>2024</v>
      </c>
      <c r="D752" t="s">
        <v>38</v>
      </c>
      <c r="E752">
        <v>30277.360000000001</v>
      </c>
      <c r="F752">
        <v>62.3</v>
      </c>
      <c r="G752">
        <v>226</v>
      </c>
      <c r="H752">
        <v>172</v>
      </c>
      <c r="I752" t="s">
        <v>25</v>
      </c>
      <c r="J752">
        <v>5</v>
      </c>
      <c r="K752" t="s">
        <v>47</v>
      </c>
      <c r="L752">
        <v>130299</v>
      </c>
      <c r="M752">
        <v>3.2</v>
      </c>
      <c r="N752" s="6">
        <f t="shared" si="11"/>
        <v>3945109730.6399999</v>
      </c>
    </row>
    <row r="753" spans="1:14" x14ac:dyDescent="0.35">
      <c r="A753" t="s">
        <v>45</v>
      </c>
      <c r="B753" t="s">
        <v>88</v>
      </c>
      <c r="C753">
        <v>2024</v>
      </c>
      <c r="D753" t="s">
        <v>15</v>
      </c>
      <c r="E753">
        <v>103480.37</v>
      </c>
      <c r="F753">
        <v>104.9</v>
      </c>
      <c r="G753">
        <v>347</v>
      </c>
      <c r="H753">
        <v>200</v>
      </c>
      <c r="I753" t="s">
        <v>21</v>
      </c>
      <c r="J753">
        <v>4</v>
      </c>
      <c r="K753" t="s">
        <v>17</v>
      </c>
      <c r="L753">
        <v>211837</v>
      </c>
      <c r="M753">
        <v>3.58</v>
      </c>
      <c r="N753" s="6">
        <f t="shared" si="11"/>
        <v>21920971139.689999</v>
      </c>
    </row>
    <row r="754" spans="1:14" x14ac:dyDescent="0.35">
      <c r="A754" t="s">
        <v>49</v>
      </c>
      <c r="B754" t="s">
        <v>60</v>
      </c>
      <c r="C754">
        <v>2024</v>
      </c>
      <c r="D754" t="s">
        <v>28</v>
      </c>
      <c r="E754">
        <v>84751.75</v>
      </c>
      <c r="F754">
        <v>83.1</v>
      </c>
      <c r="G754">
        <v>305</v>
      </c>
      <c r="H754">
        <v>169</v>
      </c>
      <c r="I754" t="s">
        <v>25</v>
      </c>
      <c r="J754">
        <v>5</v>
      </c>
      <c r="K754" t="s">
        <v>20</v>
      </c>
      <c r="L754">
        <v>53893</v>
      </c>
      <c r="M754">
        <v>3.55</v>
      </c>
      <c r="N754" s="6">
        <f t="shared" si="11"/>
        <v>4567526062.75</v>
      </c>
    </row>
    <row r="755" spans="1:14" x14ac:dyDescent="0.35">
      <c r="A755" t="s">
        <v>13</v>
      </c>
      <c r="B755" t="s">
        <v>51</v>
      </c>
      <c r="C755">
        <v>2024</v>
      </c>
      <c r="D755" t="s">
        <v>43</v>
      </c>
      <c r="E755">
        <v>78233.39</v>
      </c>
      <c r="F755">
        <v>46.6</v>
      </c>
      <c r="G755">
        <v>161</v>
      </c>
      <c r="H755">
        <v>139</v>
      </c>
      <c r="I755" t="s">
        <v>33</v>
      </c>
      <c r="J755">
        <v>4</v>
      </c>
      <c r="K755" t="s">
        <v>20</v>
      </c>
      <c r="L755">
        <v>259295</v>
      </c>
      <c r="M755">
        <v>3.2</v>
      </c>
      <c r="N755" s="6">
        <f t="shared" si="11"/>
        <v>20285526860.049999</v>
      </c>
    </row>
    <row r="756" spans="1:14" x14ac:dyDescent="0.35">
      <c r="A756" t="s">
        <v>29</v>
      </c>
      <c r="B756" t="s">
        <v>31</v>
      </c>
      <c r="C756">
        <v>2024</v>
      </c>
      <c r="D756" t="s">
        <v>43</v>
      </c>
      <c r="E756">
        <v>110000.94</v>
      </c>
      <c r="F756">
        <v>53.4</v>
      </c>
      <c r="G756">
        <v>163</v>
      </c>
      <c r="H756">
        <v>172</v>
      </c>
      <c r="I756" t="s">
        <v>40</v>
      </c>
      <c r="J756">
        <v>4</v>
      </c>
      <c r="K756" t="s">
        <v>17</v>
      </c>
      <c r="L756">
        <v>414109</v>
      </c>
      <c r="M756">
        <v>3.55</v>
      </c>
      <c r="N756" s="6">
        <f t="shared" si="11"/>
        <v>45552379262.459999</v>
      </c>
    </row>
    <row r="757" spans="1:14" x14ac:dyDescent="0.35">
      <c r="A757" t="s">
        <v>13</v>
      </c>
      <c r="B757" t="s">
        <v>51</v>
      </c>
      <c r="C757">
        <v>2024</v>
      </c>
      <c r="D757" t="s">
        <v>28</v>
      </c>
      <c r="E757">
        <v>67460.11</v>
      </c>
      <c r="F757">
        <v>97.9</v>
      </c>
      <c r="G757">
        <v>324</v>
      </c>
      <c r="H757">
        <v>180</v>
      </c>
      <c r="I757" t="s">
        <v>16</v>
      </c>
      <c r="J757">
        <v>4</v>
      </c>
      <c r="K757" t="s">
        <v>20</v>
      </c>
      <c r="L757">
        <v>219503</v>
      </c>
      <c r="M757">
        <v>3.66</v>
      </c>
      <c r="N757" s="6">
        <f t="shared" si="11"/>
        <v>14807696525.33</v>
      </c>
    </row>
    <row r="758" spans="1:14" x14ac:dyDescent="0.35">
      <c r="A758" t="s">
        <v>34</v>
      </c>
      <c r="B758" t="s">
        <v>35</v>
      </c>
      <c r="C758">
        <v>2024</v>
      </c>
      <c r="D758" t="s">
        <v>15</v>
      </c>
      <c r="E758">
        <v>175695.73</v>
      </c>
      <c r="F758">
        <v>119.3</v>
      </c>
      <c r="G758">
        <v>421</v>
      </c>
      <c r="H758">
        <v>200</v>
      </c>
      <c r="I758" t="s">
        <v>16</v>
      </c>
      <c r="J758">
        <v>4</v>
      </c>
      <c r="K758" t="s">
        <v>17</v>
      </c>
      <c r="L758">
        <v>47072</v>
      </c>
      <c r="M758">
        <v>4.1399999999999997</v>
      </c>
      <c r="N758" s="6">
        <f t="shared" si="11"/>
        <v>8270349402.5600004</v>
      </c>
    </row>
    <row r="759" spans="1:14" x14ac:dyDescent="0.35">
      <c r="A759" t="s">
        <v>29</v>
      </c>
      <c r="B759" t="s">
        <v>53</v>
      </c>
      <c r="C759">
        <v>2024</v>
      </c>
      <c r="D759" t="s">
        <v>15</v>
      </c>
      <c r="E759">
        <v>68394.929999999993</v>
      </c>
      <c r="F759">
        <v>94.8</v>
      </c>
      <c r="G759">
        <v>315</v>
      </c>
      <c r="H759">
        <v>179</v>
      </c>
      <c r="I759" t="s">
        <v>16</v>
      </c>
      <c r="J759">
        <v>5</v>
      </c>
      <c r="K759" t="s">
        <v>20</v>
      </c>
      <c r="L759">
        <v>230110</v>
      </c>
      <c r="M759">
        <v>4</v>
      </c>
      <c r="N759" s="6">
        <f t="shared" si="11"/>
        <v>15738357342.299999</v>
      </c>
    </row>
    <row r="760" spans="1:14" x14ac:dyDescent="0.35">
      <c r="A760" t="s">
        <v>114</v>
      </c>
      <c r="B760" t="s">
        <v>136</v>
      </c>
      <c r="C760">
        <v>2024</v>
      </c>
      <c r="D760" t="s">
        <v>20</v>
      </c>
      <c r="E760">
        <v>98223.61</v>
      </c>
      <c r="F760">
        <v>58.4</v>
      </c>
      <c r="G760">
        <v>219</v>
      </c>
      <c r="H760">
        <v>147</v>
      </c>
      <c r="I760" t="s">
        <v>33</v>
      </c>
      <c r="J760">
        <v>4</v>
      </c>
      <c r="K760" t="s">
        <v>20</v>
      </c>
      <c r="L760">
        <v>3904</v>
      </c>
      <c r="M760">
        <v>3.65</v>
      </c>
      <c r="N760" s="6">
        <f t="shared" si="11"/>
        <v>383464973.44</v>
      </c>
    </row>
    <row r="761" spans="1:14" x14ac:dyDescent="0.35">
      <c r="A761" t="s">
        <v>49</v>
      </c>
      <c r="B761" t="s">
        <v>71</v>
      </c>
      <c r="C761">
        <v>2024</v>
      </c>
      <c r="D761" t="s">
        <v>20</v>
      </c>
      <c r="E761">
        <v>39646.49</v>
      </c>
      <c r="F761">
        <v>41</v>
      </c>
      <c r="G761">
        <v>150</v>
      </c>
      <c r="H761">
        <v>174</v>
      </c>
      <c r="I761" t="s">
        <v>32</v>
      </c>
      <c r="J761">
        <v>5</v>
      </c>
      <c r="K761" t="s">
        <v>22</v>
      </c>
      <c r="L761">
        <v>129173</v>
      </c>
      <c r="M761">
        <v>3</v>
      </c>
      <c r="N761" s="6">
        <f t="shared" si="11"/>
        <v>5121256052.7699995</v>
      </c>
    </row>
    <row r="762" spans="1:14" x14ac:dyDescent="0.35">
      <c r="A762" t="s">
        <v>29</v>
      </c>
      <c r="B762" t="s">
        <v>30</v>
      </c>
      <c r="C762">
        <v>2024</v>
      </c>
      <c r="D762" t="s">
        <v>20</v>
      </c>
      <c r="E762">
        <v>164903.76</v>
      </c>
      <c r="F762">
        <v>51.1</v>
      </c>
      <c r="G762">
        <v>184</v>
      </c>
      <c r="H762">
        <v>159</v>
      </c>
      <c r="I762" t="s">
        <v>33</v>
      </c>
      <c r="J762">
        <v>3</v>
      </c>
      <c r="K762" t="s">
        <v>17</v>
      </c>
      <c r="L762">
        <v>238934</v>
      </c>
      <c r="M762">
        <v>3.62</v>
      </c>
      <c r="N762" s="6">
        <f t="shared" si="11"/>
        <v>39401114991.840004</v>
      </c>
    </row>
    <row r="763" spans="1:14" x14ac:dyDescent="0.35">
      <c r="A763" t="s">
        <v>29</v>
      </c>
      <c r="B763" t="s">
        <v>39</v>
      </c>
      <c r="C763">
        <v>2024</v>
      </c>
      <c r="D763" t="s">
        <v>43</v>
      </c>
      <c r="E763">
        <v>132957.6</v>
      </c>
      <c r="F763">
        <v>57.4</v>
      </c>
      <c r="G763">
        <v>197</v>
      </c>
      <c r="H763">
        <v>168</v>
      </c>
      <c r="I763" t="s">
        <v>40</v>
      </c>
      <c r="J763">
        <v>5</v>
      </c>
      <c r="K763" t="s">
        <v>17</v>
      </c>
      <c r="L763">
        <v>220563</v>
      </c>
      <c r="M763">
        <v>3.46</v>
      </c>
      <c r="N763" s="6">
        <f t="shared" si="11"/>
        <v>29325527128.800003</v>
      </c>
    </row>
    <row r="764" spans="1:14" x14ac:dyDescent="0.35">
      <c r="A764" t="s">
        <v>64</v>
      </c>
      <c r="B764" t="s">
        <v>65</v>
      </c>
      <c r="C764">
        <v>2024</v>
      </c>
      <c r="D764" t="s">
        <v>28</v>
      </c>
      <c r="E764">
        <v>126323.43</v>
      </c>
      <c r="F764">
        <v>92.6</v>
      </c>
      <c r="G764">
        <v>337</v>
      </c>
      <c r="H764">
        <v>190</v>
      </c>
      <c r="I764" t="s">
        <v>32</v>
      </c>
      <c r="J764">
        <v>5</v>
      </c>
      <c r="K764" t="s">
        <v>17</v>
      </c>
      <c r="L764">
        <v>51591</v>
      </c>
      <c r="M764">
        <v>3.87</v>
      </c>
      <c r="N764" s="6">
        <f t="shared" si="11"/>
        <v>6517152077.1300001</v>
      </c>
    </row>
    <row r="765" spans="1:14" x14ac:dyDescent="0.35">
      <c r="A765" t="s">
        <v>45</v>
      </c>
      <c r="B765" t="s">
        <v>77</v>
      </c>
      <c r="C765">
        <v>2024</v>
      </c>
      <c r="D765" t="s">
        <v>28</v>
      </c>
      <c r="E765">
        <v>38014.51</v>
      </c>
      <c r="F765">
        <v>86.6</v>
      </c>
      <c r="G765">
        <v>325</v>
      </c>
      <c r="H765">
        <v>169</v>
      </c>
      <c r="I765" t="s">
        <v>21</v>
      </c>
      <c r="J765">
        <v>5</v>
      </c>
      <c r="K765" t="s">
        <v>22</v>
      </c>
      <c r="L765">
        <v>241420</v>
      </c>
      <c r="M765">
        <v>3.72</v>
      </c>
      <c r="N765" s="6">
        <f t="shared" si="11"/>
        <v>9177463004.2000008</v>
      </c>
    </row>
    <row r="766" spans="1:14" x14ac:dyDescent="0.35">
      <c r="A766" t="s">
        <v>57</v>
      </c>
      <c r="B766" t="s">
        <v>58</v>
      </c>
      <c r="C766">
        <v>2024</v>
      </c>
      <c r="D766" t="s">
        <v>20</v>
      </c>
      <c r="E766">
        <v>96727.35</v>
      </c>
      <c r="F766">
        <v>71.400000000000006</v>
      </c>
      <c r="G766">
        <v>233</v>
      </c>
      <c r="H766">
        <v>140</v>
      </c>
      <c r="I766" t="s">
        <v>32</v>
      </c>
      <c r="J766">
        <v>3</v>
      </c>
      <c r="K766" t="s">
        <v>20</v>
      </c>
      <c r="L766">
        <v>75873</v>
      </c>
      <c r="M766">
        <v>3.24</v>
      </c>
      <c r="N766" s="6">
        <f t="shared" si="11"/>
        <v>7338994226.5500002</v>
      </c>
    </row>
    <row r="767" spans="1:14" x14ac:dyDescent="0.35">
      <c r="A767" t="s">
        <v>64</v>
      </c>
      <c r="B767" t="s">
        <v>65</v>
      </c>
      <c r="C767">
        <v>2024</v>
      </c>
      <c r="D767" t="s">
        <v>38</v>
      </c>
      <c r="E767">
        <v>84385.88</v>
      </c>
      <c r="F767">
        <v>47.3</v>
      </c>
      <c r="G767">
        <v>177</v>
      </c>
      <c r="H767">
        <v>136</v>
      </c>
      <c r="I767" t="s">
        <v>40</v>
      </c>
      <c r="J767">
        <v>5</v>
      </c>
      <c r="K767" t="s">
        <v>20</v>
      </c>
      <c r="L767">
        <v>74771</v>
      </c>
      <c r="M767">
        <v>3.09</v>
      </c>
      <c r="N767" s="6">
        <f t="shared" si="11"/>
        <v>6309616633.4800005</v>
      </c>
    </row>
    <row r="768" spans="1:14" x14ac:dyDescent="0.35">
      <c r="A768" t="s">
        <v>45</v>
      </c>
      <c r="B768" t="s">
        <v>88</v>
      </c>
      <c r="C768">
        <v>2024</v>
      </c>
      <c r="D768" t="s">
        <v>15</v>
      </c>
      <c r="E768">
        <v>54577.89</v>
      </c>
      <c r="F768">
        <v>119.6</v>
      </c>
      <c r="G768">
        <v>427</v>
      </c>
      <c r="H768">
        <v>190</v>
      </c>
      <c r="I768" t="s">
        <v>32</v>
      </c>
      <c r="J768">
        <v>5</v>
      </c>
      <c r="K768" t="s">
        <v>22</v>
      </c>
      <c r="L768">
        <v>139526</v>
      </c>
      <c r="M768">
        <v>3.84</v>
      </c>
      <c r="N768" s="6">
        <f t="shared" si="11"/>
        <v>7615034680.1400003</v>
      </c>
    </row>
    <row r="769" spans="1:14" x14ac:dyDescent="0.35">
      <c r="A769" t="s">
        <v>49</v>
      </c>
      <c r="B769" t="s">
        <v>50</v>
      </c>
      <c r="C769">
        <v>2024</v>
      </c>
      <c r="D769" t="s">
        <v>28</v>
      </c>
      <c r="E769">
        <v>90974.8</v>
      </c>
      <c r="F769">
        <v>80.400000000000006</v>
      </c>
      <c r="G769">
        <v>296</v>
      </c>
      <c r="H769">
        <v>179</v>
      </c>
      <c r="I769" t="s">
        <v>25</v>
      </c>
      <c r="J769">
        <v>4</v>
      </c>
      <c r="K769" t="s">
        <v>20</v>
      </c>
      <c r="L769">
        <v>59668</v>
      </c>
      <c r="M769">
        <v>3.91</v>
      </c>
      <c r="N769" s="6">
        <f t="shared" si="11"/>
        <v>5428284366.4000006</v>
      </c>
    </row>
    <row r="770" spans="1:14" x14ac:dyDescent="0.35">
      <c r="A770" t="s">
        <v>49</v>
      </c>
      <c r="B770" t="s">
        <v>90</v>
      </c>
      <c r="C770">
        <v>2024</v>
      </c>
      <c r="D770" t="s">
        <v>20</v>
      </c>
      <c r="E770">
        <v>40685.58</v>
      </c>
      <c r="F770">
        <v>66.5</v>
      </c>
      <c r="G770">
        <v>247</v>
      </c>
      <c r="H770">
        <v>159</v>
      </c>
      <c r="I770" t="s">
        <v>32</v>
      </c>
      <c r="J770">
        <v>5</v>
      </c>
      <c r="K770" t="s">
        <v>22</v>
      </c>
      <c r="L770">
        <v>143645</v>
      </c>
      <c r="M770">
        <v>3.36</v>
      </c>
      <c r="N770" s="6">
        <f t="shared" ref="N770:N833" si="12">E770*L770</f>
        <v>5844280139.1000004</v>
      </c>
    </row>
    <row r="771" spans="1:14" x14ac:dyDescent="0.35">
      <c r="A771" t="s">
        <v>45</v>
      </c>
      <c r="B771" t="s">
        <v>54</v>
      </c>
      <c r="C771">
        <v>2024</v>
      </c>
      <c r="D771" t="s">
        <v>38</v>
      </c>
      <c r="E771">
        <v>73962.429999999993</v>
      </c>
      <c r="F771">
        <v>41.7</v>
      </c>
      <c r="G771">
        <v>163</v>
      </c>
      <c r="H771">
        <v>163</v>
      </c>
      <c r="I771" t="s">
        <v>40</v>
      </c>
      <c r="J771">
        <v>5</v>
      </c>
      <c r="K771" t="s">
        <v>20</v>
      </c>
      <c r="L771">
        <v>121424</v>
      </c>
      <c r="M771">
        <v>3.25</v>
      </c>
      <c r="N771" s="6">
        <f t="shared" si="12"/>
        <v>8980814100.3199997</v>
      </c>
    </row>
    <row r="772" spans="1:14" x14ac:dyDescent="0.35">
      <c r="A772" t="s">
        <v>29</v>
      </c>
      <c r="B772" t="s">
        <v>30</v>
      </c>
      <c r="C772">
        <v>2024</v>
      </c>
      <c r="D772" t="s">
        <v>28</v>
      </c>
      <c r="E772">
        <v>73678.259999999995</v>
      </c>
      <c r="F772">
        <v>106.1</v>
      </c>
      <c r="G772">
        <v>370</v>
      </c>
      <c r="H772">
        <v>177</v>
      </c>
      <c r="I772" t="s">
        <v>33</v>
      </c>
      <c r="J772">
        <v>5</v>
      </c>
      <c r="K772" t="s">
        <v>20</v>
      </c>
      <c r="L772">
        <v>201869</v>
      </c>
      <c r="M772">
        <v>3.99</v>
      </c>
      <c r="N772" s="6">
        <f t="shared" si="12"/>
        <v>14873356667.939999</v>
      </c>
    </row>
    <row r="773" spans="1:14" x14ac:dyDescent="0.35">
      <c r="A773" t="s">
        <v>67</v>
      </c>
      <c r="B773" t="s">
        <v>89</v>
      </c>
      <c r="C773">
        <v>2024</v>
      </c>
      <c r="D773" t="s">
        <v>43</v>
      </c>
      <c r="E773">
        <v>62074.39</v>
      </c>
      <c r="F773">
        <v>65.3</v>
      </c>
      <c r="G773">
        <v>236</v>
      </c>
      <c r="H773">
        <v>160</v>
      </c>
      <c r="I773" t="s">
        <v>21</v>
      </c>
      <c r="J773">
        <v>5</v>
      </c>
      <c r="K773" t="s">
        <v>22</v>
      </c>
      <c r="L773">
        <v>41240</v>
      </c>
      <c r="M773">
        <v>3.53</v>
      </c>
      <c r="N773" s="6">
        <f t="shared" si="12"/>
        <v>2559947843.5999999</v>
      </c>
    </row>
    <row r="774" spans="1:14" x14ac:dyDescent="0.35">
      <c r="A774" t="s">
        <v>26</v>
      </c>
      <c r="B774" t="s">
        <v>96</v>
      </c>
      <c r="C774">
        <v>2024</v>
      </c>
      <c r="D774" t="s">
        <v>15</v>
      </c>
      <c r="E774">
        <v>68316.17</v>
      </c>
      <c r="F774">
        <v>76.400000000000006</v>
      </c>
      <c r="G774">
        <v>262</v>
      </c>
      <c r="H774">
        <v>189</v>
      </c>
      <c r="I774" t="s">
        <v>32</v>
      </c>
      <c r="J774">
        <v>4</v>
      </c>
      <c r="K774" t="s">
        <v>20</v>
      </c>
      <c r="L774">
        <v>86275</v>
      </c>
      <c r="M774">
        <v>3.61</v>
      </c>
      <c r="N774" s="6">
        <f t="shared" si="12"/>
        <v>5893977566.75</v>
      </c>
    </row>
    <row r="775" spans="1:14" x14ac:dyDescent="0.35">
      <c r="A775" t="s">
        <v>49</v>
      </c>
      <c r="B775" t="s">
        <v>60</v>
      </c>
      <c r="C775">
        <v>2024</v>
      </c>
      <c r="D775" t="s">
        <v>43</v>
      </c>
      <c r="E775">
        <v>60164.53</v>
      </c>
      <c r="F775">
        <v>53.1</v>
      </c>
      <c r="G775">
        <v>185</v>
      </c>
      <c r="H775">
        <v>146</v>
      </c>
      <c r="I775" t="s">
        <v>21</v>
      </c>
      <c r="J775">
        <v>5</v>
      </c>
      <c r="K775" t="s">
        <v>22</v>
      </c>
      <c r="L775">
        <v>85467</v>
      </c>
      <c r="M775">
        <v>3.29</v>
      </c>
      <c r="N775" s="6">
        <f t="shared" si="12"/>
        <v>5142081885.5100002</v>
      </c>
    </row>
    <row r="776" spans="1:14" x14ac:dyDescent="0.35">
      <c r="A776" t="s">
        <v>49</v>
      </c>
      <c r="B776" t="s">
        <v>90</v>
      </c>
      <c r="C776">
        <v>2024</v>
      </c>
      <c r="D776" t="s">
        <v>38</v>
      </c>
      <c r="E776">
        <v>35093.17</v>
      </c>
      <c r="F776">
        <v>77.099999999999994</v>
      </c>
      <c r="G776">
        <v>295</v>
      </c>
      <c r="H776">
        <v>134</v>
      </c>
      <c r="I776" t="s">
        <v>25</v>
      </c>
      <c r="J776">
        <v>4</v>
      </c>
      <c r="K776" t="s">
        <v>22</v>
      </c>
      <c r="L776">
        <v>117101</v>
      </c>
      <c r="M776">
        <v>3.46</v>
      </c>
      <c r="N776" s="6">
        <f t="shared" si="12"/>
        <v>4109445300.1699996</v>
      </c>
    </row>
    <row r="777" spans="1:14" x14ac:dyDescent="0.35">
      <c r="A777" t="s">
        <v>29</v>
      </c>
      <c r="B777" t="s">
        <v>53</v>
      </c>
      <c r="C777">
        <v>2024</v>
      </c>
      <c r="D777" t="s">
        <v>15</v>
      </c>
      <c r="E777">
        <v>188964.7</v>
      </c>
      <c r="F777">
        <v>106.8</v>
      </c>
      <c r="G777">
        <v>367</v>
      </c>
      <c r="H777">
        <v>193</v>
      </c>
      <c r="I777" t="s">
        <v>16</v>
      </c>
      <c r="J777">
        <v>4</v>
      </c>
      <c r="K777" t="s">
        <v>17</v>
      </c>
      <c r="L777">
        <v>239165</v>
      </c>
      <c r="M777">
        <v>4.2699999999999996</v>
      </c>
      <c r="N777" s="6">
        <f t="shared" si="12"/>
        <v>45193742475.5</v>
      </c>
    </row>
    <row r="778" spans="1:14" x14ac:dyDescent="0.35">
      <c r="A778" t="s">
        <v>26</v>
      </c>
      <c r="B778" t="s">
        <v>27</v>
      </c>
      <c r="C778">
        <v>2024</v>
      </c>
      <c r="D778" t="s">
        <v>43</v>
      </c>
      <c r="E778">
        <v>56593.19</v>
      </c>
      <c r="F778">
        <v>56.2</v>
      </c>
      <c r="G778">
        <v>197</v>
      </c>
      <c r="H778">
        <v>170</v>
      </c>
      <c r="I778" t="s">
        <v>21</v>
      </c>
      <c r="J778">
        <v>4</v>
      </c>
      <c r="K778" t="s">
        <v>22</v>
      </c>
      <c r="L778">
        <v>135755</v>
      </c>
      <c r="M778">
        <v>3.26</v>
      </c>
      <c r="N778" s="6">
        <f t="shared" si="12"/>
        <v>7682808508.4500008</v>
      </c>
    </row>
    <row r="779" spans="1:14" x14ac:dyDescent="0.35">
      <c r="A779" t="s">
        <v>13</v>
      </c>
      <c r="B779" t="s">
        <v>66</v>
      </c>
      <c r="C779">
        <v>2024</v>
      </c>
      <c r="D779" t="s">
        <v>38</v>
      </c>
      <c r="E779">
        <v>71569.98</v>
      </c>
      <c r="F779">
        <v>57.7</v>
      </c>
      <c r="G779">
        <v>186</v>
      </c>
      <c r="H779">
        <v>158</v>
      </c>
      <c r="I779" t="s">
        <v>21</v>
      </c>
      <c r="J779">
        <v>5</v>
      </c>
      <c r="K779" t="s">
        <v>20</v>
      </c>
      <c r="L779">
        <v>287315</v>
      </c>
      <c r="M779">
        <v>3.19</v>
      </c>
      <c r="N779" s="6">
        <f t="shared" si="12"/>
        <v>20563128803.699997</v>
      </c>
    </row>
    <row r="780" spans="1:14" x14ac:dyDescent="0.35">
      <c r="A780" t="s">
        <v>45</v>
      </c>
      <c r="B780" t="s">
        <v>46</v>
      </c>
      <c r="C780">
        <v>2024</v>
      </c>
      <c r="D780" t="s">
        <v>38</v>
      </c>
      <c r="E780">
        <v>24520.21</v>
      </c>
      <c r="F780">
        <v>71.2</v>
      </c>
      <c r="G780">
        <v>253</v>
      </c>
      <c r="H780">
        <v>159</v>
      </c>
      <c r="I780" t="s">
        <v>32</v>
      </c>
      <c r="J780">
        <v>5</v>
      </c>
      <c r="K780" t="s">
        <v>47</v>
      </c>
      <c r="L780">
        <v>191198</v>
      </c>
      <c r="M780">
        <v>3.48</v>
      </c>
      <c r="N780" s="6">
        <f t="shared" si="12"/>
        <v>4688215111.5799999</v>
      </c>
    </row>
    <row r="781" spans="1:14" x14ac:dyDescent="0.35">
      <c r="A781" t="s">
        <v>49</v>
      </c>
      <c r="B781" t="s">
        <v>71</v>
      </c>
      <c r="C781">
        <v>2024</v>
      </c>
      <c r="D781" t="s">
        <v>38</v>
      </c>
      <c r="E781">
        <v>31858.49</v>
      </c>
      <c r="F781">
        <v>76.599999999999994</v>
      </c>
      <c r="G781">
        <v>274</v>
      </c>
      <c r="H781">
        <v>171</v>
      </c>
      <c r="I781" t="s">
        <v>32</v>
      </c>
      <c r="J781">
        <v>3</v>
      </c>
      <c r="K781" t="s">
        <v>47</v>
      </c>
      <c r="L781">
        <v>89552</v>
      </c>
      <c r="M781">
        <v>3.4</v>
      </c>
      <c r="N781" s="6">
        <f t="shared" si="12"/>
        <v>2852991496.48</v>
      </c>
    </row>
    <row r="782" spans="1:14" x14ac:dyDescent="0.35">
      <c r="A782" t="s">
        <v>34</v>
      </c>
      <c r="B782" t="s">
        <v>44</v>
      </c>
      <c r="C782">
        <v>2024</v>
      </c>
      <c r="D782" t="s">
        <v>38</v>
      </c>
      <c r="E782">
        <v>72880.75</v>
      </c>
      <c r="F782">
        <v>63.7</v>
      </c>
      <c r="G782">
        <v>235</v>
      </c>
      <c r="H782">
        <v>133</v>
      </c>
      <c r="I782" t="s">
        <v>16</v>
      </c>
      <c r="J782">
        <v>4</v>
      </c>
      <c r="K782" t="s">
        <v>20</v>
      </c>
      <c r="L782">
        <v>46123</v>
      </c>
      <c r="M782">
        <v>3.85</v>
      </c>
      <c r="N782" s="6">
        <f t="shared" si="12"/>
        <v>3361478832.25</v>
      </c>
    </row>
    <row r="783" spans="1:14" x14ac:dyDescent="0.35">
      <c r="A783" t="s">
        <v>57</v>
      </c>
      <c r="B783" t="s">
        <v>62</v>
      </c>
      <c r="C783">
        <v>2024</v>
      </c>
      <c r="D783" t="s">
        <v>20</v>
      </c>
      <c r="E783">
        <v>81884.759999999995</v>
      </c>
      <c r="F783">
        <v>79.5</v>
      </c>
      <c r="G783">
        <v>280</v>
      </c>
      <c r="H783">
        <v>134</v>
      </c>
      <c r="I783" t="s">
        <v>32</v>
      </c>
      <c r="J783">
        <v>3</v>
      </c>
      <c r="K783" t="s">
        <v>20</v>
      </c>
      <c r="L783">
        <v>49332</v>
      </c>
      <c r="M783">
        <v>3.58</v>
      </c>
      <c r="N783" s="6">
        <f t="shared" si="12"/>
        <v>4039538980.3199997</v>
      </c>
    </row>
    <row r="784" spans="1:14" x14ac:dyDescent="0.35">
      <c r="A784" t="s">
        <v>45</v>
      </c>
      <c r="B784" t="s">
        <v>77</v>
      </c>
      <c r="C784">
        <v>2024</v>
      </c>
      <c r="D784" t="s">
        <v>38</v>
      </c>
      <c r="E784">
        <v>27229.19</v>
      </c>
      <c r="F784">
        <v>64.8</v>
      </c>
      <c r="G784">
        <v>227</v>
      </c>
      <c r="H784">
        <v>144</v>
      </c>
      <c r="I784" t="s">
        <v>32</v>
      </c>
      <c r="J784">
        <v>5</v>
      </c>
      <c r="K784" t="s">
        <v>47</v>
      </c>
      <c r="L784">
        <v>118103</v>
      </c>
      <c r="M784">
        <v>3.49</v>
      </c>
      <c r="N784" s="6">
        <f t="shared" si="12"/>
        <v>3215849026.5699997</v>
      </c>
    </row>
    <row r="785" spans="1:14" x14ac:dyDescent="0.35">
      <c r="A785" t="s">
        <v>64</v>
      </c>
      <c r="B785" t="s">
        <v>97</v>
      </c>
      <c r="C785">
        <v>2024</v>
      </c>
      <c r="D785" t="s">
        <v>28</v>
      </c>
      <c r="E785">
        <v>83737.7</v>
      </c>
      <c r="F785">
        <v>90.9</v>
      </c>
      <c r="G785">
        <v>331</v>
      </c>
      <c r="H785">
        <v>166</v>
      </c>
      <c r="I785" t="s">
        <v>40</v>
      </c>
      <c r="J785">
        <v>4</v>
      </c>
      <c r="K785" t="s">
        <v>20</v>
      </c>
      <c r="L785">
        <v>68789</v>
      </c>
      <c r="M785">
        <v>3.44</v>
      </c>
      <c r="N785" s="6">
        <f t="shared" si="12"/>
        <v>5760232645.3000002</v>
      </c>
    </row>
    <row r="786" spans="1:14" x14ac:dyDescent="0.35">
      <c r="A786" t="s">
        <v>13</v>
      </c>
      <c r="B786" t="s">
        <v>14</v>
      </c>
      <c r="C786">
        <v>2024</v>
      </c>
      <c r="D786" t="s">
        <v>38</v>
      </c>
      <c r="E786">
        <v>65767.179999999993</v>
      </c>
      <c r="F786">
        <v>48.6</v>
      </c>
      <c r="G786">
        <v>159</v>
      </c>
      <c r="H786">
        <v>137</v>
      </c>
      <c r="I786" t="s">
        <v>25</v>
      </c>
      <c r="J786">
        <v>5</v>
      </c>
      <c r="K786" t="s">
        <v>20</v>
      </c>
      <c r="L786">
        <v>214102</v>
      </c>
      <c r="M786">
        <v>3.4</v>
      </c>
      <c r="N786" s="6">
        <f t="shared" si="12"/>
        <v>14080884772.359999</v>
      </c>
    </row>
    <row r="787" spans="1:14" x14ac:dyDescent="0.35">
      <c r="A787" t="s">
        <v>49</v>
      </c>
      <c r="B787" t="s">
        <v>87</v>
      </c>
      <c r="C787">
        <v>2024</v>
      </c>
      <c r="D787" t="s">
        <v>20</v>
      </c>
      <c r="E787">
        <v>41142.11</v>
      </c>
      <c r="F787">
        <v>53.2</v>
      </c>
      <c r="G787">
        <v>176</v>
      </c>
      <c r="H787">
        <v>160</v>
      </c>
      <c r="I787" t="s">
        <v>32</v>
      </c>
      <c r="J787">
        <v>4</v>
      </c>
      <c r="K787" t="s">
        <v>22</v>
      </c>
      <c r="L787">
        <v>133250</v>
      </c>
      <c r="M787">
        <v>3.71</v>
      </c>
      <c r="N787" s="6">
        <f t="shared" si="12"/>
        <v>5482186157.5</v>
      </c>
    </row>
    <row r="788" spans="1:14" x14ac:dyDescent="0.35">
      <c r="A788" t="s">
        <v>45</v>
      </c>
      <c r="B788" t="s">
        <v>63</v>
      </c>
      <c r="C788">
        <v>2024</v>
      </c>
      <c r="D788" t="s">
        <v>43</v>
      </c>
      <c r="E788">
        <v>68838.03</v>
      </c>
      <c r="F788">
        <v>48.9</v>
      </c>
      <c r="G788">
        <v>180</v>
      </c>
      <c r="H788">
        <v>147</v>
      </c>
      <c r="I788" t="s">
        <v>33</v>
      </c>
      <c r="J788">
        <v>4</v>
      </c>
      <c r="K788" t="s">
        <v>20</v>
      </c>
      <c r="L788">
        <v>173863</v>
      </c>
      <c r="M788">
        <v>3.01</v>
      </c>
      <c r="N788" s="6">
        <f t="shared" si="12"/>
        <v>11968386409.889999</v>
      </c>
    </row>
    <row r="789" spans="1:14" x14ac:dyDescent="0.35">
      <c r="A789" t="s">
        <v>29</v>
      </c>
      <c r="B789" t="s">
        <v>30</v>
      </c>
      <c r="C789">
        <v>2024</v>
      </c>
      <c r="D789" t="s">
        <v>28</v>
      </c>
      <c r="E789">
        <v>54793.42</v>
      </c>
      <c r="F789">
        <v>108.6</v>
      </c>
      <c r="G789">
        <v>395</v>
      </c>
      <c r="H789">
        <v>191</v>
      </c>
      <c r="I789" t="s">
        <v>32</v>
      </c>
      <c r="J789">
        <v>4</v>
      </c>
      <c r="K789" t="s">
        <v>22</v>
      </c>
      <c r="L789">
        <v>136524</v>
      </c>
      <c r="M789">
        <v>4.42</v>
      </c>
      <c r="N789" s="6">
        <f t="shared" si="12"/>
        <v>7480616872.0799999</v>
      </c>
    </row>
    <row r="790" spans="1:14" x14ac:dyDescent="0.35">
      <c r="A790" t="s">
        <v>26</v>
      </c>
      <c r="B790" t="s">
        <v>96</v>
      </c>
      <c r="C790">
        <v>2024</v>
      </c>
      <c r="D790" t="s">
        <v>43</v>
      </c>
      <c r="E790">
        <v>70386.61</v>
      </c>
      <c r="F790">
        <v>70.900000000000006</v>
      </c>
      <c r="G790">
        <v>215</v>
      </c>
      <c r="H790">
        <v>168</v>
      </c>
      <c r="I790" t="s">
        <v>40</v>
      </c>
      <c r="J790">
        <v>4</v>
      </c>
      <c r="K790" t="s">
        <v>20</v>
      </c>
      <c r="L790">
        <v>72998</v>
      </c>
      <c r="M790">
        <v>3.35</v>
      </c>
      <c r="N790" s="6">
        <f t="shared" si="12"/>
        <v>5138081756.7799997</v>
      </c>
    </row>
    <row r="791" spans="1:14" x14ac:dyDescent="0.35">
      <c r="A791" t="s">
        <v>13</v>
      </c>
      <c r="B791" t="s">
        <v>51</v>
      </c>
      <c r="C791">
        <v>2024</v>
      </c>
      <c r="D791" t="s">
        <v>15</v>
      </c>
      <c r="E791">
        <v>78109.649999999994</v>
      </c>
      <c r="F791">
        <v>110.5</v>
      </c>
      <c r="G791">
        <v>383</v>
      </c>
      <c r="H791">
        <v>200</v>
      </c>
      <c r="I791" t="s">
        <v>16</v>
      </c>
      <c r="J791">
        <v>5</v>
      </c>
      <c r="K791" t="s">
        <v>20</v>
      </c>
      <c r="L791">
        <v>260956</v>
      </c>
      <c r="M791">
        <v>3.68</v>
      </c>
      <c r="N791" s="6">
        <f t="shared" si="12"/>
        <v>20383181825.399998</v>
      </c>
    </row>
    <row r="792" spans="1:14" x14ac:dyDescent="0.35">
      <c r="A792" t="s">
        <v>23</v>
      </c>
      <c r="B792" t="s">
        <v>24</v>
      </c>
      <c r="C792">
        <v>2024</v>
      </c>
      <c r="D792" t="s">
        <v>43</v>
      </c>
      <c r="E792">
        <v>59253.96</v>
      </c>
      <c r="F792">
        <v>56.6</v>
      </c>
      <c r="G792">
        <v>223</v>
      </c>
      <c r="H792">
        <v>160</v>
      </c>
      <c r="I792" t="s">
        <v>16</v>
      </c>
      <c r="J792">
        <v>5</v>
      </c>
      <c r="K792" t="s">
        <v>22</v>
      </c>
      <c r="L792">
        <v>22516</v>
      </c>
      <c r="M792">
        <v>3.7</v>
      </c>
      <c r="N792" s="6">
        <f t="shared" si="12"/>
        <v>1334162163.3599999</v>
      </c>
    </row>
    <row r="793" spans="1:14" x14ac:dyDescent="0.35">
      <c r="A793" t="s">
        <v>23</v>
      </c>
      <c r="B793" t="s">
        <v>99</v>
      </c>
      <c r="C793">
        <v>2024</v>
      </c>
      <c r="D793" t="s">
        <v>15</v>
      </c>
      <c r="E793">
        <v>71690.64</v>
      </c>
      <c r="F793">
        <v>77.900000000000006</v>
      </c>
      <c r="G793">
        <v>282</v>
      </c>
      <c r="H793">
        <v>200</v>
      </c>
      <c r="I793" t="s">
        <v>40</v>
      </c>
      <c r="J793">
        <v>4</v>
      </c>
      <c r="K793" t="s">
        <v>20</v>
      </c>
      <c r="L793">
        <v>26479</v>
      </c>
      <c r="M793">
        <v>3.38</v>
      </c>
      <c r="N793" s="6">
        <f t="shared" si="12"/>
        <v>1898296456.5599999</v>
      </c>
    </row>
    <row r="794" spans="1:14" x14ac:dyDescent="0.35">
      <c r="A794" t="s">
        <v>34</v>
      </c>
      <c r="B794" t="s">
        <v>84</v>
      </c>
      <c r="C794">
        <v>2024</v>
      </c>
      <c r="D794" t="s">
        <v>15</v>
      </c>
      <c r="E794">
        <v>178911.77</v>
      </c>
      <c r="F794">
        <v>79.7</v>
      </c>
      <c r="G794">
        <v>265</v>
      </c>
      <c r="H794">
        <v>187</v>
      </c>
      <c r="I794" t="s">
        <v>16</v>
      </c>
      <c r="J794">
        <v>4</v>
      </c>
      <c r="K794" t="s">
        <v>17</v>
      </c>
      <c r="L794">
        <v>68804</v>
      </c>
      <c r="M794">
        <v>3.85</v>
      </c>
      <c r="N794" s="6">
        <f t="shared" si="12"/>
        <v>12309845423.08</v>
      </c>
    </row>
    <row r="795" spans="1:14" x14ac:dyDescent="0.35">
      <c r="A795" t="s">
        <v>29</v>
      </c>
      <c r="B795" t="s">
        <v>59</v>
      </c>
      <c r="C795">
        <v>2024</v>
      </c>
      <c r="D795" t="s">
        <v>43</v>
      </c>
      <c r="E795">
        <v>125065.93</v>
      </c>
      <c r="F795">
        <v>50.7</v>
      </c>
      <c r="G795">
        <v>159</v>
      </c>
      <c r="H795">
        <v>172</v>
      </c>
      <c r="I795" t="s">
        <v>32</v>
      </c>
      <c r="J795">
        <v>4</v>
      </c>
      <c r="K795" t="s">
        <v>17</v>
      </c>
      <c r="L795">
        <v>243623</v>
      </c>
      <c r="M795">
        <v>3.24</v>
      </c>
      <c r="N795" s="6">
        <f t="shared" si="12"/>
        <v>30468937064.389999</v>
      </c>
    </row>
    <row r="796" spans="1:14" x14ac:dyDescent="0.35">
      <c r="A796" t="s">
        <v>13</v>
      </c>
      <c r="B796" t="s">
        <v>66</v>
      </c>
      <c r="C796">
        <v>2024</v>
      </c>
      <c r="D796" t="s">
        <v>28</v>
      </c>
      <c r="E796">
        <v>37557.870000000003</v>
      </c>
      <c r="F796">
        <v>86.2</v>
      </c>
      <c r="G796">
        <v>299</v>
      </c>
      <c r="H796">
        <v>175</v>
      </c>
      <c r="I796" t="s">
        <v>33</v>
      </c>
      <c r="J796">
        <v>5</v>
      </c>
      <c r="K796" t="s">
        <v>22</v>
      </c>
      <c r="L796">
        <v>247190</v>
      </c>
      <c r="M796">
        <v>3.68</v>
      </c>
      <c r="N796" s="6">
        <f t="shared" si="12"/>
        <v>9283929885.3000011</v>
      </c>
    </row>
    <row r="797" spans="1:14" x14ac:dyDescent="0.35">
      <c r="A797" t="s">
        <v>57</v>
      </c>
      <c r="B797" t="s">
        <v>62</v>
      </c>
      <c r="C797">
        <v>2024</v>
      </c>
      <c r="D797" t="s">
        <v>43</v>
      </c>
      <c r="E797">
        <v>48328.54</v>
      </c>
      <c r="F797">
        <v>81.900000000000006</v>
      </c>
      <c r="G797">
        <v>268</v>
      </c>
      <c r="H797">
        <v>132</v>
      </c>
      <c r="I797" t="s">
        <v>21</v>
      </c>
      <c r="J797">
        <v>4</v>
      </c>
      <c r="K797" t="s">
        <v>22</v>
      </c>
      <c r="L797">
        <v>34857</v>
      </c>
      <c r="M797">
        <v>3.47</v>
      </c>
      <c r="N797" s="6">
        <f t="shared" si="12"/>
        <v>1684587918.78</v>
      </c>
    </row>
    <row r="798" spans="1:14" x14ac:dyDescent="0.35">
      <c r="A798" t="s">
        <v>45</v>
      </c>
      <c r="B798" t="s">
        <v>48</v>
      </c>
      <c r="C798">
        <v>2024</v>
      </c>
      <c r="D798" t="s">
        <v>28</v>
      </c>
      <c r="E798">
        <v>53347.12</v>
      </c>
      <c r="F798">
        <v>78.900000000000006</v>
      </c>
      <c r="G798">
        <v>277</v>
      </c>
      <c r="H798">
        <v>182</v>
      </c>
      <c r="I798" t="s">
        <v>40</v>
      </c>
      <c r="J798">
        <v>5</v>
      </c>
      <c r="K798" t="s">
        <v>22</v>
      </c>
      <c r="L798">
        <v>234710</v>
      </c>
      <c r="M798">
        <v>3.53</v>
      </c>
      <c r="N798" s="6">
        <f t="shared" si="12"/>
        <v>12521102535.200001</v>
      </c>
    </row>
    <row r="799" spans="1:14" x14ac:dyDescent="0.35">
      <c r="A799" t="s">
        <v>64</v>
      </c>
      <c r="B799" t="s">
        <v>95</v>
      </c>
      <c r="C799">
        <v>2024</v>
      </c>
      <c r="D799" t="s">
        <v>38</v>
      </c>
      <c r="E799">
        <v>85524.800000000003</v>
      </c>
      <c r="F799">
        <v>65.2</v>
      </c>
      <c r="G799">
        <v>228</v>
      </c>
      <c r="H799">
        <v>154</v>
      </c>
      <c r="I799" t="s">
        <v>21</v>
      </c>
      <c r="J799">
        <v>5</v>
      </c>
      <c r="K799" t="s">
        <v>20</v>
      </c>
      <c r="L799">
        <v>61102</v>
      </c>
      <c r="M799">
        <v>3.24</v>
      </c>
      <c r="N799" s="6">
        <f t="shared" si="12"/>
        <v>5225736329.6000004</v>
      </c>
    </row>
    <row r="800" spans="1:14" x14ac:dyDescent="0.35">
      <c r="A800" t="s">
        <v>45</v>
      </c>
      <c r="B800" t="s">
        <v>46</v>
      </c>
      <c r="C800">
        <v>2024</v>
      </c>
      <c r="D800" t="s">
        <v>38</v>
      </c>
      <c r="E800">
        <v>18386.22</v>
      </c>
      <c r="F800">
        <v>53.5</v>
      </c>
      <c r="G800">
        <v>197</v>
      </c>
      <c r="H800">
        <v>169</v>
      </c>
      <c r="I800" t="s">
        <v>32</v>
      </c>
      <c r="J800">
        <v>4</v>
      </c>
      <c r="K800" t="s">
        <v>47</v>
      </c>
      <c r="L800">
        <v>194535</v>
      </c>
      <c r="M800">
        <v>3.33</v>
      </c>
      <c r="N800" s="6">
        <f t="shared" si="12"/>
        <v>3576763307.7000003</v>
      </c>
    </row>
    <row r="801" spans="1:14" x14ac:dyDescent="0.35">
      <c r="A801" t="s">
        <v>29</v>
      </c>
      <c r="B801" t="s">
        <v>53</v>
      </c>
      <c r="C801">
        <v>2024</v>
      </c>
      <c r="D801" t="s">
        <v>28</v>
      </c>
      <c r="E801">
        <v>81331.259999999995</v>
      </c>
      <c r="F801">
        <v>87</v>
      </c>
      <c r="G801">
        <v>324</v>
      </c>
      <c r="H801">
        <v>160</v>
      </c>
      <c r="I801" t="s">
        <v>16</v>
      </c>
      <c r="J801">
        <v>5</v>
      </c>
      <c r="K801" t="s">
        <v>20</v>
      </c>
      <c r="L801">
        <v>192430</v>
      </c>
      <c r="M801">
        <v>3.74</v>
      </c>
      <c r="N801" s="6">
        <f t="shared" si="12"/>
        <v>15650574361.799999</v>
      </c>
    </row>
    <row r="802" spans="1:14" x14ac:dyDescent="0.35">
      <c r="A802" t="s">
        <v>23</v>
      </c>
      <c r="B802" t="s">
        <v>37</v>
      </c>
      <c r="C802">
        <v>2024</v>
      </c>
      <c r="D802" t="s">
        <v>20</v>
      </c>
      <c r="E802">
        <v>70082.06</v>
      </c>
      <c r="F802">
        <v>42.6</v>
      </c>
      <c r="G802">
        <v>156</v>
      </c>
      <c r="H802">
        <v>161</v>
      </c>
      <c r="I802" t="s">
        <v>32</v>
      </c>
      <c r="J802">
        <v>5</v>
      </c>
      <c r="K802" t="s">
        <v>20</v>
      </c>
      <c r="L802">
        <v>20253</v>
      </c>
      <c r="M802">
        <v>3.14</v>
      </c>
      <c r="N802" s="6">
        <f t="shared" si="12"/>
        <v>1419371961.1800001</v>
      </c>
    </row>
    <row r="803" spans="1:14" x14ac:dyDescent="0.35">
      <c r="A803" t="s">
        <v>23</v>
      </c>
      <c r="B803" t="s">
        <v>99</v>
      </c>
      <c r="C803">
        <v>2024</v>
      </c>
      <c r="D803" t="s">
        <v>43</v>
      </c>
      <c r="E803">
        <v>61767.69</v>
      </c>
      <c r="F803">
        <v>48</v>
      </c>
      <c r="G803">
        <v>161</v>
      </c>
      <c r="H803">
        <v>155</v>
      </c>
      <c r="I803" t="s">
        <v>21</v>
      </c>
      <c r="J803">
        <v>4</v>
      </c>
      <c r="K803" t="s">
        <v>22</v>
      </c>
      <c r="L803">
        <v>27695</v>
      </c>
      <c r="M803">
        <v>3.08</v>
      </c>
      <c r="N803" s="6">
        <f t="shared" si="12"/>
        <v>1710656174.55</v>
      </c>
    </row>
    <row r="804" spans="1:14" x14ac:dyDescent="0.35">
      <c r="A804" t="s">
        <v>29</v>
      </c>
      <c r="B804" t="s">
        <v>30</v>
      </c>
      <c r="C804">
        <v>2024</v>
      </c>
      <c r="D804" t="s">
        <v>20</v>
      </c>
      <c r="E804">
        <v>173467.44</v>
      </c>
      <c r="F804">
        <v>42.9</v>
      </c>
      <c r="G804">
        <v>150</v>
      </c>
      <c r="H804">
        <v>180</v>
      </c>
      <c r="I804" t="s">
        <v>32</v>
      </c>
      <c r="J804">
        <v>4</v>
      </c>
      <c r="K804" t="s">
        <v>17</v>
      </c>
      <c r="L804">
        <v>241741</v>
      </c>
      <c r="M804">
        <v>3.75</v>
      </c>
      <c r="N804" s="6">
        <f t="shared" si="12"/>
        <v>41934192413.040001</v>
      </c>
    </row>
    <row r="805" spans="1:14" x14ac:dyDescent="0.35">
      <c r="A805" t="s">
        <v>67</v>
      </c>
      <c r="B805" t="s">
        <v>86</v>
      </c>
      <c r="C805">
        <v>2024</v>
      </c>
      <c r="D805" t="s">
        <v>20</v>
      </c>
      <c r="E805">
        <v>105361.9</v>
      </c>
      <c r="F805">
        <v>71.8</v>
      </c>
      <c r="G805">
        <v>263</v>
      </c>
      <c r="H805">
        <v>144</v>
      </c>
      <c r="I805" t="s">
        <v>33</v>
      </c>
      <c r="J805">
        <v>5</v>
      </c>
      <c r="K805" t="s">
        <v>17</v>
      </c>
      <c r="L805">
        <v>22361</v>
      </c>
      <c r="M805">
        <v>3.64</v>
      </c>
      <c r="N805" s="6">
        <f t="shared" si="12"/>
        <v>2355997445.9000001</v>
      </c>
    </row>
    <row r="806" spans="1:14" x14ac:dyDescent="0.35">
      <c r="A806" t="s">
        <v>26</v>
      </c>
      <c r="B806" t="s">
        <v>61</v>
      </c>
      <c r="C806">
        <v>2024</v>
      </c>
      <c r="D806" t="s">
        <v>38</v>
      </c>
      <c r="E806">
        <v>36206.519999999997</v>
      </c>
      <c r="F806">
        <v>53.7</v>
      </c>
      <c r="G806">
        <v>182</v>
      </c>
      <c r="H806">
        <v>143</v>
      </c>
      <c r="I806" t="s">
        <v>21</v>
      </c>
      <c r="J806">
        <v>4</v>
      </c>
      <c r="K806" t="s">
        <v>22</v>
      </c>
      <c r="L806">
        <v>96649</v>
      </c>
      <c r="M806">
        <v>3.22</v>
      </c>
      <c r="N806" s="6">
        <f t="shared" si="12"/>
        <v>3499323951.4799995</v>
      </c>
    </row>
    <row r="807" spans="1:14" x14ac:dyDescent="0.35">
      <c r="A807" t="s">
        <v>29</v>
      </c>
      <c r="B807" t="s">
        <v>30</v>
      </c>
      <c r="C807">
        <v>2024</v>
      </c>
      <c r="D807" t="s">
        <v>20</v>
      </c>
      <c r="E807">
        <v>92300.78</v>
      </c>
      <c r="F807">
        <v>48.8</v>
      </c>
      <c r="G807">
        <v>173</v>
      </c>
      <c r="H807">
        <v>146</v>
      </c>
      <c r="I807" t="s">
        <v>32</v>
      </c>
      <c r="J807">
        <v>5</v>
      </c>
      <c r="K807" t="s">
        <v>20</v>
      </c>
      <c r="L807">
        <v>249410</v>
      </c>
      <c r="M807">
        <v>3.51</v>
      </c>
      <c r="N807" s="6">
        <f t="shared" si="12"/>
        <v>23020737539.799999</v>
      </c>
    </row>
    <row r="808" spans="1:14" x14ac:dyDescent="0.35">
      <c r="A808" t="s">
        <v>23</v>
      </c>
      <c r="B808" t="s">
        <v>99</v>
      </c>
      <c r="C808">
        <v>2024</v>
      </c>
      <c r="D808" t="s">
        <v>38</v>
      </c>
      <c r="E808">
        <v>33469.379999999997</v>
      </c>
      <c r="F808">
        <v>55.2</v>
      </c>
      <c r="G808">
        <v>198</v>
      </c>
      <c r="H808">
        <v>130</v>
      </c>
      <c r="I808" t="s">
        <v>21</v>
      </c>
      <c r="J808">
        <v>4</v>
      </c>
      <c r="K808" t="s">
        <v>47</v>
      </c>
      <c r="L808">
        <v>2373</v>
      </c>
      <c r="M808">
        <v>3.27</v>
      </c>
      <c r="N808" s="6">
        <f t="shared" si="12"/>
        <v>79422838.739999995</v>
      </c>
    </row>
    <row r="809" spans="1:14" x14ac:dyDescent="0.35">
      <c r="A809" t="s">
        <v>26</v>
      </c>
      <c r="B809" t="s">
        <v>27</v>
      </c>
      <c r="C809">
        <v>2024</v>
      </c>
      <c r="D809" t="s">
        <v>20</v>
      </c>
      <c r="E809">
        <v>72898.84</v>
      </c>
      <c r="F809">
        <v>65.7</v>
      </c>
      <c r="G809">
        <v>244</v>
      </c>
      <c r="H809">
        <v>172</v>
      </c>
      <c r="I809" t="s">
        <v>21</v>
      </c>
      <c r="J809">
        <v>5</v>
      </c>
      <c r="K809" t="s">
        <v>20</v>
      </c>
      <c r="L809">
        <v>78422</v>
      </c>
      <c r="M809">
        <v>3.48</v>
      </c>
      <c r="N809" s="6">
        <f t="shared" si="12"/>
        <v>5716872830.4799995</v>
      </c>
    </row>
    <row r="810" spans="1:14" x14ac:dyDescent="0.35">
      <c r="A810" t="s">
        <v>13</v>
      </c>
      <c r="B810" t="s">
        <v>56</v>
      </c>
      <c r="C810">
        <v>2024</v>
      </c>
      <c r="D810" t="s">
        <v>15</v>
      </c>
      <c r="E810">
        <v>90339.09</v>
      </c>
      <c r="F810">
        <v>78.099999999999994</v>
      </c>
      <c r="G810">
        <v>263</v>
      </c>
      <c r="H810">
        <v>181</v>
      </c>
      <c r="I810" t="s">
        <v>21</v>
      </c>
      <c r="J810">
        <v>4</v>
      </c>
      <c r="K810" t="s">
        <v>20</v>
      </c>
      <c r="L810">
        <v>202441</v>
      </c>
      <c r="M810">
        <v>3.2</v>
      </c>
      <c r="N810" s="6">
        <f t="shared" si="12"/>
        <v>18288335718.689999</v>
      </c>
    </row>
    <row r="811" spans="1:14" x14ac:dyDescent="0.35">
      <c r="A811" t="s">
        <v>23</v>
      </c>
      <c r="B811" t="s">
        <v>82</v>
      </c>
      <c r="C811">
        <v>2024</v>
      </c>
      <c r="D811" t="s">
        <v>43</v>
      </c>
      <c r="E811">
        <v>57794.12</v>
      </c>
      <c r="F811">
        <v>67.8</v>
      </c>
      <c r="G811">
        <v>255</v>
      </c>
      <c r="H811">
        <v>135</v>
      </c>
      <c r="I811" t="s">
        <v>16</v>
      </c>
      <c r="J811">
        <v>5</v>
      </c>
      <c r="K811" t="s">
        <v>22</v>
      </c>
      <c r="L811">
        <v>28957</v>
      </c>
      <c r="M811">
        <v>3.15</v>
      </c>
      <c r="N811" s="6">
        <f t="shared" si="12"/>
        <v>1673544332.8400002</v>
      </c>
    </row>
    <row r="812" spans="1:14" x14ac:dyDescent="0.35">
      <c r="A812" t="s">
        <v>73</v>
      </c>
      <c r="B812" t="s">
        <v>100</v>
      </c>
      <c r="C812">
        <v>2024</v>
      </c>
      <c r="D812" t="s">
        <v>28</v>
      </c>
      <c r="E812">
        <v>99775.41</v>
      </c>
      <c r="F812">
        <v>109.9</v>
      </c>
      <c r="G812">
        <v>380</v>
      </c>
      <c r="H812">
        <v>171</v>
      </c>
      <c r="I812" t="s">
        <v>21</v>
      </c>
      <c r="J812">
        <v>4</v>
      </c>
      <c r="K812" t="s">
        <v>20</v>
      </c>
      <c r="L812">
        <v>27479</v>
      </c>
      <c r="M812">
        <v>3.57</v>
      </c>
      <c r="N812" s="6">
        <f t="shared" si="12"/>
        <v>2741728491.3899999</v>
      </c>
    </row>
    <row r="813" spans="1:14" x14ac:dyDescent="0.35">
      <c r="A813" t="s">
        <v>26</v>
      </c>
      <c r="B813" t="s">
        <v>36</v>
      </c>
      <c r="C813">
        <v>2024</v>
      </c>
      <c r="D813" t="s">
        <v>15</v>
      </c>
      <c r="E813">
        <v>81763.199999999997</v>
      </c>
      <c r="F813">
        <v>89.6</v>
      </c>
      <c r="G813">
        <v>319</v>
      </c>
      <c r="H813">
        <v>188</v>
      </c>
      <c r="I813" t="s">
        <v>33</v>
      </c>
      <c r="J813">
        <v>4</v>
      </c>
      <c r="K813" t="s">
        <v>20</v>
      </c>
      <c r="L813">
        <v>93663</v>
      </c>
      <c r="M813">
        <v>3.44</v>
      </c>
      <c r="N813" s="6">
        <f t="shared" si="12"/>
        <v>7658186601.5999994</v>
      </c>
    </row>
    <row r="814" spans="1:14" x14ac:dyDescent="0.35">
      <c r="A814" t="s">
        <v>45</v>
      </c>
      <c r="B814" t="s">
        <v>69</v>
      </c>
      <c r="C814">
        <v>2024</v>
      </c>
      <c r="D814" t="s">
        <v>43</v>
      </c>
      <c r="E814">
        <v>70846.850000000006</v>
      </c>
      <c r="F814">
        <v>56.4</v>
      </c>
      <c r="G814">
        <v>200</v>
      </c>
      <c r="H814">
        <v>161</v>
      </c>
      <c r="I814" t="s">
        <v>25</v>
      </c>
      <c r="J814">
        <v>4</v>
      </c>
      <c r="K814" t="s">
        <v>20</v>
      </c>
      <c r="L814">
        <v>234001</v>
      </c>
      <c r="M814">
        <v>3.55</v>
      </c>
      <c r="N814" s="6">
        <f t="shared" si="12"/>
        <v>16578233746.850002</v>
      </c>
    </row>
    <row r="815" spans="1:14" x14ac:dyDescent="0.35">
      <c r="A815" t="s">
        <v>13</v>
      </c>
      <c r="B815" t="s">
        <v>66</v>
      </c>
      <c r="C815">
        <v>2024</v>
      </c>
      <c r="D815" t="s">
        <v>28</v>
      </c>
      <c r="E815">
        <v>47038.76</v>
      </c>
      <c r="F815">
        <v>86.5</v>
      </c>
      <c r="G815">
        <v>330</v>
      </c>
      <c r="H815">
        <v>194</v>
      </c>
      <c r="I815" t="s">
        <v>16</v>
      </c>
      <c r="J815">
        <v>5</v>
      </c>
      <c r="K815" t="s">
        <v>22</v>
      </c>
      <c r="L815">
        <v>270498</v>
      </c>
      <c r="M815">
        <v>3.37</v>
      </c>
      <c r="N815" s="6">
        <f t="shared" si="12"/>
        <v>12723890502.480001</v>
      </c>
    </row>
    <row r="816" spans="1:14" x14ac:dyDescent="0.35">
      <c r="A816" t="s">
        <v>13</v>
      </c>
      <c r="B816" t="s">
        <v>51</v>
      </c>
      <c r="C816">
        <v>2024</v>
      </c>
      <c r="D816" t="s">
        <v>15</v>
      </c>
      <c r="E816">
        <v>111511.26</v>
      </c>
      <c r="F816">
        <v>74.099999999999994</v>
      </c>
      <c r="G816">
        <v>241</v>
      </c>
      <c r="H816">
        <v>189</v>
      </c>
      <c r="I816" t="s">
        <v>16</v>
      </c>
      <c r="J816">
        <v>5</v>
      </c>
      <c r="K816" t="s">
        <v>17</v>
      </c>
      <c r="L816">
        <v>230069</v>
      </c>
      <c r="M816">
        <v>3.24</v>
      </c>
      <c r="N816" s="6">
        <f t="shared" si="12"/>
        <v>25655284076.939999</v>
      </c>
    </row>
    <row r="817" spans="1:14" x14ac:dyDescent="0.35">
      <c r="A817" t="s">
        <v>29</v>
      </c>
      <c r="B817" t="s">
        <v>39</v>
      </c>
      <c r="C817">
        <v>2024</v>
      </c>
      <c r="D817" t="s">
        <v>15</v>
      </c>
      <c r="E817">
        <v>77897.86</v>
      </c>
      <c r="F817">
        <v>71.2</v>
      </c>
      <c r="G817">
        <v>254</v>
      </c>
      <c r="H817">
        <v>186</v>
      </c>
      <c r="I817" t="s">
        <v>40</v>
      </c>
      <c r="J817">
        <v>4</v>
      </c>
      <c r="K817" t="s">
        <v>20</v>
      </c>
      <c r="L817">
        <v>153891</v>
      </c>
      <c r="M817">
        <v>3.65</v>
      </c>
      <c r="N817" s="6">
        <f t="shared" si="12"/>
        <v>11987779573.26</v>
      </c>
    </row>
    <row r="818" spans="1:14" x14ac:dyDescent="0.35">
      <c r="A818" t="s">
        <v>111</v>
      </c>
      <c r="B818" t="s">
        <v>112</v>
      </c>
      <c r="C818">
        <v>2024</v>
      </c>
      <c r="D818" t="s">
        <v>15</v>
      </c>
      <c r="E818">
        <v>115672.77</v>
      </c>
      <c r="F818">
        <v>85.2</v>
      </c>
      <c r="G818">
        <v>304</v>
      </c>
      <c r="H818">
        <v>194</v>
      </c>
      <c r="I818" t="s">
        <v>21</v>
      </c>
      <c r="J818">
        <v>3</v>
      </c>
      <c r="K818" t="s">
        <v>17</v>
      </c>
      <c r="L818">
        <v>8357</v>
      </c>
      <c r="M818">
        <v>3.71</v>
      </c>
      <c r="N818" s="6">
        <f t="shared" si="12"/>
        <v>966677338.88999999</v>
      </c>
    </row>
    <row r="819" spans="1:14" x14ac:dyDescent="0.35">
      <c r="A819" t="s">
        <v>49</v>
      </c>
      <c r="B819" t="s">
        <v>50</v>
      </c>
      <c r="C819">
        <v>2024</v>
      </c>
      <c r="D819" t="s">
        <v>15</v>
      </c>
      <c r="E819">
        <v>43667.25</v>
      </c>
      <c r="F819">
        <v>83.3</v>
      </c>
      <c r="G819">
        <v>299</v>
      </c>
      <c r="H819">
        <v>198</v>
      </c>
      <c r="I819" t="s">
        <v>25</v>
      </c>
      <c r="J819">
        <v>4</v>
      </c>
      <c r="K819" t="s">
        <v>22</v>
      </c>
      <c r="L819">
        <v>71109</v>
      </c>
      <c r="M819">
        <v>3.49</v>
      </c>
      <c r="N819" s="6">
        <f t="shared" si="12"/>
        <v>3105134480.25</v>
      </c>
    </row>
    <row r="820" spans="1:14" x14ac:dyDescent="0.35">
      <c r="A820" t="s">
        <v>23</v>
      </c>
      <c r="B820" t="s">
        <v>37</v>
      </c>
      <c r="C820">
        <v>2024</v>
      </c>
      <c r="D820" t="s">
        <v>38</v>
      </c>
      <c r="E820">
        <v>58716.57</v>
      </c>
      <c r="F820">
        <v>83.6</v>
      </c>
      <c r="G820">
        <v>313</v>
      </c>
      <c r="H820">
        <v>153</v>
      </c>
      <c r="I820" t="s">
        <v>40</v>
      </c>
      <c r="J820">
        <v>5</v>
      </c>
      <c r="K820" t="s">
        <v>22</v>
      </c>
      <c r="L820">
        <v>22110</v>
      </c>
      <c r="M820">
        <v>3.62</v>
      </c>
      <c r="N820" s="6">
        <f t="shared" si="12"/>
        <v>1298223362.7</v>
      </c>
    </row>
    <row r="821" spans="1:14" x14ac:dyDescent="0.35">
      <c r="A821" t="s">
        <v>45</v>
      </c>
      <c r="B821" t="s">
        <v>88</v>
      </c>
      <c r="C821">
        <v>2024</v>
      </c>
      <c r="D821" t="s">
        <v>38</v>
      </c>
      <c r="E821">
        <v>17777.32</v>
      </c>
      <c r="F821">
        <v>78</v>
      </c>
      <c r="G821">
        <v>280</v>
      </c>
      <c r="H821">
        <v>142</v>
      </c>
      <c r="I821" t="s">
        <v>32</v>
      </c>
      <c r="J821">
        <v>4</v>
      </c>
      <c r="K821" t="s">
        <v>47</v>
      </c>
      <c r="L821">
        <v>212740</v>
      </c>
      <c r="M821">
        <v>3.54</v>
      </c>
      <c r="N821" s="6">
        <f t="shared" si="12"/>
        <v>3781947056.7999997</v>
      </c>
    </row>
    <row r="822" spans="1:14" x14ac:dyDescent="0.35">
      <c r="A822" t="s">
        <v>29</v>
      </c>
      <c r="B822" t="s">
        <v>59</v>
      </c>
      <c r="C822">
        <v>2024</v>
      </c>
      <c r="D822" t="s">
        <v>15</v>
      </c>
      <c r="E822">
        <v>90519.74</v>
      </c>
      <c r="F822">
        <v>119.4</v>
      </c>
      <c r="G822">
        <v>405</v>
      </c>
      <c r="H822">
        <v>200</v>
      </c>
      <c r="I822" t="s">
        <v>33</v>
      </c>
      <c r="J822">
        <v>4</v>
      </c>
      <c r="K822" t="s">
        <v>20</v>
      </c>
      <c r="L822">
        <v>189429</v>
      </c>
      <c r="M822">
        <v>4.03</v>
      </c>
      <c r="N822" s="6">
        <f t="shared" si="12"/>
        <v>17147063828.460001</v>
      </c>
    </row>
    <row r="823" spans="1:14" x14ac:dyDescent="0.35">
      <c r="A823" t="s">
        <v>34</v>
      </c>
      <c r="B823" t="s">
        <v>78</v>
      </c>
      <c r="C823">
        <v>2024</v>
      </c>
      <c r="D823" t="s">
        <v>15</v>
      </c>
      <c r="E823">
        <v>87690.32</v>
      </c>
      <c r="F823">
        <v>88.6</v>
      </c>
      <c r="G823">
        <v>321</v>
      </c>
      <c r="H823">
        <v>200</v>
      </c>
      <c r="I823" t="s">
        <v>32</v>
      </c>
      <c r="J823">
        <v>4</v>
      </c>
      <c r="K823" t="s">
        <v>20</v>
      </c>
      <c r="L823">
        <v>36911</v>
      </c>
      <c r="M823">
        <v>3.99</v>
      </c>
      <c r="N823" s="6">
        <f t="shared" si="12"/>
        <v>3236737401.5200005</v>
      </c>
    </row>
    <row r="824" spans="1:14" x14ac:dyDescent="0.35">
      <c r="A824" t="s">
        <v>45</v>
      </c>
      <c r="B824" t="s">
        <v>77</v>
      </c>
      <c r="C824">
        <v>2024</v>
      </c>
      <c r="D824" t="s">
        <v>15</v>
      </c>
      <c r="E824">
        <v>108909.03</v>
      </c>
      <c r="F824">
        <v>86</v>
      </c>
      <c r="G824">
        <v>283</v>
      </c>
      <c r="H824">
        <v>188</v>
      </c>
      <c r="I824" t="s">
        <v>16</v>
      </c>
      <c r="J824">
        <v>3</v>
      </c>
      <c r="K824" t="s">
        <v>17</v>
      </c>
      <c r="L824">
        <v>136507</v>
      </c>
      <c r="M824">
        <v>3.47</v>
      </c>
      <c r="N824" s="6">
        <f t="shared" si="12"/>
        <v>14866844958.209999</v>
      </c>
    </row>
    <row r="825" spans="1:14" x14ac:dyDescent="0.35">
      <c r="A825" t="s">
        <v>29</v>
      </c>
      <c r="B825" t="s">
        <v>39</v>
      </c>
      <c r="C825">
        <v>2024</v>
      </c>
      <c r="D825" t="s">
        <v>28</v>
      </c>
      <c r="E825">
        <v>75201.320000000007</v>
      </c>
      <c r="F825">
        <v>102.8</v>
      </c>
      <c r="G825">
        <v>370</v>
      </c>
      <c r="H825">
        <v>185</v>
      </c>
      <c r="I825" t="s">
        <v>16</v>
      </c>
      <c r="J825">
        <v>5</v>
      </c>
      <c r="K825" t="s">
        <v>20</v>
      </c>
      <c r="L825">
        <v>105880</v>
      </c>
      <c r="M825">
        <v>4.1100000000000003</v>
      </c>
      <c r="N825" s="6">
        <f t="shared" si="12"/>
        <v>7962315761.6000004</v>
      </c>
    </row>
    <row r="826" spans="1:14" x14ac:dyDescent="0.35">
      <c r="A826" t="s">
        <v>57</v>
      </c>
      <c r="B826" t="s">
        <v>72</v>
      </c>
      <c r="C826">
        <v>2024</v>
      </c>
      <c r="D826" t="s">
        <v>43</v>
      </c>
      <c r="E826">
        <v>60849.51</v>
      </c>
      <c r="F826">
        <v>82.5</v>
      </c>
      <c r="G826">
        <v>274</v>
      </c>
      <c r="H826">
        <v>131</v>
      </c>
      <c r="I826" t="s">
        <v>16</v>
      </c>
      <c r="J826">
        <v>4</v>
      </c>
      <c r="K826" t="s">
        <v>22</v>
      </c>
      <c r="L826">
        <v>58206</v>
      </c>
      <c r="M826">
        <v>3.54</v>
      </c>
      <c r="N826" s="6">
        <f t="shared" si="12"/>
        <v>3541806579.0599999</v>
      </c>
    </row>
    <row r="827" spans="1:14" x14ac:dyDescent="0.35">
      <c r="A827" t="s">
        <v>29</v>
      </c>
      <c r="B827" t="s">
        <v>53</v>
      </c>
      <c r="C827">
        <v>2024</v>
      </c>
      <c r="D827" t="s">
        <v>28</v>
      </c>
      <c r="E827">
        <v>131729.26</v>
      </c>
      <c r="F827">
        <v>84.6</v>
      </c>
      <c r="G827">
        <v>307</v>
      </c>
      <c r="H827">
        <v>187</v>
      </c>
      <c r="I827" t="s">
        <v>16</v>
      </c>
      <c r="J827">
        <v>4</v>
      </c>
      <c r="K827" t="s">
        <v>17</v>
      </c>
      <c r="L827">
        <v>162108</v>
      </c>
      <c r="M827">
        <v>3.56</v>
      </c>
      <c r="N827" s="6">
        <f t="shared" si="12"/>
        <v>21354366880.080002</v>
      </c>
    </row>
    <row r="828" spans="1:14" x14ac:dyDescent="0.35">
      <c r="A828" t="s">
        <v>29</v>
      </c>
      <c r="B828" t="s">
        <v>30</v>
      </c>
      <c r="C828">
        <v>2024</v>
      </c>
      <c r="D828" t="s">
        <v>43</v>
      </c>
      <c r="E828">
        <v>106609.89</v>
      </c>
      <c r="F828">
        <v>75.599999999999994</v>
      </c>
      <c r="G828">
        <v>299</v>
      </c>
      <c r="H828">
        <v>151</v>
      </c>
      <c r="I828" t="s">
        <v>32</v>
      </c>
      <c r="J828">
        <v>5</v>
      </c>
      <c r="K828" t="s">
        <v>17</v>
      </c>
      <c r="L828">
        <v>103912</v>
      </c>
      <c r="M828">
        <v>3.73</v>
      </c>
      <c r="N828" s="6">
        <f t="shared" si="12"/>
        <v>11078046889.68</v>
      </c>
    </row>
    <row r="829" spans="1:14" x14ac:dyDescent="0.35">
      <c r="A829" t="s">
        <v>23</v>
      </c>
      <c r="B829" t="s">
        <v>83</v>
      </c>
      <c r="C829">
        <v>2024</v>
      </c>
      <c r="D829" t="s">
        <v>28</v>
      </c>
      <c r="E829">
        <v>55502.07</v>
      </c>
      <c r="F829">
        <v>92.6</v>
      </c>
      <c r="G829">
        <v>331</v>
      </c>
      <c r="H829">
        <v>189</v>
      </c>
      <c r="I829" t="s">
        <v>21</v>
      </c>
      <c r="J829">
        <v>5</v>
      </c>
      <c r="K829" t="s">
        <v>22</v>
      </c>
      <c r="L829">
        <v>18580</v>
      </c>
      <c r="M829">
        <v>3.71</v>
      </c>
      <c r="N829" s="6">
        <f t="shared" si="12"/>
        <v>1031228460.6</v>
      </c>
    </row>
    <row r="830" spans="1:14" x14ac:dyDescent="0.35">
      <c r="A830" t="s">
        <v>57</v>
      </c>
      <c r="B830" t="s">
        <v>58</v>
      </c>
      <c r="C830">
        <v>2024</v>
      </c>
      <c r="D830" t="s">
        <v>20</v>
      </c>
      <c r="E830">
        <v>62057.63</v>
      </c>
      <c r="F830">
        <v>57.6</v>
      </c>
      <c r="G830">
        <v>207</v>
      </c>
      <c r="H830">
        <v>150</v>
      </c>
      <c r="I830" t="s">
        <v>25</v>
      </c>
      <c r="J830">
        <v>4</v>
      </c>
      <c r="K830" t="s">
        <v>22</v>
      </c>
      <c r="L830">
        <v>65997</v>
      </c>
      <c r="M830">
        <v>3.42</v>
      </c>
      <c r="N830" s="6">
        <f t="shared" si="12"/>
        <v>4095617407.1099997</v>
      </c>
    </row>
    <row r="831" spans="1:14" x14ac:dyDescent="0.35">
      <c r="A831" t="s">
        <v>45</v>
      </c>
      <c r="B831" t="s">
        <v>88</v>
      </c>
      <c r="C831">
        <v>2024</v>
      </c>
      <c r="D831" t="s">
        <v>38</v>
      </c>
      <c r="E831">
        <v>75732.88</v>
      </c>
      <c r="F831">
        <v>69.3</v>
      </c>
      <c r="G831">
        <v>249</v>
      </c>
      <c r="H831">
        <v>161</v>
      </c>
      <c r="I831" t="s">
        <v>16</v>
      </c>
      <c r="J831">
        <v>5</v>
      </c>
      <c r="K831" t="s">
        <v>20</v>
      </c>
      <c r="L831">
        <v>228964</v>
      </c>
      <c r="M831">
        <v>3.42</v>
      </c>
      <c r="N831" s="6">
        <f t="shared" si="12"/>
        <v>17340103136.32</v>
      </c>
    </row>
    <row r="832" spans="1:14" x14ac:dyDescent="0.35">
      <c r="A832" t="s">
        <v>13</v>
      </c>
      <c r="B832" t="s">
        <v>14</v>
      </c>
      <c r="C832">
        <v>2024</v>
      </c>
      <c r="D832" t="s">
        <v>20</v>
      </c>
      <c r="E832">
        <v>74047.12</v>
      </c>
      <c r="F832">
        <v>72.599999999999994</v>
      </c>
      <c r="G832">
        <v>248</v>
      </c>
      <c r="H832">
        <v>154</v>
      </c>
      <c r="I832" t="s">
        <v>33</v>
      </c>
      <c r="J832">
        <v>5</v>
      </c>
      <c r="K832" t="s">
        <v>20</v>
      </c>
      <c r="L832">
        <v>290963</v>
      </c>
      <c r="M832">
        <v>3.67</v>
      </c>
      <c r="N832" s="6">
        <f t="shared" si="12"/>
        <v>21544972176.559998</v>
      </c>
    </row>
    <row r="833" spans="1:14" x14ac:dyDescent="0.35">
      <c r="A833" t="s">
        <v>45</v>
      </c>
      <c r="B833" t="s">
        <v>48</v>
      </c>
      <c r="C833">
        <v>2024</v>
      </c>
      <c r="D833" t="s">
        <v>43</v>
      </c>
      <c r="E833">
        <v>30843.09</v>
      </c>
      <c r="F833">
        <v>49</v>
      </c>
      <c r="G833">
        <v>171</v>
      </c>
      <c r="H833">
        <v>151</v>
      </c>
      <c r="I833" t="s">
        <v>32</v>
      </c>
      <c r="J833">
        <v>4</v>
      </c>
      <c r="K833" t="s">
        <v>47</v>
      </c>
      <c r="L833">
        <v>206164</v>
      </c>
      <c r="M833">
        <v>3</v>
      </c>
      <c r="N833" s="6">
        <f t="shared" si="12"/>
        <v>6358734806.7600002</v>
      </c>
    </row>
    <row r="834" spans="1:14" x14ac:dyDescent="0.35">
      <c r="A834" t="s">
        <v>13</v>
      </c>
      <c r="B834" t="s">
        <v>14</v>
      </c>
      <c r="C834">
        <v>2024</v>
      </c>
      <c r="D834" t="s">
        <v>28</v>
      </c>
      <c r="E834">
        <v>70634.98</v>
      </c>
      <c r="F834">
        <v>89.6</v>
      </c>
      <c r="G834">
        <v>312</v>
      </c>
      <c r="H834">
        <v>173</v>
      </c>
      <c r="I834" t="s">
        <v>32</v>
      </c>
      <c r="J834">
        <v>4</v>
      </c>
      <c r="K834" t="s">
        <v>20</v>
      </c>
      <c r="L834">
        <v>289608</v>
      </c>
      <c r="M834">
        <v>3.58</v>
      </c>
      <c r="N834" s="6">
        <f t="shared" ref="N834:N897" si="13">E834*L834</f>
        <v>20456455287.84</v>
      </c>
    </row>
    <row r="835" spans="1:14" x14ac:dyDescent="0.35">
      <c r="A835" t="s">
        <v>18</v>
      </c>
      <c r="B835" t="s">
        <v>93</v>
      </c>
      <c r="C835">
        <v>2024</v>
      </c>
      <c r="D835" t="s">
        <v>15</v>
      </c>
      <c r="E835">
        <v>94209.78</v>
      </c>
      <c r="F835">
        <v>108.8</v>
      </c>
      <c r="G835">
        <v>381</v>
      </c>
      <c r="H835">
        <v>200</v>
      </c>
      <c r="I835" t="s">
        <v>33</v>
      </c>
      <c r="J835">
        <v>5</v>
      </c>
      <c r="K835" t="s">
        <v>20</v>
      </c>
      <c r="L835">
        <v>1723</v>
      </c>
      <c r="M835">
        <v>3.95</v>
      </c>
      <c r="N835" s="6">
        <f t="shared" si="13"/>
        <v>162323450.94</v>
      </c>
    </row>
    <row r="836" spans="1:14" x14ac:dyDescent="0.35">
      <c r="A836" t="s">
        <v>67</v>
      </c>
      <c r="B836" t="s">
        <v>68</v>
      </c>
      <c r="C836">
        <v>2024</v>
      </c>
      <c r="D836" t="s">
        <v>38</v>
      </c>
      <c r="E836">
        <v>106732.12</v>
      </c>
      <c r="F836">
        <v>80</v>
      </c>
      <c r="G836">
        <v>268</v>
      </c>
      <c r="H836">
        <v>142</v>
      </c>
      <c r="I836" t="s">
        <v>16</v>
      </c>
      <c r="J836">
        <v>5</v>
      </c>
      <c r="K836" t="s">
        <v>17</v>
      </c>
      <c r="L836">
        <v>48443</v>
      </c>
      <c r="M836">
        <v>3.48</v>
      </c>
      <c r="N836" s="6">
        <f t="shared" si="13"/>
        <v>5170424089.1599998</v>
      </c>
    </row>
    <row r="837" spans="1:14" x14ac:dyDescent="0.35">
      <c r="A837" t="s">
        <v>13</v>
      </c>
      <c r="B837" t="s">
        <v>66</v>
      </c>
      <c r="C837">
        <v>2024</v>
      </c>
      <c r="D837" t="s">
        <v>38</v>
      </c>
      <c r="E837">
        <v>38794.79</v>
      </c>
      <c r="F837">
        <v>77.8</v>
      </c>
      <c r="G837">
        <v>290</v>
      </c>
      <c r="H837">
        <v>150</v>
      </c>
      <c r="I837" t="s">
        <v>33</v>
      </c>
      <c r="J837">
        <v>5</v>
      </c>
      <c r="K837" t="s">
        <v>22</v>
      </c>
      <c r="L837">
        <v>216258</v>
      </c>
      <c r="M837">
        <v>3.83</v>
      </c>
      <c r="N837" s="6">
        <f t="shared" si="13"/>
        <v>8389683695.8200006</v>
      </c>
    </row>
    <row r="838" spans="1:14" x14ac:dyDescent="0.35">
      <c r="A838" t="s">
        <v>29</v>
      </c>
      <c r="B838" t="s">
        <v>31</v>
      </c>
      <c r="C838">
        <v>2024</v>
      </c>
      <c r="D838" t="s">
        <v>43</v>
      </c>
      <c r="E838">
        <v>111996.5</v>
      </c>
      <c r="F838">
        <v>50.5</v>
      </c>
      <c r="G838">
        <v>190</v>
      </c>
      <c r="H838">
        <v>165</v>
      </c>
      <c r="I838" t="s">
        <v>25</v>
      </c>
      <c r="J838">
        <v>4</v>
      </c>
      <c r="K838" t="s">
        <v>17</v>
      </c>
      <c r="L838">
        <v>445661</v>
      </c>
      <c r="M838">
        <v>3.56</v>
      </c>
      <c r="N838" s="6">
        <f t="shared" si="13"/>
        <v>49912472186.5</v>
      </c>
    </row>
    <row r="839" spans="1:14" x14ac:dyDescent="0.35">
      <c r="A839" t="s">
        <v>45</v>
      </c>
      <c r="B839" t="s">
        <v>88</v>
      </c>
      <c r="C839">
        <v>2024</v>
      </c>
      <c r="D839" t="s">
        <v>43</v>
      </c>
      <c r="E839">
        <v>46656.51</v>
      </c>
      <c r="F839">
        <v>45.6</v>
      </c>
      <c r="G839">
        <v>150</v>
      </c>
      <c r="H839">
        <v>167</v>
      </c>
      <c r="I839" t="s">
        <v>21</v>
      </c>
      <c r="J839">
        <v>5</v>
      </c>
      <c r="K839" t="s">
        <v>22</v>
      </c>
      <c r="L839">
        <v>249607</v>
      </c>
      <c r="M839">
        <v>3.33</v>
      </c>
      <c r="N839" s="6">
        <f t="shared" si="13"/>
        <v>11645791491.57</v>
      </c>
    </row>
    <row r="840" spans="1:14" x14ac:dyDescent="0.35">
      <c r="A840" t="s">
        <v>45</v>
      </c>
      <c r="B840" t="s">
        <v>48</v>
      </c>
      <c r="C840">
        <v>2024</v>
      </c>
      <c r="D840" t="s">
        <v>38</v>
      </c>
      <c r="E840">
        <v>50360.89</v>
      </c>
      <c r="F840">
        <v>69.3</v>
      </c>
      <c r="G840">
        <v>238</v>
      </c>
      <c r="H840">
        <v>139</v>
      </c>
      <c r="I840" t="s">
        <v>40</v>
      </c>
      <c r="J840">
        <v>5</v>
      </c>
      <c r="K840" t="s">
        <v>22</v>
      </c>
      <c r="L840">
        <v>209468</v>
      </c>
      <c r="M840">
        <v>3.18</v>
      </c>
      <c r="N840" s="6">
        <f t="shared" si="13"/>
        <v>10548994906.52</v>
      </c>
    </row>
    <row r="841" spans="1:14" x14ac:dyDescent="0.35">
      <c r="A841" t="s">
        <v>29</v>
      </c>
      <c r="B841" t="s">
        <v>30</v>
      </c>
      <c r="C841">
        <v>2024</v>
      </c>
      <c r="D841" t="s">
        <v>20</v>
      </c>
      <c r="E841">
        <v>152844.99</v>
      </c>
      <c r="F841">
        <v>77.099999999999994</v>
      </c>
      <c r="G841">
        <v>281</v>
      </c>
      <c r="H841">
        <v>172</v>
      </c>
      <c r="I841" t="s">
        <v>16</v>
      </c>
      <c r="J841">
        <v>4</v>
      </c>
      <c r="K841" t="s">
        <v>17</v>
      </c>
      <c r="L841">
        <v>153103</v>
      </c>
      <c r="M841">
        <v>4.05</v>
      </c>
      <c r="N841" s="6">
        <f t="shared" si="13"/>
        <v>23401026503.969997</v>
      </c>
    </row>
    <row r="842" spans="1:14" x14ac:dyDescent="0.35">
      <c r="A842" t="s">
        <v>26</v>
      </c>
      <c r="B842" t="s">
        <v>52</v>
      </c>
      <c r="C842">
        <v>2024</v>
      </c>
      <c r="D842" t="s">
        <v>28</v>
      </c>
      <c r="E842">
        <v>57850.5</v>
      </c>
      <c r="F842">
        <v>101.6</v>
      </c>
      <c r="G842">
        <v>350</v>
      </c>
      <c r="H842">
        <v>162</v>
      </c>
      <c r="I842" t="s">
        <v>33</v>
      </c>
      <c r="J842">
        <v>5</v>
      </c>
      <c r="K842" t="s">
        <v>22</v>
      </c>
      <c r="L842">
        <v>125554</v>
      </c>
      <c r="M842">
        <v>3.47</v>
      </c>
      <c r="N842" s="6">
        <f t="shared" si="13"/>
        <v>7263361677</v>
      </c>
    </row>
    <row r="843" spans="1:14" x14ac:dyDescent="0.35">
      <c r="A843" t="s">
        <v>45</v>
      </c>
      <c r="B843" t="s">
        <v>69</v>
      </c>
      <c r="C843">
        <v>2024</v>
      </c>
      <c r="D843" t="s">
        <v>38</v>
      </c>
      <c r="E843">
        <v>70890.539999999994</v>
      </c>
      <c r="F843">
        <v>64.5</v>
      </c>
      <c r="G843">
        <v>242</v>
      </c>
      <c r="H843">
        <v>138</v>
      </c>
      <c r="I843" t="s">
        <v>16</v>
      </c>
      <c r="J843">
        <v>5</v>
      </c>
      <c r="K843" t="s">
        <v>20</v>
      </c>
      <c r="L843">
        <v>119629</v>
      </c>
      <c r="M843">
        <v>3.38</v>
      </c>
      <c r="N843" s="6">
        <f t="shared" si="13"/>
        <v>8480564409.6599989</v>
      </c>
    </row>
    <row r="844" spans="1:14" x14ac:dyDescent="0.35">
      <c r="A844" t="s">
        <v>26</v>
      </c>
      <c r="B844" t="s">
        <v>52</v>
      </c>
      <c r="C844">
        <v>2024</v>
      </c>
      <c r="D844" t="s">
        <v>15</v>
      </c>
      <c r="E844">
        <v>105759.07</v>
      </c>
      <c r="F844">
        <v>79.7</v>
      </c>
      <c r="G844">
        <v>278</v>
      </c>
      <c r="H844">
        <v>200</v>
      </c>
      <c r="I844" t="s">
        <v>32</v>
      </c>
      <c r="J844">
        <v>3</v>
      </c>
      <c r="K844" t="s">
        <v>17</v>
      </c>
      <c r="L844">
        <v>107830</v>
      </c>
      <c r="M844">
        <v>3.56</v>
      </c>
      <c r="N844" s="6">
        <f t="shared" si="13"/>
        <v>11404000518.1</v>
      </c>
    </row>
    <row r="845" spans="1:14" x14ac:dyDescent="0.35">
      <c r="A845" t="s">
        <v>29</v>
      </c>
      <c r="B845" t="s">
        <v>53</v>
      </c>
      <c r="C845">
        <v>2024</v>
      </c>
      <c r="D845" t="s">
        <v>43</v>
      </c>
      <c r="E845">
        <v>107897.62</v>
      </c>
      <c r="F845">
        <v>47.5</v>
      </c>
      <c r="G845">
        <v>178</v>
      </c>
      <c r="H845">
        <v>160</v>
      </c>
      <c r="I845" t="s">
        <v>16</v>
      </c>
      <c r="J845">
        <v>5</v>
      </c>
      <c r="K845" t="s">
        <v>17</v>
      </c>
      <c r="L845">
        <v>188033</v>
      </c>
      <c r="M845">
        <v>3.43</v>
      </c>
      <c r="N845" s="6">
        <f t="shared" si="13"/>
        <v>20288313181.459999</v>
      </c>
    </row>
    <row r="846" spans="1:14" x14ac:dyDescent="0.35">
      <c r="A846" t="s">
        <v>67</v>
      </c>
      <c r="B846" t="s">
        <v>68</v>
      </c>
      <c r="C846">
        <v>2024</v>
      </c>
      <c r="D846" t="s">
        <v>38</v>
      </c>
      <c r="E846">
        <v>65798.710000000006</v>
      </c>
      <c r="F846">
        <v>76.8</v>
      </c>
      <c r="G846">
        <v>250</v>
      </c>
      <c r="H846">
        <v>160</v>
      </c>
      <c r="I846" t="s">
        <v>16</v>
      </c>
      <c r="J846">
        <v>4</v>
      </c>
      <c r="K846" t="s">
        <v>20</v>
      </c>
      <c r="L846">
        <v>52856</v>
      </c>
      <c r="M846">
        <v>3.77</v>
      </c>
      <c r="N846" s="6">
        <f t="shared" si="13"/>
        <v>3477856615.7600002</v>
      </c>
    </row>
    <row r="847" spans="1:14" x14ac:dyDescent="0.35">
      <c r="A847" t="s">
        <v>26</v>
      </c>
      <c r="B847" t="s">
        <v>52</v>
      </c>
      <c r="C847">
        <v>2024</v>
      </c>
      <c r="D847" t="s">
        <v>38</v>
      </c>
      <c r="E847">
        <v>57643.94</v>
      </c>
      <c r="F847">
        <v>54.7</v>
      </c>
      <c r="G847">
        <v>170</v>
      </c>
      <c r="H847">
        <v>150</v>
      </c>
      <c r="I847" t="s">
        <v>40</v>
      </c>
      <c r="J847">
        <v>5</v>
      </c>
      <c r="K847" t="s">
        <v>22</v>
      </c>
      <c r="L847">
        <v>149672</v>
      </c>
      <c r="M847">
        <v>3.38</v>
      </c>
      <c r="N847" s="6">
        <f t="shared" si="13"/>
        <v>8627683787.6800003</v>
      </c>
    </row>
    <row r="848" spans="1:14" x14ac:dyDescent="0.35">
      <c r="A848" t="s">
        <v>29</v>
      </c>
      <c r="B848" t="s">
        <v>53</v>
      </c>
      <c r="C848">
        <v>2024</v>
      </c>
      <c r="D848" t="s">
        <v>38</v>
      </c>
      <c r="E848">
        <v>49296.66</v>
      </c>
      <c r="F848">
        <v>41.7</v>
      </c>
      <c r="G848">
        <v>153</v>
      </c>
      <c r="H848">
        <v>134</v>
      </c>
      <c r="I848" t="s">
        <v>16</v>
      </c>
      <c r="J848">
        <v>5</v>
      </c>
      <c r="K848" t="s">
        <v>22</v>
      </c>
      <c r="L848">
        <v>241001</v>
      </c>
      <c r="M848">
        <v>3.74</v>
      </c>
      <c r="N848" s="6">
        <f t="shared" si="13"/>
        <v>11880544356.660002</v>
      </c>
    </row>
    <row r="849" spans="1:14" x14ac:dyDescent="0.35">
      <c r="A849" t="s">
        <v>75</v>
      </c>
      <c r="B849" t="s">
        <v>108</v>
      </c>
      <c r="C849">
        <v>2024</v>
      </c>
      <c r="D849" t="s">
        <v>15</v>
      </c>
      <c r="E849">
        <v>118076.47</v>
      </c>
      <c r="F849">
        <v>74</v>
      </c>
      <c r="G849">
        <v>249</v>
      </c>
      <c r="H849">
        <v>194</v>
      </c>
      <c r="I849" t="s">
        <v>32</v>
      </c>
      <c r="J849">
        <v>5</v>
      </c>
      <c r="K849" t="s">
        <v>17</v>
      </c>
      <c r="L849">
        <v>656</v>
      </c>
      <c r="M849">
        <v>3.53</v>
      </c>
      <c r="N849" s="6">
        <f t="shared" si="13"/>
        <v>77458164.320000008</v>
      </c>
    </row>
    <row r="850" spans="1:14" x14ac:dyDescent="0.35">
      <c r="A850" t="s">
        <v>29</v>
      </c>
      <c r="B850" t="s">
        <v>31</v>
      </c>
      <c r="C850">
        <v>2024</v>
      </c>
      <c r="D850" t="s">
        <v>15</v>
      </c>
      <c r="E850">
        <v>141348.91</v>
      </c>
      <c r="F850">
        <v>115.7</v>
      </c>
      <c r="G850">
        <v>409</v>
      </c>
      <c r="H850">
        <v>200</v>
      </c>
      <c r="I850" t="s">
        <v>33</v>
      </c>
      <c r="J850">
        <v>4</v>
      </c>
      <c r="K850" t="s">
        <v>17</v>
      </c>
      <c r="L850">
        <v>490678</v>
      </c>
      <c r="M850">
        <v>4.51</v>
      </c>
      <c r="N850" s="6">
        <f t="shared" si="13"/>
        <v>69356800460.979996</v>
      </c>
    </row>
    <row r="851" spans="1:14" x14ac:dyDescent="0.35">
      <c r="A851" t="s">
        <v>13</v>
      </c>
      <c r="B851" t="s">
        <v>56</v>
      </c>
      <c r="C851">
        <v>2024</v>
      </c>
      <c r="D851" t="s">
        <v>38</v>
      </c>
      <c r="E851">
        <v>29413.61</v>
      </c>
      <c r="F851">
        <v>69.3</v>
      </c>
      <c r="G851">
        <v>264</v>
      </c>
      <c r="H851">
        <v>131</v>
      </c>
      <c r="I851" t="s">
        <v>21</v>
      </c>
      <c r="J851">
        <v>5</v>
      </c>
      <c r="K851" t="s">
        <v>47</v>
      </c>
      <c r="L851">
        <v>268683</v>
      </c>
      <c r="M851">
        <v>3.64</v>
      </c>
      <c r="N851" s="6">
        <f t="shared" si="13"/>
        <v>7902936975.6300001</v>
      </c>
    </row>
    <row r="852" spans="1:14" x14ac:dyDescent="0.35">
      <c r="A852" t="s">
        <v>13</v>
      </c>
      <c r="B852" t="s">
        <v>55</v>
      </c>
      <c r="C852">
        <v>2024</v>
      </c>
      <c r="D852" t="s">
        <v>15</v>
      </c>
      <c r="E852">
        <v>106703.67</v>
      </c>
      <c r="F852">
        <v>90.5</v>
      </c>
      <c r="G852">
        <v>330</v>
      </c>
      <c r="H852">
        <v>192</v>
      </c>
      <c r="I852" t="s">
        <v>25</v>
      </c>
      <c r="J852">
        <v>5</v>
      </c>
      <c r="K852" t="s">
        <v>17</v>
      </c>
      <c r="L852">
        <v>282713</v>
      </c>
      <c r="M852">
        <v>3.53</v>
      </c>
      <c r="N852" s="6">
        <f t="shared" si="13"/>
        <v>30166514656.709999</v>
      </c>
    </row>
    <row r="853" spans="1:14" x14ac:dyDescent="0.35">
      <c r="A853" t="s">
        <v>45</v>
      </c>
      <c r="B853" t="s">
        <v>54</v>
      </c>
      <c r="C853">
        <v>2024</v>
      </c>
      <c r="D853" t="s">
        <v>38</v>
      </c>
      <c r="E853">
        <v>31743.27</v>
      </c>
      <c r="F853">
        <v>82.5</v>
      </c>
      <c r="G853">
        <v>285</v>
      </c>
      <c r="H853">
        <v>166</v>
      </c>
      <c r="I853" t="s">
        <v>21</v>
      </c>
      <c r="J853">
        <v>4</v>
      </c>
      <c r="K853" t="s">
        <v>47</v>
      </c>
      <c r="L853">
        <v>226541</v>
      </c>
      <c r="M853">
        <v>3.63</v>
      </c>
      <c r="N853" s="6">
        <f t="shared" si="13"/>
        <v>7191152129.0699997</v>
      </c>
    </row>
    <row r="854" spans="1:14" x14ac:dyDescent="0.35">
      <c r="A854" t="s">
        <v>45</v>
      </c>
      <c r="B854" t="s">
        <v>48</v>
      </c>
      <c r="C854">
        <v>2024</v>
      </c>
      <c r="D854" t="s">
        <v>15</v>
      </c>
      <c r="E854">
        <v>53801.14</v>
      </c>
      <c r="F854">
        <v>101.6</v>
      </c>
      <c r="G854">
        <v>365</v>
      </c>
      <c r="H854">
        <v>200</v>
      </c>
      <c r="I854" t="s">
        <v>25</v>
      </c>
      <c r="J854">
        <v>5</v>
      </c>
      <c r="K854" t="s">
        <v>22</v>
      </c>
      <c r="L854">
        <v>168996</v>
      </c>
      <c r="M854">
        <v>3.7</v>
      </c>
      <c r="N854" s="6">
        <f t="shared" si="13"/>
        <v>9092177455.4400005</v>
      </c>
    </row>
    <row r="855" spans="1:14" x14ac:dyDescent="0.35">
      <c r="A855" t="s">
        <v>29</v>
      </c>
      <c r="B855" t="s">
        <v>39</v>
      </c>
      <c r="C855">
        <v>2024</v>
      </c>
      <c r="D855" t="s">
        <v>43</v>
      </c>
      <c r="E855">
        <v>122807.61</v>
      </c>
      <c r="F855">
        <v>51</v>
      </c>
      <c r="G855">
        <v>203</v>
      </c>
      <c r="H855">
        <v>177</v>
      </c>
      <c r="I855" t="s">
        <v>25</v>
      </c>
      <c r="J855">
        <v>4</v>
      </c>
      <c r="K855" t="s">
        <v>17</v>
      </c>
      <c r="L855">
        <v>162784</v>
      </c>
      <c r="M855">
        <v>3.67</v>
      </c>
      <c r="N855" s="6">
        <f t="shared" si="13"/>
        <v>19991113986.240002</v>
      </c>
    </row>
    <row r="856" spans="1:14" x14ac:dyDescent="0.35">
      <c r="A856" t="s">
        <v>49</v>
      </c>
      <c r="B856" t="s">
        <v>50</v>
      </c>
      <c r="C856">
        <v>2024</v>
      </c>
      <c r="D856" t="s">
        <v>43</v>
      </c>
      <c r="E856">
        <v>53616.49</v>
      </c>
      <c r="F856">
        <v>57.8</v>
      </c>
      <c r="G856">
        <v>161</v>
      </c>
      <c r="H856">
        <v>147</v>
      </c>
      <c r="I856" t="s">
        <v>33</v>
      </c>
      <c r="J856">
        <v>5</v>
      </c>
      <c r="K856" t="s">
        <v>22</v>
      </c>
      <c r="L856">
        <v>78661</v>
      </c>
      <c r="M856">
        <v>3.39</v>
      </c>
      <c r="N856" s="6">
        <f t="shared" si="13"/>
        <v>4217526719.8899999</v>
      </c>
    </row>
    <row r="857" spans="1:14" x14ac:dyDescent="0.35">
      <c r="A857" t="s">
        <v>23</v>
      </c>
      <c r="B857" t="s">
        <v>24</v>
      </c>
      <c r="C857">
        <v>2024</v>
      </c>
      <c r="D857" t="s">
        <v>15</v>
      </c>
      <c r="E857">
        <v>43772.41</v>
      </c>
      <c r="F857">
        <v>113.5</v>
      </c>
      <c r="G857">
        <v>369</v>
      </c>
      <c r="H857">
        <v>192</v>
      </c>
      <c r="I857" t="s">
        <v>21</v>
      </c>
      <c r="J857">
        <v>4</v>
      </c>
      <c r="K857" t="s">
        <v>22</v>
      </c>
      <c r="L857">
        <v>13494</v>
      </c>
      <c r="M857">
        <v>3.81</v>
      </c>
      <c r="N857" s="6">
        <f t="shared" si="13"/>
        <v>590664900.54000008</v>
      </c>
    </row>
    <row r="858" spans="1:14" x14ac:dyDescent="0.35">
      <c r="A858" t="s">
        <v>29</v>
      </c>
      <c r="B858" t="s">
        <v>31</v>
      </c>
      <c r="C858">
        <v>2024</v>
      </c>
      <c r="D858" t="s">
        <v>43</v>
      </c>
      <c r="E858">
        <v>118291.58</v>
      </c>
      <c r="F858">
        <v>82.5</v>
      </c>
      <c r="G858">
        <v>290</v>
      </c>
      <c r="H858">
        <v>157</v>
      </c>
      <c r="I858" t="s">
        <v>16</v>
      </c>
      <c r="J858">
        <v>5</v>
      </c>
      <c r="K858" t="s">
        <v>17</v>
      </c>
      <c r="L858">
        <v>419454</v>
      </c>
      <c r="M858">
        <v>3.57</v>
      </c>
      <c r="N858" s="6">
        <f t="shared" si="13"/>
        <v>49617876397.32</v>
      </c>
    </row>
    <row r="859" spans="1:14" x14ac:dyDescent="0.35">
      <c r="A859" t="s">
        <v>34</v>
      </c>
      <c r="B859" t="s">
        <v>78</v>
      </c>
      <c r="C859">
        <v>2024</v>
      </c>
      <c r="D859" t="s">
        <v>20</v>
      </c>
      <c r="E859">
        <v>167460.91</v>
      </c>
      <c r="F859">
        <v>69.900000000000006</v>
      </c>
      <c r="G859">
        <v>243</v>
      </c>
      <c r="H859">
        <v>175</v>
      </c>
      <c r="I859" t="s">
        <v>32</v>
      </c>
      <c r="J859">
        <v>4</v>
      </c>
      <c r="K859" t="s">
        <v>17</v>
      </c>
      <c r="L859">
        <v>50533</v>
      </c>
      <c r="M859">
        <v>3.71</v>
      </c>
      <c r="N859" s="6">
        <f t="shared" si="13"/>
        <v>8462302165.0299997</v>
      </c>
    </row>
    <row r="860" spans="1:14" x14ac:dyDescent="0.35">
      <c r="A860" t="s">
        <v>64</v>
      </c>
      <c r="B860" t="s">
        <v>65</v>
      </c>
      <c r="C860">
        <v>2024</v>
      </c>
      <c r="D860" t="s">
        <v>38</v>
      </c>
      <c r="E860">
        <v>58695</v>
      </c>
      <c r="F860">
        <v>50</v>
      </c>
      <c r="G860">
        <v>177</v>
      </c>
      <c r="H860">
        <v>155</v>
      </c>
      <c r="I860" t="s">
        <v>33</v>
      </c>
      <c r="J860">
        <v>4</v>
      </c>
      <c r="K860" t="s">
        <v>22</v>
      </c>
      <c r="L860">
        <v>59887</v>
      </c>
      <c r="M860">
        <v>3.39</v>
      </c>
      <c r="N860" s="6">
        <f t="shared" si="13"/>
        <v>3515067465</v>
      </c>
    </row>
    <row r="861" spans="1:14" x14ac:dyDescent="0.35">
      <c r="A861" t="s">
        <v>34</v>
      </c>
      <c r="B861" t="s">
        <v>35</v>
      </c>
      <c r="C861">
        <v>2024</v>
      </c>
      <c r="D861" t="s">
        <v>15</v>
      </c>
      <c r="E861">
        <v>183949.91</v>
      </c>
      <c r="F861">
        <v>87</v>
      </c>
      <c r="G861">
        <v>328</v>
      </c>
      <c r="H861">
        <v>200</v>
      </c>
      <c r="I861" t="s">
        <v>33</v>
      </c>
      <c r="J861">
        <v>5</v>
      </c>
      <c r="K861" t="s">
        <v>17</v>
      </c>
      <c r="L861">
        <v>78765</v>
      </c>
      <c r="M861">
        <v>4.0599999999999996</v>
      </c>
      <c r="N861" s="6">
        <f t="shared" si="13"/>
        <v>14488814661.15</v>
      </c>
    </row>
    <row r="862" spans="1:14" x14ac:dyDescent="0.35">
      <c r="A862" t="s">
        <v>49</v>
      </c>
      <c r="B862" t="s">
        <v>87</v>
      </c>
      <c r="C862">
        <v>2024</v>
      </c>
      <c r="D862" t="s">
        <v>43</v>
      </c>
      <c r="E862">
        <v>37623.67</v>
      </c>
      <c r="F862">
        <v>63.5</v>
      </c>
      <c r="G862">
        <v>214</v>
      </c>
      <c r="H862">
        <v>165</v>
      </c>
      <c r="I862" t="s">
        <v>25</v>
      </c>
      <c r="J862">
        <v>4</v>
      </c>
      <c r="K862" t="s">
        <v>22</v>
      </c>
      <c r="L862">
        <v>76324</v>
      </c>
      <c r="M862">
        <v>3.31</v>
      </c>
      <c r="N862" s="6">
        <f t="shared" si="13"/>
        <v>2871588989.0799999</v>
      </c>
    </row>
    <row r="863" spans="1:14" x14ac:dyDescent="0.35">
      <c r="A863" t="s">
        <v>73</v>
      </c>
      <c r="B863" t="s">
        <v>91</v>
      </c>
      <c r="C863">
        <v>2024</v>
      </c>
      <c r="D863" t="s">
        <v>20</v>
      </c>
      <c r="E863">
        <v>68322.210000000006</v>
      </c>
      <c r="F863">
        <v>64.5</v>
      </c>
      <c r="G863">
        <v>203</v>
      </c>
      <c r="H863">
        <v>143</v>
      </c>
      <c r="I863" t="s">
        <v>33</v>
      </c>
      <c r="J863">
        <v>5</v>
      </c>
      <c r="K863" t="s">
        <v>20</v>
      </c>
      <c r="L863">
        <v>2458</v>
      </c>
      <c r="M863">
        <v>3.46</v>
      </c>
      <c r="N863" s="6">
        <f t="shared" si="13"/>
        <v>167935992.18000001</v>
      </c>
    </row>
    <row r="864" spans="1:14" x14ac:dyDescent="0.35">
      <c r="A864" t="s">
        <v>29</v>
      </c>
      <c r="B864" t="s">
        <v>31</v>
      </c>
      <c r="C864">
        <v>2024</v>
      </c>
      <c r="D864" t="s">
        <v>20</v>
      </c>
      <c r="E864">
        <v>91805.32</v>
      </c>
      <c r="F864">
        <v>52.7</v>
      </c>
      <c r="G864">
        <v>197</v>
      </c>
      <c r="H864">
        <v>156</v>
      </c>
      <c r="I864" t="s">
        <v>32</v>
      </c>
      <c r="J864">
        <v>4</v>
      </c>
      <c r="K864" t="s">
        <v>20</v>
      </c>
      <c r="L864">
        <v>462587</v>
      </c>
      <c r="M864">
        <v>3.48</v>
      </c>
      <c r="N864" s="6">
        <f t="shared" si="13"/>
        <v>42467947562.840004</v>
      </c>
    </row>
    <row r="865" spans="1:14" x14ac:dyDescent="0.35">
      <c r="A865" t="s">
        <v>23</v>
      </c>
      <c r="B865" t="s">
        <v>24</v>
      </c>
      <c r="C865">
        <v>2024</v>
      </c>
      <c r="D865" t="s">
        <v>38</v>
      </c>
      <c r="E865">
        <v>34244.160000000003</v>
      </c>
      <c r="F865">
        <v>59.5</v>
      </c>
      <c r="G865">
        <v>214</v>
      </c>
      <c r="H865">
        <v>163</v>
      </c>
      <c r="I865" t="s">
        <v>21</v>
      </c>
      <c r="J865">
        <v>5</v>
      </c>
      <c r="K865" t="s">
        <v>47</v>
      </c>
      <c r="L865">
        <v>29653</v>
      </c>
      <c r="M865">
        <v>3.5</v>
      </c>
      <c r="N865" s="6">
        <f t="shared" si="13"/>
        <v>1015442076.4800001</v>
      </c>
    </row>
    <row r="866" spans="1:14" x14ac:dyDescent="0.35">
      <c r="A866" t="s">
        <v>26</v>
      </c>
      <c r="B866" t="s">
        <v>61</v>
      </c>
      <c r="C866">
        <v>2024</v>
      </c>
      <c r="D866" t="s">
        <v>43</v>
      </c>
      <c r="E866">
        <v>67166.429999999993</v>
      </c>
      <c r="F866">
        <v>71.5</v>
      </c>
      <c r="G866">
        <v>240</v>
      </c>
      <c r="H866">
        <v>135</v>
      </c>
      <c r="I866" t="s">
        <v>21</v>
      </c>
      <c r="J866">
        <v>4</v>
      </c>
      <c r="K866" t="s">
        <v>20</v>
      </c>
      <c r="L866">
        <v>69022</v>
      </c>
      <c r="M866">
        <v>3.56</v>
      </c>
      <c r="N866" s="6">
        <f t="shared" si="13"/>
        <v>4635961331.4599991</v>
      </c>
    </row>
    <row r="867" spans="1:14" x14ac:dyDescent="0.35">
      <c r="A867" t="s">
        <v>75</v>
      </c>
      <c r="B867" t="s">
        <v>108</v>
      </c>
      <c r="C867">
        <v>2024</v>
      </c>
      <c r="D867" t="s">
        <v>38</v>
      </c>
      <c r="E867">
        <v>73774.27</v>
      </c>
      <c r="F867">
        <v>67.400000000000006</v>
      </c>
      <c r="G867">
        <v>263</v>
      </c>
      <c r="H867">
        <v>148</v>
      </c>
      <c r="I867" t="s">
        <v>16</v>
      </c>
      <c r="J867">
        <v>5</v>
      </c>
      <c r="K867" t="s">
        <v>20</v>
      </c>
      <c r="L867">
        <v>22100</v>
      </c>
      <c r="M867">
        <v>3.49</v>
      </c>
      <c r="N867" s="6">
        <f t="shared" si="13"/>
        <v>1630411367</v>
      </c>
    </row>
    <row r="868" spans="1:14" x14ac:dyDescent="0.35">
      <c r="A868" t="s">
        <v>29</v>
      </c>
      <c r="B868" t="s">
        <v>31</v>
      </c>
      <c r="C868">
        <v>2024</v>
      </c>
      <c r="D868" t="s">
        <v>28</v>
      </c>
      <c r="E868">
        <v>98420.53</v>
      </c>
      <c r="F868">
        <v>75.3</v>
      </c>
      <c r="G868">
        <v>267</v>
      </c>
      <c r="H868">
        <v>165</v>
      </c>
      <c r="I868" t="s">
        <v>32</v>
      </c>
      <c r="J868">
        <v>5</v>
      </c>
      <c r="K868" t="s">
        <v>20</v>
      </c>
      <c r="L868">
        <v>459091</v>
      </c>
      <c r="M868">
        <v>3.73</v>
      </c>
      <c r="N868" s="6">
        <f t="shared" si="13"/>
        <v>45183979538.229996</v>
      </c>
    </row>
    <row r="869" spans="1:14" x14ac:dyDescent="0.35">
      <c r="A869" t="s">
        <v>23</v>
      </c>
      <c r="B869" t="s">
        <v>99</v>
      </c>
      <c r="C869">
        <v>2024</v>
      </c>
      <c r="D869" t="s">
        <v>43</v>
      </c>
      <c r="E869">
        <v>42545.39</v>
      </c>
      <c r="F869">
        <v>40</v>
      </c>
      <c r="G869">
        <v>150</v>
      </c>
      <c r="H869">
        <v>171</v>
      </c>
      <c r="I869" t="s">
        <v>40</v>
      </c>
      <c r="J869">
        <v>3</v>
      </c>
      <c r="K869" t="s">
        <v>22</v>
      </c>
      <c r="L869">
        <v>11545</v>
      </c>
      <c r="M869">
        <v>3.42</v>
      </c>
      <c r="N869" s="6">
        <f t="shared" si="13"/>
        <v>491186527.55000001</v>
      </c>
    </row>
    <row r="870" spans="1:14" x14ac:dyDescent="0.35">
      <c r="A870" t="s">
        <v>75</v>
      </c>
      <c r="B870" t="s">
        <v>108</v>
      </c>
      <c r="C870">
        <v>2024</v>
      </c>
      <c r="D870" t="s">
        <v>43</v>
      </c>
      <c r="E870">
        <v>86119.94</v>
      </c>
      <c r="F870">
        <v>52.4</v>
      </c>
      <c r="G870">
        <v>172</v>
      </c>
      <c r="H870">
        <v>170</v>
      </c>
      <c r="I870" t="s">
        <v>25</v>
      </c>
      <c r="J870">
        <v>4</v>
      </c>
      <c r="K870" t="s">
        <v>20</v>
      </c>
      <c r="L870">
        <v>1755</v>
      </c>
      <c r="M870">
        <v>3.19</v>
      </c>
      <c r="N870" s="6">
        <f t="shared" si="13"/>
        <v>151140494.70000002</v>
      </c>
    </row>
    <row r="871" spans="1:14" x14ac:dyDescent="0.35">
      <c r="A871" t="s">
        <v>41</v>
      </c>
      <c r="B871" t="s">
        <v>42</v>
      </c>
      <c r="C871">
        <v>2024</v>
      </c>
      <c r="D871" t="s">
        <v>15</v>
      </c>
      <c r="E871">
        <v>77587.25</v>
      </c>
      <c r="F871">
        <v>78.3</v>
      </c>
      <c r="G871">
        <v>296</v>
      </c>
      <c r="H871">
        <v>198</v>
      </c>
      <c r="I871" t="s">
        <v>40</v>
      </c>
      <c r="J871">
        <v>4</v>
      </c>
      <c r="K871" t="s">
        <v>20</v>
      </c>
      <c r="L871">
        <v>24352</v>
      </c>
      <c r="M871">
        <v>3.46</v>
      </c>
      <c r="N871" s="6">
        <f t="shared" si="13"/>
        <v>1889404712</v>
      </c>
    </row>
    <row r="872" spans="1:14" x14ac:dyDescent="0.35">
      <c r="A872" t="s">
        <v>29</v>
      </c>
      <c r="B872" t="s">
        <v>53</v>
      </c>
      <c r="C872">
        <v>2024</v>
      </c>
      <c r="D872" t="s">
        <v>20</v>
      </c>
      <c r="E872">
        <v>49738.35</v>
      </c>
      <c r="F872">
        <v>47</v>
      </c>
      <c r="G872">
        <v>150</v>
      </c>
      <c r="H872">
        <v>165</v>
      </c>
      <c r="I872" t="s">
        <v>16</v>
      </c>
      <c r="J872">
        <v>5</v>
      </c>
      <c r="K872" t="s">
        <v>22</v>
      </c>
      <c r="L872">
        <v>179970</v>
      </c>
      <c r="M872">
        <v>3.63</v>
      </c>
      <c r="N872" s="6">
        <f t="shared" si="13"/>
        <v>8951410849.5</v>
      </c>
    </row>
    <row r="873" spans="1:14" x14ac:dyDescent="0.35">
      <c r="A873" t="s">
        <v>29</v>
      </c>
      <c r="B873" t="s">
        <v>30</v>
      </c>
      <c r="C873">
        <v>2024</v>
      </c>
      <c r="D873" t="s">
        <v>28</v>
      </c>
      <c r="E873">
        <v>148635.93</v>
      </c>
      <c r="F873">
        <v>103.2</v>
      </c>
      <c r="G873">
        <v>360</v>
      </c>
      <c r="H873">
        <v>165</v>
      </c>
      <c r="I873" t="s">
        <v>25</v>
      </c>
      <c r="J873">
        <v>3</v>
      </c>
      <c r="K873" t="s">
        <v>17</v>
      </c>
      <c r="L873">
        <v>108335</v>
      </c>
      <c r="M873">
        <v>3.96</v>
      </c>
      <c r="N873" s="6">
        <f t="shared" si="13"/>
        <v>16102473476.549999</v>
      </c>
    </row>
    <row r="874" spans="1:14" x14ac:dyDescent="0.35">
      <c r="A874" t="s">
        <v>45</v>
      </c>
      <c r="B874" t="s">
        <v>69</v>
      </c>
      <c r="C874">
        <v>2024</v>
      </c>
      <c r="D874" t="s">
        <v>20</v>
      </c>
      <c r="E874">
        <v>113232.12</v>
      </c>
      <c r="F874">
        <v>50</v>
      </c>
      <c r="G874">
        <v>173</v>
      </c>
      <c r="H874">
        <v>154</v>
      </c>
      <c r="I874" t="s">
        <v>33</v>
      </c>
      <c r="J874">
        <v>4</v>
      </c>
      <c r="K874" t="s">
        <v>17</v>
      </c>
      <c r="L874">
        <v>184045</v>
      </c>
      <c r="M874">
        <v>3.17</v>
      </c>
      <c r="N874" s="6">
        <f t="shared" si="13"/>
        <v>20839805525.399998</v>
      </c>
    </row>
    <row r="875" spans="1:14" x14ac:dyDescent="0.35">
      <c r="A875" t="s">
        <v>26</v>
      </c>
      <c r="B875" t="s">
        <v>36</v>
      </c>
      <c r="C875">
        <v>2024</v>
      </c>
      <c r="D875" t="s">
        <v>28</v>
      </c>
      <c r="E875">
        <v>40789.370000000003</v>
      </c>
      <c r="F875">
        <v>85.6</v>
      </c>
      <c r="G875">
        <v>279</v>
      </c>
      <c r="H875">
        <v>165</v>
      </c>
      <c r="I875" t="s">
        <v>33</v>
      </c>
      <c r="J875">
        <v>5</v>
      </c>
      <c r="K875" t="s">
        <v>22</v>
      </c>
      <c r="L875">
        <v>63756</v>
      </c>
      <c r="M875">
        <v>3.57</v>
      </c>
      <c r="N875" s="6">
        <f t="shared" si="13"/>
        <v>2600567073.7200003</v>
      </c>
    </row>
    <row r="876" spans="1:14" x14ac:dyDescent="0.35">
      <c r="A876" t="s">
        <v>111</v>
      </c>
      <c r="B876" t="s">
        <v>112</v>
      </c>
      <c r="C876">
        <v>2024</v>
      </c>
      <c r="D876" t="s">
        <v>28</v>
      </c>
      <c r="E876">
        <v>95394.53</v>
      </c>
      <c r="F876">
        <v>76.400000000000006</v>
      </c>
      <c r="G876">
        <v>243</v>
      </c>
      <c r="H876">
        <v>168</v>
      </c>
      <c r="I876" t="s">
        <v>21</v>
      </c>
      <c r="J876">
        <v>5</v>
      </c>
      <c r="K876" t="s">
        <v>20</v>
      </c>
      <c r="L876">
        <v>8671</v>
      </c>
      <c r="M876">
        <v>3.55</v>
      </c>
      <c r="N876" s="6">
        <f t="shared" si="13"/>
        <v>827165969.63</v>
      </c>
    </row>
    <row r="877" spans="1:14" x14ac:dyDescent="0.35">
      <c r="A877" t="s">
        <v>45</v>
      </c>
      <c r="B877" t="s">
        <v>46</v>
      </c>
      <c r="C877">
        <v>2024</v>
      </c>
      <c r="D877" t="s">
        <v>38</v>
      </c>
      <c r="E877">
        <v>16613.009999999998</v>
      </c>
      <c r="F877">
        <v>55.9</v>
      </c>
      <c r="G877">
        <v>237</v>
      </c>
      <c r="H877">
        <v>169</v>
      </c>
      <c r="I877" t="s">
        <v>40</v>
      </c>
      <c r="J877">
        <v>3</v>
      </c>
      <c r="K877" t="s">
        <v>47</v>
      </c>
      <c r="L877">
        <v>205452</v>
      </c>
      <c r="M877">
        <v>3.37</v>
      </c>
      <c r="N877" s="6">
        <f t="shared" si="13"/>
        <v>3413176130.5199995</v>
      </c>
    </row>
    <row r="878" spans="1:14" x14ac:dyDescent="0.35">
      <c r="A878" t="s">
        <v>67</v>
      </c>
      <c r="B878" t="s">
        <v>68</v>
      </c>
      <c r="C878">
        <v>2024</v>
      </c>
      <c r="D878" t="s">
        <v>38</v>
      </c>
      <c r="E878">
        <v>86243.23</v>
      </c>
      <c r="F878">
        <v>60.4</v>
      </c>
      <c r="G878">
        <v>208</v>
      </c>
      <c r="H878">
        <v>169</v>
      </c>
      <c r="I878" t="s">
        <v>40</v>
      </c>
      <c r="J878">
        <v>4</v>
      </c>
      <c r="K878" t="s">
        <v>20</v>
      </c>
      <c r="L878">
        <v>24433</v>
      </c>
      <c r="M878">
        <v>3.51</v>
      </c>
      <c r="N878" s="6">
        <f t="shared" si="13"/>
        <v>2107180838.5899999</v>
      </c>
    </row>
    <row r="879" spans="1:14" x14ac:dyDescent="0.35">
      <c r="A879" t="s">
        <v>13</v>
      </c>
      <c r="B879" t="s">
        <v>51</v>
      </c>
      <c r="C879">
        <v>2024</v>
      </c>
      <c r="D879" t="s">
        <v>28</v>
      </c>
      <c r="E879">
        <v>67671.59</v>
      </c>
      <c r="F879">
        <v>106.9</v>
      </c>
      <c r="G879">
        <v>369</v>
      </c>
      <c r="H879">
        <v>166</v>
      </c>
      <c r="I879" t="s">
        <v>21</v>
      </c>
      <c r="J879">
        <v>4</v>
      </c>
      <c r="K879" t="s">
        <v>20</v>
      </c>
      <c r="L879">
        <v>268234</v>
      </c>
      <c r="M879">
        <v>3.88</v>
      </c>
      <c r="N879" s="6">
        <f t="shared" si="13"/>
        <v>18151821272.059998</v>
      </c>
    </row>
    <row r="880" spans="1:14" x14ac:dyDescent="0.35">
      <c r="A880" t="s">
        <v>45</v>
      </c>
      <c r="B880" t="s">
        <v>48</v>
      </c>
      <c r="C880">
        <v>2024</v>
      </c>
      <c r="D880" t="s">
        <v>28</v>
      </c>
      <c r="E880">
        <v>71451.87</v>
      </c>
      <c r="F880">
        <v>76.8</v>
      </c>
      <c r="G880">
        <v>260</v>
      </c>
      <c r="H880">
        <v>166</v>
      </c>
      <c r="I880" t="s">
        <v>25</v>
      </c>
      <c r="J880">
        <v>5</v>
      </c>
      <c r="K880" t="s">
        <v>20</v>
      </c>
      <c r="L880">
        <v>111875</v>
      </c>
      <c r="M880">
        <v>3.51</v>
      </c>
      <c r="N880" s="6">
        <f t="shared" si="13"/>
        <v>7993677956.249999</v>
      </c>
    </row>
    <row r="881" spans="1:14" x14ac:dyDescent="0.35">
      <c r="A881" t="s">
        <v>29</v>
      </c>
      <c r="B881" t="s">
        <v>31</v>
      </c>
      <c r="C881">
        <v>2024</v>
      </c>
      <c r="D881" t="s">
        <v>28</v>
      </c>
      <c r="E881">
        <v>114549.61</v>
      </c>
      <c r="F881">
        <v>101</v>
      </c>
      <c r="G881">
        <v>338</v>
      </c>
      <c r="H881">
        <v>178</v>
      </c>
      <c r="I881" t="s">
        <v>33</v>
      </c>
      <c r="J881">
        <v>5</v>
      </c>
      <c r="K881" t="s">
        <v>17</v>
      </c>
      <c r="L881">
        <v>473485</v>
      </c>
      <c r="M881">
        <v>4.07</v>
      </c>
      <c r="N881" s="6">
        <f t="shared" si="13"/>
        <v>54237522090.849998</v>
      </c>
    </row>
    <row r="882" spans="1:14" x14ac:dyDescent="0.35">
      <c r="A882" t="s">
        <v>80</v>
      </c>
      <c r="B882" t="s">
        <v>94</v>
      </c>
      <c r="C882">
        <v>2024</v>
      </c>
      <c r="D882" t="s">
        <v>20</v>
      </c>
      <c r="E882">
        <v>143428.04999999999</v>
      </c>
      <c r="F882">
        <v>66.099999999999994</v>
      </c>
      <c r="G882">
        <v>213</v>
      </c>
      <c r="H882">
        <v>148</v>
      </c>
      <c r="I882" t="s">
        <v>33</v>
      </c>
      <c r="J882">
        <v>4</v>
      </c>
      <c r="K882" t="s">
        <v>17</v>
      </c>
      <c r="L882">
        <v>6555</v>
      </c>
      <c r="M882">
        <v>3.83</v>
      </c>
      <c r="N882" s="6">
        <f t="shared" si="13"/>
        <v>940170867.74999988</v>
      </c>
    </row>
    <row r="883" spans="1:14" x14ac:dyDescent="0.35">
      <c r="A883" t="s">
        <v>18</v>
      </c>
      <c r="B883" t="s">
        <v>19</v>
      </c>
      <c r="C883">
        <v>2024</v>
      </c>
      <c r="D883" t="s">
        <v>28</v>
      </c>
      <c r="E883">
        <v>85221.63</v>
      </c>
      <c r="F883">
        <v>86.5</v>
      </c>
      <c r="G883">
        <v>314</v>
      </c>
      <c r="H883">
        <v>181</v>
      </c>
      <c r="I883" t="s">
        <v>21</v>
      </c>
      <c r="J883">
        <v>4</v>
      </c>
      <c r="K883" t="s">
        <v>20</v>
      </c>
      <c r="L883">
        <v>12454</v>
      </c>
      <c r="M883">
        <v>3.6</v>
      </c>
      <c r="N883" s="6">
        <f t="shared" si="13"/>
        <v>1061350180.0200001</v>
      </c>
    </row>
    <row r="884" spans="1:14" x14ac:dyDescent="0.35">
      <c r="A884" t="s">
        <v>29</v>
      </c>
      <c r="B884" t="s">
        <v>59</v>
      </c>
      <c r="C884">
        <v>2024</v>
      </c>
      <c r="D884" t="s">
        <v>20</v>
      </c>
      <c r="E884">
        <v>57311.05</v>
      </c>
      <c r="F884">
        <v>46.2</v>
      </c>
      <c r="G884">
        <v>178</v>
      </c>
      <c r="H884">
        <v>148</v>
      </c>
      <c r="I884" t="s">
        <v>32</v>
      </c>
      <c r="J884">
        <v>5</v>
      </c>
      <c r="K884" t="s">
        <v>22</v>
      </c>
      <c r="L884">
        <v>103833</v>
      </c>
      <c r="M884">
        <v>3.5</v>
      </c>
      <c r="N884" s="6">
        <f t="shared" si="13"/>
        <v>5950778254.6500006</v>
      </c>
    </row>
    <row r="885" spans="1:14" x14ac:dyDescent="0.35">
      <c r="A885" t="s">
        <v>64</v>
      </c>
      <c r="B885" t="s">
        <v>70</v>
      </c>
      <c r="C885">
        <v>2024</v>
      </c>
      <c r="D885" t="s">
        <v>20</v>
      </c>
      <c r="E885">
        <v>79371.520000000004</v>
      </c>
      <c r="F885">
        <v>75.599999999999994</v>
      </c>
      <c r="G885">
        <v>287</v>
      </c>
      <c r="H885">
        <v>165</v>
      </c>
      <c r="I885" t="s">
        <v>32</v>
      </c>
      <c r="J885">
        <v>5</v>
      </c>
      <c r="K885" t="s">
        <v>20</v>
      </c>
      <c r="L885">
        <v>73538</v>
      </c>
      <c r="M885">
        <v>3.37</v>
      </c>
      <c r="N885" s="6">
        <f t="shared" si="13"/>
        <v>5836822837.7600002</v>
      </c>
    </row>
    <row r="886" spans="1:14" x14ac:dyDescent="0.35">
      <c r="A886" t="s">
        <v>26</v>
      </c>
      <c r="B886" t="s">
        <v>52</v>
      </c>
      <c r="C886">
        <v>2024</v>
      </c>
      <c r="D886" t="s">
        <v>15</v>
      </c>
      <c r="E886">
        <v>42779.06</v>
      </c>
      <c r="F886">
        <v>92.5</v>
      </c>
      <c r="G886">
        <v>294</v>
      </c>
      <c r="H886">
        <v>195</v>
      </c>
      <c r="I886" t="s">
        <v>21</v>
      </c>
      <c r="J886">
        <v>4</v>
      </c>
      <c r="K886" t="s">
        <v>22</v>
      </c>
      <c r="L886">
        <v>60355</v>
      </c>
      <c r="M886">
        <v>3.59</v>
      </c>
      <c r="N886" s="6">
        <f t="shared" si="13"/>
        <v>2581930166.2999997</v>
      </c>
    </row>
    <row r="887" spans="1:14" x14ac:dyDescent="0.35">
      <c r="A887" t="s">
        <v>45</v>
      </c>
      <c r="B887" t="s">
        <v>48</v>
      </c>
      <c r="C887">
        <v>2024</v>
      </c>
      <c r="D887" t="s">
        <v>20</v>
      </c>
      <c r="E887">
        <v>65610.45</v>
      </c>
      <c r="F887">
        <v>55.7</v>
      </c>
      <c r="G887">
        <v>208</v>
      </c>
      <c r="H887">
        <v>130</v>
      </c>
      <c r="I887" t="s">
        <v>40</v>
      </c>
      <c r="J887">
        <v>4</v>
      </c>
      <c r="K887" t="s">
        <v>20</v>
      </c>
      <c r="L887">
        <v>108967</v>
      </c>
      <c r="M887">
        <v>3.37</v>
      </c>
      <c r="N887" s="6">
        <f t="shared" si="13"/>
        <v>7149373905.1499996</v>
      </c>
    </row>
    <row r="888" spans="1:14" x14ac:dyDescent="0.35">
      <c r="A888" t="s">
        <v>29</v>
      </c>
      <c r="B888" t="s">
        <v>53</v>
      </c>
      <c r="C888">
        <v>2024</v>
      </c>
      <c r="D888" t="s">
        <v>28</v>
      </c>
      <c r="E888">
        <v>71380.399999999994</v>
      </c>
      <c r="F888">
        <v>86.4</v>
      </c>
      <c r="G888">
        <v>314</v>
      </c>
      <c r="H888">
        <v>179</v>
      </c>
      <c r="I888" t="s">
        <v>16</v>
      </c>
      <c r="J888">
        <v>5</v>
      </c>
      <c r="K888" t="s">
        <v>20</v>
      </c>
      <c r="L888">
        <v>213989</v>
      </c>
      <c r="M888">
        <v>3.69</v>
      </c>
      <c r="N888" s="6">
        <f t="shared" si="13"/>
        <v>15274620415.599998</v>
      </c>
    </row>
    <row r="889" spans="1:14" x14ac:dyDescent="0.35">
      <c r="A889" t="s">
        <v>57</v>
      </c>
      <c r="B889" t="s">
        <v>72</v>
      </c>
      <c r="C889">
        <v>2024</v>
      </c>
      <c r="D889" t="s">
        <v>20</v>
      </c>
      <c r="E889">
        <v>79235.67</v>
      </c>
      <c r="F889">
        <v>56.8</v>
      </c>
      <c r="G889">
        <v>213</v>
      </c>
      <c r="H889">
        <v>142</v>
      </c>
      <c r="I889" t="s">
        <v>16</v>
      </c>
      <c r="J889">
        <v>4</v>
      </c>
      <c r="K889" t="s">
        <v>20</v>
      </c>
      <c r="L889">
        <v>59746</v>
      </c>
      <c r="M889">
        <v>3.32</v>
      </c>
      <c r="N889" s="6">
        <f t="shared" si="13"/>
        <v>4734014339.8199997</v>
      </c>
    </row>
    <row r="890" spans="1:14" x14ac:dyDescent="0.35">
      <c r="A890" t="s">
        <v>45</v>
      </c>
      <c r="B890" t="s">
        <v>69</v>
      </c>
      <c r="C890">
        <v>2024</v>
      </c>
      <c r="D890" t="s">
        <v>20</v>
      </c>
      <c r="E890">
        <v>88218.65</v>
      </c>
      <c r="F890">
        <v>54.7</v>
      </c>
      <c r="G890">
        <v>210</v>
      </c>
      <c r="H890">
        <v>158</v>
      </c>
      <c r="I890" t="s">
        <v>33</v>
      </c>
      <c r="J890">
        <v>4</v>
      </c>
      <c r="K890" t="s">
        <v>20</v>
      </c>
      <c r="L890">
        <v>227690</v>
      </c>
      <c r="M890">
        <v>3.41</v>
      </c>
      <c r="N890" s="6">
        <f t="shared" si="13"/>
        <v>20086504418.5</v>
      </c>
    </row>
    <row r="891" spans="1:14" x14ac:dyDescent="0.35">
      <c r="A891" t="s">
        <v>67</v>
      </c>
      <c r="B891" t="s">
        <v>68</v>
      </c>
      <c r="C891">
        <v>2024</v>
      </c>
      <c r="D891" t="s">
        <v>15</v>
      </c>
      <c r="E891">
        <v>121871.7</v>
      </c>
      <c r="F891">
        <v>86.2</v>
      </c>
      <c r="G891">
        <v>305</v>
      </c>
      <c r="H891">
        <v>200</v>
      </c>
      <c r="I891" t="s">
        <v>25</v>
      </c>
      <c r="J891">
        <v>5</v>
      </c>
      <c r="K891" t="s">
        <v>17</v>
      </c>
      <c r="L891">
        <v>31338</v>
      </c>
      <c r="M891">
        <v>3.61</v>
      </c>
      <c r="N891" s="6">
        <f t="shared" si="13"/>
        <v>3819215334.5999999</v>
      </c>
    </row>
    <row r="892" spans="1:14" x14ac:dyDescent="0.35">
      <c r="A892" t="s">
        <v>26</v>
      </c>
      <c r="B892" t="s">
        <v>27</v>
      </c>
      <c r="C892">
        <v>2024</v>
      </c>
      <c r="D892" t="s">
        <v>43</v>
      </c>
      <c r="E892">
        <v>31797.34</v>
      </c>
      <c r="F892">
        <v>45.6</v>
      </c>
      <c r="G892">
        <v>150</v>
      </c>
      <c r="H892">
        <v>145</v>
      </c>
      <c r="I892" t="s">
        <v>21</v>
      </c>
      <c r="J892">
        <v>4</v>
      </c>
      <c r="K892" t="s">
        <v>47</v>
      </c>
      <c r="L892">
        <v>131619</v>
      </c>
      <c r="M892">
        <v>3.27</v>
      </c>
      <c r="N892" s="6">
        <f t="shared" si="13"/>
        <v>4185134093.46</v>
      </c>
    </row>
    <row r="893" spans="1:14" x14ac:dyDescent="0.35">
      <c r="A893" t="s">
        <v>67</v>
      </c>
      <c r="B893" t="s">
        <v>89</v>
      </c>
      <c r="C893">
        <v>2024</v>
      </c>
      <c r="D893" t="s">
        <v>28</v>
      </c>
      <c r="E893">
        <v>123736.19</v>
      </c>
      <c r="F893">
        <v>81.7</v>
      </c>
      <c r="G893">
        <v>310</v>
      </c>
      <c r="H893">
        <v>174</v>
      </c>
      <c r="I893" t="s">
        <v>33</v>
      </c>
      <c r="J893">
        <v>5</v>
      </c>
      <c r="K893" t="s">
        <v>17</v>
      </c>
      <c r="L893">
        <v>45413</v>
      </c>
      <c r="M893">
        <v>3.78</v>
      </c>
      <c r="N893" s="6">
        <f t="shared" si="13"/>
        <v>5619231596.4700003</v>
      </c>
    </row>
    <row r="894" spans="1:14" x14ac:dyDescent="0.35">
      <c r="A894" t="s">
        <v>57</v>
      </c>
      <c r="B894" t="s">
        <v>79</v>
      </c>
      <c r="C894">
        <v>2024</v>
      </c>
      <c r="D894" t="s">
        <v>20</v>
      </c>
      <c r="E894">
        <v>80541.59</v>
      </c>
      <c r="F894">
        <v>73.3</v>
      </c>
      <c r="G894">
        <v>280</v>
      </c>
      <c r="H894">
        <v>141</v>
      </c>
      <c r="I894" t="s">
        <v>33</v>
      </c>
      <c r="J894">
        <v>5</v>
      </c>
      <c r="K894" t="s">
        <v>20</v>
      </c>
      <c r="L894">
        <v>37698</v>
      </c>
      <c r="M894">
        <v>3.44</v>
      </c>
      <c r="N894" s="6">
        <f t="shared" si="13"/>
        <v>3036256859.8199997</v>
      </c>
    </row>
    <row r="895" spans="1:14" x14ac:dyDescent="0.35">
      <c r="A895" t="s">
        <v>13</v>
      </c>
      <c r="B895" t="s">
        <v>14</v>
      </c>
      <c r="C895">
        <v>2024</v>
      </c>
      <c r="D895" t="s">
        <v>43</v>
      </c>
      <c r="E895">
        <v>46173.34</v>
      </c>
      <c r="F895">
        <v>51.5</v>
      </c>
      <c r="G895">
        <v>190</v>
      </c>
      <c r="H895">
        <v>148</v>
      </c>
      <c r="I895" t="s">
        <v>40</v>
      </c>
      <c r="J895">
        <v>5</v>
      </c>
      <c r="K895" t="s">
        <v>22</v>
      </c>
      <c r="L895">
        <v>274696</v>
      </c>
      <c r="M895">
        <v>3.4</v>
      </c>
      <c r="N895" s="6">
        <f t="shared" si="13"/>
        <v>12683631804.639999</v>
      </c>
    </row>
    <row r="896" spans="1:14" x14ac:dyDescent="0.35">
      <c r="A896" t="s">
        <v>29</v>
      </c>
      <c r="B896" t="s">
        <v>31</v>
      </c>
      <c r="C896">
        <v>2024</v>
      </c>
      <c r="D896" t="s">
        <v>20</v>
      </c>
      <c r="E896">
        <v>137035.03</v>
      </c>
      <c r="F896">
        <v>58.5</v>
      </c>
      <c r="G896">
        <v>224</v>
      </c>
      <c r="H896">
        <v>151</v>
      </c>
      <c r="I896" t="s">
        <v>32</v>
      </c>
      <c r="J896">
        <v>4</v>
      </c>
      <c r="K896" t="s">
        <v>17</v>
      </c>
      <c r="L896">
        <v>429314</v>
      </c>
      <c r="M896">
        <v>3.65</v>
      </c>
      <c r="N896" s="6">
        <f t="shared" si="13"/>
        <v>58831056869.419998</v>
      </c>
    </row>
    <row r="897" spans="1:14" x14ac:dyDescent="0.35">
      <c r="A897" t="s">
        <v>64</v>
      </c>
      <c r="B897" t="s">
        <v>97</v>
      </c>
      <c r="C897">
        <v>2024</v>
      </c>
      <c r="D897" t="s">
        <v>43</v>
      </c>
      <c r="E897">
        <v>96459.23</v>
      </c>
      <c r="F897">
        <v>81</v>
      </c>
      <c r="G897">
        <v>288</v>
      </c>
      <c r="H897">
        <v>121</v>
      </c>
      <c r="I897" t="s">
        <v>16</v>
      </c>
      <c r="J897">
        <v>4</v>
      </c>
      <c r="K897" t="s">
        <v>20</v>
      </c>
      <c r="L897">
        <v>64056</v>
      </c>
      <c r="M897">
        <v>3.51</v>
      </c>
      <c r="N897" s="6">
        <f t="shared" si="13"/>
        <v>6178792436.8800001</v>
      </c>
    </row>
    <row r="898" spans="1:14" x14ac:dyDescent="0.35">
      <c r="A898" t="s">
        <v>49</v>
      </c>
      <c r="B898" t="s">
        <v>50</v>
      </c>
      <c r="C898">
        <v>2024</v>
      </c>
      <c r="D898" t="s">
        <v>20</v>
      </c>
      <c r="E898">
        <v>97251.62</v>
      </c>
      <c r="F898">
        <v>60.7</v>
      </c>
      <c r="G898">
        <v>196</v>
      </c>
      <c r="H898">
        <v>148</v>
      </c>
      <c r="I898" t="s">
        <v>21</v>
      </c>
      <c r="J898">
        <v>5</v>
      </c>
      <c r="K898" t="s">
        <v>20</v>
      </c>
      <c r="L898">
        <v>59030</v>
      </c>
      <c r="M898">
        <v>3.11</v>
      </c>
      <c r="N898" s="6">
        <f t="shared" ref="N898:N961" si="14">E898*L898</f>
        <v>5740763128.5999994</v>
      </c>
    </row>
    <row r="899" spans="1:14" x14ac:dyDescent="0.35">
      <c r="A899" t="s">
        <v>49</v>
      </c>
      <c r="B899" t="s">
        <v>90</v>
      </c>
      <c r="C899">
        <v>2024</v>
      </c>
      <c r="D899" t="s">
        <v>28</v>
      </c>
      <c r="E899">
        <v>63320.42</v>
      </c>
      <c r="F899">
        <v>102.7</v>
      </c>
      <c r="G899">
        <v>353</v>
      </c>
      <c r="H899">
        <v>160</v>
      </c>
      <c r="I899" t="s">
        <v>40</v>
      </c>
      <c r="J899">
        <v>5</v>
      </c>
      <c r="K899" t="s">
        <v>22</v>
      </c>
      <c r="L899">
        <v>132537</v>
      </c>
      <c r="M899">
        <v>3.75</v>
      </c>
      <c r="N899" s="6">
        <f t="shared" si="14"/>
        <v>8392298505.54</v>
      </c>
    </row>
    <row r="900" spans="1:14" x14ac:dyDescent="0.35">
      <c r="A900" t="s">
        <v>34</v>
      </c>
      <c r="B900" t="s">
        <v>84</v>
      </c>
      <c r="C900">
        <v>2024</v>
      </c>
      <c r="D900" t="s">
        <v>38</v>
      </c>
      <c r="E900">
        <v>62600.82</v>
      </c>
      <c r="F900">
        <v>55.9</v>
      </c>
      <c r="G900">
        <v>179</v>
      </c>
      <c r="H900">
        <v>145</v>
      </c>
      <c r="I900" t="s">
        <v>25</v>
      </c>
      <c r="J900">
        <v>3</v>
      </c>
      <c r="K900" t="s">
        <v>22</v>
      </c>
      <c r="L900">
        <v>69358</v>
      </c>
      <c r="M900">
        <v>3.66</v>
      </c>
      <c r="N900" s="6">
        <f t="shared" si="14"/>
        <v>4341867673.5600004</v>
      </c>
    </row>
    <row r="901" spans="1:14" x14ac:dyDescent="0.35">
      <c r="A901" t="s">
        <v>29</v>
      </c>
      <c r="B901" t="s">
        <v>39</v>
      </c>
      <c r="C901">
        <v>2024</v>
      </c>
      <c r="D901" t="s">
        <v>28</v>
      </c>
      <c r="E901">
        <v>156702.49</v>
      </c>
      <c r="F901">
        <v>102.8</v>
      </c>
      <c r="G901">
        <v>353</v>
      </c>
      <c r="H901">
        <v>157</v>
      </c>
      <c r="I901" t="s">
        <v>40</v>
      </c>
      <c r="J901">
        <v>5</v>
      </c>
      <c r="K901" t="s">
        <v>17</v>
      </c>
      <c r="L901">
        <v>132013</v>
      </c>
      <c r="M901">
        <v>3.89</v>
      </c>
      <c r="N901" s="6">
        <f t="shared" si="14"/>
        <v>20686765812.369999</v>
      </c>
    </row>
    <row r="902" spans="1:14" x14ac:dyDescent="0.35">
      <c r="A902" t="s">
        <v>29</v>
      </c>
      <c r="B902" t="s">
        <v>53</v>
      </c>
      <c r="C902">
        <v>2024</v>
      </c>
      <c r="D902" t="s">
        <v>43</v>
      </c>
      <c r="E902">
        <v>101208.82</v>
      </c>
      <c r="F902">
        <v>52.4</v>
      </c>
      <c r="G902">
        <v>172</v>
      </c>
      <c r="H902">
        <v>147</v>
      </c>
      <c r="I902" t="s">
        <v>16</v>
      </c>
      <c r="J902">
        <v>5</v>
      </c>
      <c r="K902" t="s">
        <v>17</v>
      </c>
      <c r="L902">
        <v>248389</v>
      </c>
      <c r="M902">
        <v>3.58</v>
      </c>
      <c r="N902" s="6">
        <f t="shared" si="14"/>
        <v>25139157590.980003</v>
      </c>
    </row>
    <row r="903" spans="1:14" x14ac:dyDescent="0.35">
      <c r="A903" t="s">
        <v>45</v>
      </c>
      <c r="B903" t="s">
        <v>77</v>
      </c>
      <c r="C903">
        <v>2024</v>
      </c>
      <c r="D903" t="s">
        <v>43</v>
      </c>
      <c r="E903">
        <v>57387.97</v>
      </c>
      <c r="F903">
        <v>47.9</v>
      </c>
      <c r="G903">
        <v>180</v>
      </c>
      <c r="H903">
        <v>164</v>
      </c>
      <c r="I903" t="s">
        <v>40</v>
      </c>
      <c r="J903">
        <v>5</v>
      </c>
      <c r="K903" t="s">
        <v>22</v>
      </c>
      <c r="L903">
        <v>181198</v>
      </c>
      <c r="M903">
        <v>3.34</v>
      </c>
      <c r="N903" s="6">
        <f t="shared" si="14"/>
        <v>10398585388.059999</v>
      </c>
    </row>
    <row r="904" spans="1:14" x14ac:dyDescent="0.35">
      <c r="A904" t="s">
        <v>26</v>
      </c>
      <c r="B904" t="s">
        <v>96</v>
      </c>
      <c r="C904">
        <v>2024</v>
      </c>
      <c r="D904" t="s">
        <v>38</v>
      </c>
      <c r="E904">
        <v>72870.48</v>
      </c>
      <c r="F904">
        <v>81.7</v>
      </c>
      <c r="G904">
        <v>288</v>
      </c>
      <c r="H904">
        <v>174</v>
      </c>
      <c r="I904" t="s">
        <v>16</v>
      </c>
      <c r="J904">
        <v>5</v>
      </c>
      <c r="K904" t="s">
        <v>20</v>
      </c>
      <c r="L904">
        <v>68801</v>
      </c>
      <c r="M904">
        <v>3.48</v>
      </c>
      <c r="N904" s="6">
        <f t="shared" si="14"/>
        <v>5013561894.4799995</v>
      </c>
    </row>
    <row r="905" spans="1:14" x14ac:dyDescent="0.35">
      <c r="A905" t="s">
        <v>23</v>
      </c>
      <c r="B905" t="s">
        <v>82</v>
      </c>
      <c r="C905">
        <v>2024</v>
      </c>
      <c r="D905" t="s">
        <v>28</v>
      </c>
      <c r="E905">
        <v>61730.85</v>
      </c>
      <c r="F905">
        <v>78.599999999999994</v>
      </c>
      <c r="G905">
        <v>279</v>
      </c>
      <c r="H905">
        <v>183</v>
      </c>
      <c r="I905" t="s">
        <v>33</v>
      </c>
      <c r="J905">
        <v>5</v>
      </c>
      <c r="K905" t="s">
        <v>22</v>
      </c>
      <c r="L905">
        <v>10777</v>
      </c>
      <c r="M905">
        <v>3.75</v>
      </c>
      <c r="N905" s="6">
        <f t="shared" si="14"/>
        <v>665273370.44999993</v>
      </c>
    </row>
    <row r="906" spans="1:14" x14ac:dyDescent="0.35">
      <c r="A906" t="s">
        <v>29</v>
      </c>
      <c r="B906" t="s">
        <v>30</v>
      </c>
      <c r="C906">
        <v>2024</v>
      </c>
      <c r="D906" t="s">
        <v>38</v>
      </c>
      <c r="E906">
        <v>88042.89</v>
      </c>
      <c r="F906">
        <v>46.2</v>
      </c>
      <c r="G906">
        <v>164</v>
      </c>
      <c r="H906">
        <v>138</v>
      </c>
      <c r="I906" t="s">
        <v>40</v>
      </c>
      <c r="J906">
        <v>3</v>
      </c>
      <c r="K906" t="s">
        <v>20</v>
      </c>
      <c r="L906">
        <v>108761</v>
      </c>
      <c r="M906">
        <v>3.42</v>
      </c>
      <c r="N906" s="6">
        <f t="shared" si="14"/>
        <v>9575632759.289999</v>
      </c>
    </row>
    <row r="907" spans="1:14" x14ac:dyDescent="0.35">
      <c r="A907" t="s">
        <v>41</v>
      </c>
      <c r="B907" t="s">
        <v>42</v>
      </c>
      <c r="C907">
        <v>2024</v>
      </c>
      <c r="D907" t="s">
        <v>15</v>
      </c>
      <c r="E907">
        <v>159067.16</v>
      </c>
      <c r="F907">
        <v>109.7</v>
      </c>
      <c r="G907">
        <v>402</v>
      </c>
      <c r="H907">
        <v>178</v>
      </c>
      <c r="I907" t="s">
        <v>25</v>
      </c>
      <c r="J907">
        <v>5</v>
      </c>
      <c r="K907" t="s">
        <v>17</v>
      </c>
      <c r="L907">
        <v>23252</v>
      </c>
      <c r="M907">
        <v>3.93</v>
      </c>
      <c r="N907" s="6">
        <f t="shared" si="14"/>
        <v>3698629604.3200002</v>
      </c>
    </row>
    <row r="908" spans="1:14" x14ac:dyDescent="0.35">
      <c r="A908" t="s">
        <v>41</v>
      </c>
      <c r="B908" t="s">
        <v>92</v>
      </c>
      <c r="C908">
        <v>2024</v>
      </c>
      <c r="D908" t="s">
        <v>28</v>
      </c>
      <c r="E908">
        <v>93018.72</v>
      </c>
      <c r="F908">
        <v>83.7</v>
      </c>
      <c r="G908">
        <v>313</v>
      </c>
      <c r="H908">
        <v>182</v>
      </c>
      <c r="I908" t="s">
        <v>40</v>
      </c>
      <c r="J908">
        <v>5</v>
      </c>
      <c r="K908" t="s">
        <v>20</v>
      </c>
      <c r="L908">
        <v>1655</v>
      </c>
      <c r="M908">
        <v>3.46</v>
      </c>
      <c r="N908" s="6">
        <f t="shared" si="14"/>
        <v>153945981.59999999</v>
      </c>
    </row>
    <row r="909" spans="1:14" x14ac:dyDescent="0.35">
      <c r="A909" t="s">
        <v>13</v>
      </c>
      <c r="B909" t="s">
        <v>51</v>
      </c>
      <c r="C909">
        <v>2024</v>
      </c>
      <c r="D909" t="s">
        <v>20</v>
      </c>
      <c r="E909">
        <v>112817.29</v>
      </c>
      <c r="F909">
        <v>66.099999999999994</v>
      </c>
      <c r="G909">
        <v>213</v>
      </c>
      <c r="H909">
        <v>142</v>
      </c>
      <c r="I909" t="s">
        <v>40</v>
      </c>
      <c r="J909">
        <v>5</v>
      </c>
      <c r="K909" t="s">
        <v>17</v>
      </c>
      <c r="L909">
        <v>244997</v>
      </c>
      <c r="M909">
        <v>3.38</v>
      </c>
      <c r="N909" s="6">
        <f t="shared" si="14"/>
        <v>27639897598.129997</v>
      </c>
    </row>
    <row r="910" spans="1:14" x14ac:dyDescent="0.35">
      <c r="A910" t="s">
        <v>111</v>
      </c>
      <c r="B910" t="s">
        <v>112</v>
      </c>
      <c r="C910">
        <v>2024</v>
      </c>
      <c r="D910" t="s">
        <v>38</v>
      </c>
      <c r="E910">
        <v>67624.72</v>
      </c>
      <c r="F910">
        <v>50.5</v>
      </c>
      <c r="G910">
        <v>190</v>
      </c>
      <c r="H910">
        <v>168</v>
      </c>
      <c r="I910" t="s">
        <v>16</v>
      </c>
      <c r="J910">
        <v>5</v>
      </c>
      <c r="K910" t="s">
        <v>20</v>
      </c>
      <c r="L910">
        <v>26829</v>
      </c>
      <c r="M910">
        <v>3.48</v>
      </c>
      <c r="N910" s="6">
        <f t="shared" si="14"/>
        <v>1814303612.8800001</v>
      </c>
    </row>
    <row r="911" spans="1:14" x14ac:dyDescent="0.35">
      <c r="A911" t="s">
        <v>13</v>
      </c>
      <c r="B911" t="s">
        <v>51</v>
      </c>
      <c r="C911">
        <v>2024</v>
      </c>
      <c r="D911" t="s">
        <v>43</v>
      </c>
      <c r="E911">
        <v>45198.239999999998</v>
      </c>
      <c r="F911">
        <v>56.5</v>
      </c>
      <c r="G911">
        <v>198</v>
      </c>
      <c r="H911">
        <v>139</v>
      </c>
      <c r="I911" t="s">
        <v>16</v>
      </c>
      <c r="J911">
        <v>5</v>
      </c>
      <c r="K911" t="s">
        <v>22</v>
      </c>
      <c r="L911">
        <v>251931</v>
      </c>
      <c r="M911">
        <v>3.32</v>
      </c>
      <c r="N911" s="6">
        <f t="shared" si="14"/>
        <v>11386837801.439999</v>
      </c>
    </row>
    <row r="912" spans="1:14" x14ac:dyDescent="0.35">
      <c r="A912" t="s">
        <v>23</v>
      </c>
      <c r="B912" t="s">
        <v>82</v>
      </c>
      <c r="C912">
        <v>2024</v>
      </c>
      <c r="D912" t="s">
        <v>43</v>
      </c>
      <c r="E912">
        <v>57065.27</v>
      </c>
      <c r="F912">
        <v>44.6</v>
      </c>
      <c r="G912">
        <v>150</v>
      </c>
      <c r="H912">
        <v>167</v>
      </c>
      <c r="I912" t="s">
        <v>21</v>
      </c>
      <c r="J912">
        <v>5</v>
      </c>
      <c r="K912" t="s">
        <v>22</v>
      </c>
      <c r="L912">
        <v>24368</v>
      </c>
      <c r="M912">
        <v>3.41</v>
      </c>
      <c r="N912" s="6">
        <f t="shared" si="14"/>
        <v>1390566499.3599999</v>
      </c>
    </row>
    <row r="913" spans="1:14" x14ac:dyDescent="0.35">
      <c r="A913" t="s">
        <v>29</v>
      </c>
      <c r="B913" t="s">
        <v>30</v>
      </c>
      <c r="C913">
        <v>2024</v>
      </c>
      <c r="D913" t="s">
        <v>15</v>
      </c>
      <c r="E913">
        <v>171221.67</v>
      </c>
      <c r="F913">
        <v>95.1</v>
      </c>
      <c r="G913">
        <v>329</v>
      </c>
      <c r="H913">
        <v>196</v>
      </c>
      <c r="I913" t="s">
        <v>25</v>
      </c>
      <c r="J913">
        <v>5</v>
      </c>
      <c r="K913" t="s">
        <v>17</v>
      </c>
      <c r="L913">
        <v>247330</v>
      </c>
      <c r="M913">
        <v>3.88</v>
      </c>
      <c r="N913" s="6">
        <f t="shared" si="14"/>
        <v>42348255641.100006</v>
      </c>
    </row>
    <row r="914" spans="1:14" x14ac:dyDescent="0.35">
      <c r="A914" t="s">
        <v>64</v>
      </c>
      <c r="B914" t="s">
        <v>95</v>
      </c>
      <c r="C914">
        <v>2024</v>
      </c>
      <c r="D914" t="s">
        <v>15</v>
      </c>
      <c r="E914">
        <v>143876.35</v>
      </c>
      <c r="F914">
        <v>81.7</v>
      </c>
      <c r="G914">
        <v>261</v>
      </c>
      <c r="H914">
        <v>197</v>
      </c>
      <c r="I914" t="s">
        <v>16</v>
      </c>
      <c r="J914">
        <v>3</v>
      </c>
      <c r="K914" t="s">
        <v>17</v>
      </c>
      <c r="L914">
        <v>37253</v>
      </c>
      <c r="M914">
        <v>3.67</v>
      </c>
      <c r="N914" s="6">
        <f t="shared" si="14"/>
        <v>5359825666.5500002</v>
      </c>
    </row>
    <row r="915" spans="1:14" x14ac:dyDescent="0.35">
      <c r="A915" t="s">
        <v>64</v>
      </c>
      <c r="B915" t="s">
        <v>85</v>
      </c>
      <c r="C915">
        <v>2024</v>
      </c>
      <c r="D915" t="s">
        <v>38</v>
      </c>
      <c r="E915">
        <v>62907.37</v>
      </c>
      <c r="F915">
        <v>84</v>
      </c>
      <c r="G915">
        <v>296</v>
      </c>
      <c r="H915">
        <v>134</v>
      </c>
      <c r="I915" t="s">
        <v>21</v>
      </c>
      <c r="J915">
        <v>5</v>
      </c>
      <c r="K915" t="s">
        <v>22</v>
      </c>
      <c r="L915">
        <v>49240</v>
      </c>
      <c r="M915">
        <v>3.56</v>
      </c>
      <c r="N915" s="6">
        <f t="shared" si="14"/>
        <v>3097558898.8000002</v>
      </c>
    </row>
    <row r="916" spans="1:14" x14ac:dyDescent="0.35">
      <c r="A916" t="s">
        <v>18</v>
      </c>
      <c r="B916" t="s">
        <v>19</v>
      </c>
      <c r="C916">
        <v>2024</v>
      </c>
      <c r="D916" t="s">
        <v>43</v>
      </c>
      <c r="E916">
        <v>53125</v>
      </c>
      <c r="F916">
        <v>63.6</v>
      </c>
      <c r="G916">
        <v>233</v>
      </c>
      <c r="H916">
        <v>151</v>
      </c>
      <c r="I916" t="s">
        <v>21</v>
      </c>
      <c r="J916">
        <v>4</v>
      </c>
      <c r="K916" t="s">
        <v>22</v>
      </c>
      <c r="L916">
        <v>19789</v>
      </c>
      <c r="M916">
        <v>3.34</v>
      </c>
      <c r="N916" s="6">
        <f t="shared" si="14"/>
        <v>1051290625</v>
      </c>
    </row>
    <row r="917" spans="1:14" x14ac:dyDescent="0.35">
      <c r="A917" t="s">
        <v>114</v>
      </c>
      <c r="B917" t="s">
        <v>136</v>
      </c>
      <c r="C917">
        <v>2024</v>
      </c>
      <c r="D917" t="s">
        <v>43</v>
      </c>
      <c r="E917">
        <v>76930.78</v>
      </c>
      <c r="F917">
        <v>77.7</v>
      </c>
      <c r="G917">
        <v>257</v>
      </c>
      <c r="H917">
        <v>159</v>
      </c>
      <c r="I917" t="s">
        <v>16</v>
      </c>
      <c r="J917">
        <v>4</v>
      </c>
      <c r="K917" t="s">
        <v>20</v>
      </c>
      <c r="L917">
        <v>17188</v>
      </c>
      <c r="M917">
        <v>3.48</v>
      </c>
      <c r="N917" s="6">
        <f t="shared" si="14"/>
        <v>1322286246.6399999</v>
      </c>
    </row>
    <row r="918" spans="1:14" x14ac:dyDescent="0.35">
      <c r="A918" t="s">
        <v>13</v>
      </c>
      <c r="B918" t="s">
        <v>56</v>
      </c>
      <c r="C918">
        <v>2024</v>
      </c>
      <c r="D918" t="s">
        <v>15</v>
      </c>
      <c r="E918">
        <v>115397.77</v>
      </c>
      <c r="F918">
        <v>79.599999999999994</v>
      </c>
      <c r="G918">
        <v>282</v>
      </c>
      <c r="H918">
        <v>200</v>
      </c>
      <c r="I918" t="s">
        <v>40</v>
      </c>
      <c r="J918">
        <v>4</v>
      </c>
      <c r="K918" t="s">
        <v>17</v>
      </c>
      <c r="L918">
        <v>296594</v>
      </c>
      <c r="M918">
        <v>3.51</v>
      </c>
      <c r="N918" s="6">
        <f t="shared" si="14"/>
        <v>34226286195.380001</v>
      </c>
    </row>
    <row r="919" spans="1:14" x14ac:dyDescent="0.35">
      <c r="A919" t="s">
        <v>75</v>
      </c>
      <c r="B919" t="s">
        <v>101</v>
      </c>
      <c r="C919">
        <v>2024</v>
      </c>
      <c r="D919" t="s">
        <v>43</v>
      </c>
      <c r="E919">
        <v>78385.679999999993</v>
      </c>
      <c r="F919">
        <v>79.7</v>
      </c>
      <c r="G919">
        <v>248</v>
      </c>
      <c r="H919">
        <v>154</v>
      </c>
      <c r="I919" t="s">
        <v>32</v>
      </c>
      <c r="J919">
        <v>5</v>
      </c>
      <c r="K919" t="s">
        <v>20</v>
      </c>
      <c r="L919">
        <v>12601</v>
      </c>
      <c r="M919">
        <v>3.59</v>
      </c>
      <c r="N919" s="6">
        <f t="shared" si="14"/>
        <v>987737953.67999995</v>
      </c>
    </row>
    <row r="920" spans="1:14" x14ac:dyDescent="0.35">
      <c r="A920" t="s">
        <v>57</v>
      </c>
      <c r="B920" t="s">
        <v>62</v>
      </c>
      <c r="C920">
        <v>2024</v>
      </c>
      <c r="D920" t="s">
        <v>28</v>
      </c>
      <c r="E920">
        <v>84501.24</v>
      </c>
      <c r="F920">
        <v>98.1</v>
      </c>
      <c r="G920">
        <v>342</v>
      </c>
      <c r="H920">
        <v>179</v>
      </c>
      <c r="I920" t="s">
        <v>33</v>
      </c>
      <c r="J920">
        <v>5</v>
      </c>
      <c r="K920" t="s">
        <v>20</v>
      </c>
      <c r="L920">
        <v>72596</v>
      </c>
      <c r="M920">
        <v>3.61</v>
      </c>
      <c r="N920" s="6">
        <f t="shared" si="14"/>
        <v>6134452019.04</v>
      </c>
    </row>
    <row r="921" spans="1:14" x14ac:dyDescent="0.35">
      <c r="A921" t="s">
        <v>64</v>
      </c>
      <c r="B921" t="s">
        <v>70</v>
      </c>
      <c r="C921">
        <v>2024</v>
      </c>
      <c r="D921" t="s">
        <v>43</v>
      </c>
      <c r="E921">
        <v>108424.86</v>
      </c>
      <c r="F921">
        <v>43.9</v>
      </c>
      <c r="G921">
        <v>164</v>
      </c>
      <c r="H921">
        <v>143</v>
      </c>
      <c r="I921" t="s">
        <v>21</v>
      </c>
      <c r="J921">
        <v>5</v>
      </c>
      <c r="K921" t="s">
        <v>17</v>
      </c>
      <c r="L921">
        <v>72604</v>
      </c>
      <c r="M921">
        <v>3.14</v>
      </c>
      <c r="N921" s="6">
        <f t="shared" si="14"/>
        <v>7872078535.4399996</v>
      </c>
    </row>
    <row r="922" spans="1:14" x14ac:dyDescent="0.35">
      <c r="A922" t="s">
        <v>13</v>
      </c>
      <c r="B922" t="s">
        <v>55</v>
      </c>
      <c r="C922">
        <v>2024</v>
      </c>
      <c r="D922" t="s">
        <v>20</v>
      </c>
      <c r="E922">
        <v>43023.64</v>
      </c>
      <c r="F922">
        <v>77.900000000000006</v>
      </c>
      <c r="G922">
        <v>261</v>
      </c>
      <c r="H922">
        <v>163</v>
      </c>
      <c r="I922" t="s">
        <v>16</v>
      </c>
      <c r="J922">
        <v>5</v>
      </c>
      <c r="K922" t="s">
        <v>22</v>
      </c>
      <c r="L922">
        <v>246474</v>
      </c>
      <c r="M922">
        <v>3.55</v>
      </c>
      <c r="N922" s="6">
        <f t="shared" si="14"/>
        <v>10604208645.360001</v>
      </c>
    </row>
    <row r="923" spans="1:14" x14ac:dyDescent="0.35">
      <c r="A923" t="s">
        <v>29</v>
      </c>
      <c r="B923" t="s">
        <v>59</v>
      </c>
      <c r="C923">
        <v>2024</v>
      </c>
      <c r="D923" t="s">
        <v>20</v>
      </c>
      <c r="E923">
        <v>157561.98000000001</v>
      </c>
      <c r="F923">
        <v>49.5</v>
      </c>
      <c r="G923">
        <v>189</v>
      </c>
      <c r="H923">
        <v>134</v>
      </c>
      <c r="I923" t="s">
        <v>21</v>
      </c>
      <c r="J923">
        <v>4</v>
      </c>
      <c r="K923" t="s">
        <v>17</v>
      </c>
      <c r="L923">
        <v>163095</v>
      </c>
      <c r="M923">
        <v>3.57</v>
      </c>
      <c r="N923" s="6">
        <f t="shared" si="14"/>
        <v>25697571128.100002</v>
      </c>
    </row>
    <row r="924" spans="1:14" x14ac:dyDescent="0.35">
      <c r="A924" t="s">
        <v>49</v>
      </c>
      <c r="B924" t="s">
        <v>87</v>
      </c>
      <c r="C924">
        <v>2024</v>
      </c>
      <c r="D924" t="s">
        <v>15</v>
      </c>
      <c r="E924">
        <v>61789.95</v>
      </c>
      <c r="F924">
        <v>103.8</v>
      </c>
      <c r="G924">
        <v>357</v>
      </c>
      <c r="H924">
        <v>194</v>
      </c>
      <c r="I924" t="s">
        <v>40</v>
      </c>
      <c r="J924">
        <v>5</v>
      </c>
      <c r="K924" t="s">
        <v>22</v>
      </c>
      <c r="L924">
        <v>110783</v>
      </c>
      <c r="M924">
        <v>3.54</v>
      </c>
      <c r="N924" s="6">
        <f t="shared" si="14"/>
        <v>6845276030.8499994</v>
      </c>
    </row>
    <row r="925" spans="1:14" x14ac:dyDescent="0.35">
      <c r="A925" t="s">
        <v>29</v>
      </c>
      <c r="B925" t="s">
        <v>30</v>
      </c>
      <c r="C925">
        <v>2024</v>
      </c>
      <c r="D925" t="s">
        <v>15</v>
      </c>
      <c r="E925">
        <v>109834.54</v>
      </c>
      <c r="F925">
        <v>79.900000000000006</v>
      </c>
      <c r="G925">
        <v>262</v>
      </c>
      <c r="H925">
        <v>195</v>
      </c>
      <c r="I925" t="s">
        <v>32</v>
      </c>
      <c r="J925">
        <v>3</v>
      </c>
      <c r="K925" t="s">
        <v>17</v>
      </c>
      <c r="L925">
        <v>219324</v>
      </c>
      <c r="M925">
        <v>3.91</v>
      </c>
      <c r="N925" s="6">
        <f t="shared" si="14"/>
        <v>24089350650.959999</v>
      </c>
    </row>
    <row r="926" spans="1:14" x14ac:dyDescent="0.35">
      <c r="A926" t="s">
        <v>29</v>
      </c>
      <c r="B926" t="s">
        <v>31</v>
      </c>
      <c r="C926">
        <v>2024</v>
      </c>
      <c r="D926" t="s">
        <v>28</v>
      </c>
      <c r="E926">
        <v>158710.22</v>
      </c>
      <c r="F926">
        <v>93.6</v>
      </c>
      <c r="G926">
        <v>300</v>
      </c>
      <c r="H926">
        <v>182</v>
      </c>
      <c r="I926" t="s">
        <v>25</v>
      </c>
      <c r="J926">
        <v>5</v>
      </c>
      <c r="K926" t="s">
        <v>17</v>
      </c>
      <c r="L926">
        <v>416641</v>
      </c>
      <c r="M926">
        <v>3.68</v>
      </c>
      <c r="N926" s="6">
        <f t="shared" si="14"/>
        <v>66125184771.020004</v>
      </c>
    </row>
    <row r="927" spans="1:14" x14ac:dyDescent="0.35">
      <c r="A927" t="s">
        <v>49</v>
      </c>
      <c r="B927" t="s">
        <v>60</v>
      </c>
      <c r="C927">
        <v>2024</v>
      </c>
      <c r="D927" t="s">
        <v>20</v>
      </c>
      <c r="E927">
        <v>58686.32</v>
      </c>
      <c r="F927">
        <v>81.599999999999994</v>
      </c>
      <c r="G927">
        <v>285</v>
      </c>
      <c r="H927">
        <v>161</v>
      </c>
      <c r="I927" t="s">
        <v>16</v>
      </c>
      <c r="J927">
        <v>5</v>
      </c>
      <c r="K927" t="s">
        <v>22</v>
      </c>
      <c r="L927">
        <v>66241</v>
      </c>
      <c r="M927">
        <v>3.36</v>
      </c>
      <c r="N927" s="6">
        <f t="shared" si="14"/>
        <v>3887440523.1199999</v>
      </c>
    </row>
    <row r="928" spans="1:14" x14ac:dyDescent="0.35">
      <c r="A928" t="s">
        <v>26</v>
      </c>
      <c r="B928" t="s">
        <v>61</v>
      </c>
      <c r="C928">
        <v>2024</v>
      </c>
      <c r="D928" t="s">
        <v>15</v>
      </c>
      <c r="E928">
        <v>50056.29</v>
      </c>
      <c r="F928">
        <v>111.5</v>
      </c>
      <c r="G928">
        <v>391</v>
      </c>
      <c r="H928">
        <v>195</v>
      </c>
      <c r="I928" t="s">
        <v>21</v>
      </c>
      <c r="J928">
        <v>3</v>
      </c>
      <c r="K928" t="s">
        <v>22</v>
      </c>
      <c r="L928">
        <v>140441</v>
      </c>
      <c r="M928">
        <v>3.97</v>
      </c>
      <c r="N928" s="6">
        <f t="shared" si="14"/>
        <v>7029955423.8900003</v>
      </c>
    </row>
    <row r="929" spans="1:14" x14ac:dyDescent="0.35">
      <c r="A929" t="s">
        <v>23</v>
      </c>
      <c r="B929" t="s">
        <v>83</v>
      </c>
      <c r="C929">
        <v>2024</v>
      </c>
      <c r="D929" t="s">
        <v>28</v>
      </c>
      <c r="E929">
        <v>58896.05</v>
      </c>
      <c r="F929">
        <v>104.7</v>
      </c>
      <c r="G929">
        <v>389</v>
      </c>
      <c r="H929">
        <v>184</v>
      </c>
      <c r="I929" t="s">
        <v>21</v>
      </c>
      <c r="J929">
        <v>4</v>
      </c>
      <c r="K929" t="s">
        <v>22</v>
      </c>
      <c r="L929">
        <v>16859</v>
      </c>
      <c r="M929">
        <v>3.94</v>
      </c>
      <c r="N929" s="6">
        <f t="shared" si="14"/>
        <v>992928506.95000005</v>
      </c>
    </row>
    <row r="930" spans="1:14" x14ac:dyDescent="0.35">
      <c r="A930" t="s">
        <v>34</v>
      </c>
      <c r="B930" t="s">
        <v>44</v>
      </c>
      <c r="C930">
        <v>2024</v>
      </c>
      <c r="D930" t="s">
        <v>28</v>
      </c>
      <c r="E930">
        <v>113572.04</v>
      </c>
      <c r="F930">
        <v>85.7</v>
      </c>
      <c r="G930">
        <v>286</v>
      </c>
      <c r="H930">
        <v>177</v>
      </c>
      <c r="I930" t="s">
        <v>25</v>
      </c>
      <c r="J930">
        <v>4</v>
      </c>
      <c r="K930" t="s">
        <v>17</v>
      </c>
      <c r="L930">
        <v>73690</v>
      </c>
      <c r="M930">
        <v>3.79</v>
      </c>
      <c r="N930" s="6">
        <f t="shared" si="14"/>
        <v>8369123627.5999994</v>
      </c>
    </row>
    <row r="931" spans="1:14" x14ac:dyDescent="0.35">
      <c r="A931" t="s">
        <v>29</v>
      </c>
      <c r="B931" t="s">
        <v>31</v>
      </c>
      <c r="C931">
        <v>2024</v>
      </c>
      <c r="D931" t="s">
        <v>20</v>
      </c>
      <c r="E931">
        <v>168092.71</v>
      </c>
      <c r="F931">
        <v>81.2</v>
      </c>
      <c r="G931">
        <v>269</v>
      </c>
      <c r="H931">
        <v>124</v>
      </c>
      <c r="I931" t="s">
        <v>33</v>
      </c>
      <c r="J931">
        <v>3</v>
      </c>
      <c r="K931" t="s">
        <v>17</v>
      </c>
      <c r="L931">
        <v>434155</v>
      </c>
      <c r="M931">
        <v>3.8</v>
      </c>
      <c r="N931" s="6">
        <f t="shared" si="14"/>
        <v>72978290510.050003</v>
      </c>
    </row>
    <row r="932" spans="1:14" x14ac:dyDescent="0.35">
      <c r="A932" t="s">
        <v>29</v>
      </c>
      <c r="B932" t="s">
        <v>31</v>
      </c>
      <c r="C932">
        <v>2024</v>
      </c>
      <c r="D932" t="s">
        <v>20</v>
      </c>
      <c r="E932">
        <v>166324.35999999999</v>
      </c>
      <c r="F932">
        <v>61.4</v>
      </c>
      <c r="G932">
        <v>212</v>
      </c>
      <c r="H932">
        <v>136</v>
      </c>
      <c r="I932" t="s">
        <v>16</v>
      </c>
      <c r="J932">
        <v>5</v>
      </c>
      <c r="K932" t="s">
        <v>17</v>
      </c>
      <c r="L932">
        <v>466326</v>
      </c>
      <c r="M932">
        <v>4.26</v>
      </c>
      <c r="N932" s="6">
        <f t="shared" si="14"/>
        <v>77561373501.360001</v>
      </c>
    </row>
    <row r="933" spans="1:14" x14ac:dyDescent="0.35">
      <c r="A933" t="s">
        <v>26</v>
      </c>
      <c r="B933" t="s">
        <v>52</v>
      </c>
      <c r="C933">
        <v>2024</v>
      </c>
      <c r="D933" t="s">
        <v>38</v>
      </c>
      <c r="E933">
        <v>71842.960000000006</v>
      </c>
      <c r="F933">
        <v>77</v>
      </c>
      <c r="G933">
        <v>291</v>
      </c>
      <c r="H933">
        <v>170</v>
      </c>
      <c r="I933" t="s">
        <v>25</v>
      </c>
      <c r="J933">
        <v>4</v>
      </c>
      <c r="K933" t="s">
        <v>20</v>
      </c>
      <c r="L933">
        <v>123890</v>
      </c>
      <c r="M933">
        <v>3.66</v>
      </c>
      <c r="N933" s="6">
        <f t="shared" si="14"/>
        <v>8900624314.4000015</v>
      </c>
    </row>
    <row r="934" spans="1:14" x14ac:dyDescent="0.35">
      <c r="A934" t="s">
        <v>64</v>
      </c>
      <c r="B934" t="s">
        <v>95</v>
      </c>
      <c r="C934">
        <v>2024</v>
      </c>
      <c r="D934" t="s">
        <v>28</v>
      </c>
      <c r="E934">
        <v>117382.51</v>
      </c>
      <c r="F934">
        <v>96.5</v>
      </c>
      <c r="G934">
        <v>334</v>
      </c>
      <c r="H934">
        <v>180</v>
      </c>
      <c r="I934" t="s">
        <v>33</v>
      </c>
      <c r="J934">
        <v>4</v>
      </c>
      <c r="K934" t="s">
        <v>17</v>
      </c>
      <c r="L934">
        <v>33138</v>
      </c>
      <c r="M934">
        <v>3.49</v>
      </c>
      <c r="N934" s="6">
        <f t="shared" si="14"/>
        <v>3889821616.3799996</v>
      </c>
    </row>
    <row r="935" spans="1:14" x14ac:dyDescent="0.35">
      <c r="A935" t="s">
        <v>57</v>
      </c>
      <c r="B935" t="s">
        <v>58</v>
      </c>
      <c r="C935">
        <v>2024</v>
      </c>
      <c r="D935" t="s">
        <v>38</v>
      </c>
      <c r="E935">
        <v>46219.97</v>
      </c>
      <c r="F935">
        <v>70.900000000000006</v>
      </c>
      <c r="G935">
        <v>239</v>
      </c>
      <c r="H935">
        <v>123</v>
      </c>
      <c r="I935" t="s">
        <v>25</v>
      </c>
      <c r="J935">
        <v>4</v>
      </c>
      <c r="K935" t="s">
        <v>22</v>
      </c>
      <c r="L935">
        <v>60684</v>
      </c>
      <c r="M935">
        <v>3.43</v>
      </c>
      <c r="N935" s="6">
        <f t="shared" si="14"/>
        <v>2804812659.48</v>
      </c>
    </row>
    <row r="936" spans="1:14" x14ac:dyDescent="0.35">
      <c r="A936" t="s">
        <v>29</v>
      </c>
      <c r="B936" t="s">
        <v>39</v>
      </c>
      <c r="C936">
        <v>2024</v>
      </c>
      <c r="D936" t="s">
        <v>38</v>
      </c>
      <c r="E936">
        <v>29639.14</v>
      </c>
      <c r="F936">
        <v>52.4</v>
      </c>
      <c r="G936">
        <v>164</v>
      </c>
      <c r="H936">
        <v>171</v>
      </c>
      <c r="I936" t="s">
        <v>21</v>
      </c>
      <c r="J936">
        <v>4</v>
      </c>
      <c r="K936" t="s">
        <v>47</v>
      </c>
      <c r="L936">
        <v>195341</v>
      </c>
      <c r="M936">
        <v>3.41</v>
      </c>
      <c r="N936" s="6">
        <f t="shared" si="14"/>
        <v>5789739246.7399998</v>
      </c>
    </row>
    <row r="937" spans="1:14" x14ac:dyDescent="0.35">
      <c r="A937" t="s">
        <v>23</v>
      </c>
      <c r="B937" t="s">
        <v>24</v>
      </c>
      <c r="C937">
        <v>2024</v>
      </c>
      <c r="D937" t="s">
        <v>28</v>
      </c>
      <c r="E937">
        <v>41353.279999999999</v>
      </c>
      <c r="F937">
        <v>81.8</v>
      </c>
      <c r="G937">
        <v>274</v>
      </c>
      <c r="H937">
        <v>178</v>
      </c>
      <c r="I937" t="s">
        <v>16</v>
      </c>
      <c r="J937">
        <v>4</v>
      </c>
      <c r="K937" t="s">
        <v>22</v>
      </c>
      <c r="L937">
        <v>28209</v>
      </c>
      <c r="M937">
        <v>3.6</v>
      </c>
      <c r="N937" s="6">
        <f t="shared" si="14"/>
        <v>1166534675.52</v>
      </c>
    </row>
    <row r="938" spans="1:14" x14ac:dyDescent="0.35">
      <c r="A938" t="s">
        <v>26</v>
      </c>
      <c r="B938" t="s">
        <v>36</v>
      </c>
      <c r="C938">
        <v>2024</v>
      </c>
      <c r="D938" t="s">
        <v>43</v>
      </c>
      <c r="E938">
        <v>42318.559999999998</v>
      </c>
      <c r="F938">
        <v>40.5</v>
      </c>
      <c r="G938">
        <v>150</v>
      </c>
      <c r="H938">
        <v>164</v>
      </c>
      <c r="I938" t="s">
        <v>25</v>
      </c>
      <c r="J938">
        <v>5</v>
      </c>
      <c r="K938" t="s">
        <v>22</v>
      </c>
      <c r="L938">
        <v>90341</v>
      </c>
      <c r="M938">
        <v>3.35</v>
      </c>
      <c r="N938" s="6">
        <f t="shared" si="14"/>
        <v>3823101028.9599996</v>
      </c>
    </row>
    <row r="939" spans="1:14" x14ac:dyDescent="0.35">
      <c r="A939" t="s">
        <v>29</v>
      </c>
      <c r="B939" t="s">
        <v>31</v>
      </c>
      <c r="C939">
        <v>2024</v>
      </c>
      <c r="D939" t="s">
        <v>15</v>
      </c>
      <c r="E939">
        <v>162214.07999999999</v>
      </c>
      <c r="F939">
        <v>80.599999999999994</v>
      </c>
      <c r="G939">
        <v>269</v>
      </c>
      <c r="H939">
        <v>200</v>
      </c>
      <c r="I939" t="s">
        <v>32</v>
      </c>
      <c r="J939">
        <v>5</v>
      </c>
      <c r="K939" t="s">
        <v>17</v>
      </c>
      <c r="L939">
        <v>443580</v>
      </c>
      <c r="M939">
        <v>3.84</v>
      </c>
      <c r="N939" s="6">
        <f t="shared" si="14"/>
        <v>71954921606.399994</v>
      </c>
    </row>
    <row r="940" spans="1:14" x14ac:dyDescent="0.35">
      <c r="A940" t="s">
        <v>13</v>
      </c>
      <c r="B940" t="s">
        <v>14</v>
      </c>
      <c r="C940">
        <v>2024</v>
      </c>
      <c r="D940" t="s">
        <v>15</v>
      </c>
      <c r="E940">
        <v>60928.37</v>
      </c>
      <c r="F940">
        <v>119.9</v>
      </c>
      <c r="G940">
        <v>406</v>
      </c>
      <c r="H940">
        <v>200</v>
      </c>
      <c r="I940" t="s">
        <v>16</v>
      </c>
      <c r="J940">
        <v>5</v>
      </c>
      <c r="K940" t="s">
        <v>22</v>
      </c>
      <c r="L940">
        <v>257710</v>
      </c>
      <c r="M940">
        <v>3.56</v>
      </c>
      <c r="N940" s="6">
        <f t="shared" si="14"/>
        <v>15701850232.700001</v>
      </c>
    </row>
    <row r="941" spans="1:14" x14ac:dyDescent="0.35">
      <c r="A941" t="s">
        <v>29</v>
      </c>
      <c r="B941" t="s">
        <v>59</v>
      </c>
      <c r="C941">
        <v>2024</v>
      </c>
      <c r="D941" t="s">
        <v>38</v>
      </c>
      <c r="E941">
        <v>99143.24</v>
      </c>
      <c r="F941">
        <v>56.5</v>
      </c>
      <c r="G941">
        <v>200</v>
      </c>
      <c r="H941">
        <v>142</v>
      </c>
      <c r="I941" t="s">
        <v>33</v>
      </c>
      <c r="J941">
        <v>3</v>
      </c>
      <c r="K941" t="s">
        <v>20</v>
      </c>
      <c r="L941">
        <v>177987</v>
      </c>
      <c r="M941">
        <v>3.6</v>
      </c>
      <c r="N941" s="6">
        <f t="shared" si="14"/>
        <v>17646207857.880001</v>
      </c>
    </row>
    <row r="942" spans="1:14" x14ac:dyDescent="0.35">
      <c r="A942" t="s">
        <v>23</v>
      </c>
      <c r="B942" t="s">
        <v>82</v>
      </c>
      <c r="C942">
        <v>2024</v>
      </c>
      <c r="D942" t="s">
        <v>28</v>
      </c>
      <c r="E942">
        <v>54182.3</v>
      </c>
      <c r="F942">
        <v>85.5</v>
      </c>
      <c r="G942">
        <v>299</v>
      </c>
      <c r="H942">
        <v>165</v>
      </c>
      <c r="I942" t="s">
        <v>16</v>
      </c>
      <c r="J942">
        <v>4</v>
      </c>
      <c r="K942" t="s">
        <v>22</v>
      </c>
      <c r="L942">
        <v>4380</v>
      </c>
      <c r="M942">
        <v>3.46</v>
      </c>
      <c r="N942" s="6">
        <f t="shared" si="14"/>
        <v>237318474</v>
      </c>
    </row>
    <row r="943" spans="1:14" x14ac:dyDescent="0.35">
      <c r="A943" t="s">
        <v>104</v>
      </c>
      <c r="B943" t="s">
        <v>105</v>
      </c>
      <c r="C943">
        <v>2024</v>
      </c>
      <c r="D943" t="s">
        <v>20</v>
      </c>
      <c r="E943">
        <v>269775.2</v>
      </c>
      <c r="F943">
        <v>76.3</v>
      </c>
      <c r="G943">
        <v>276</v>
      </c>
      <c r="H943">
        <v>163</v>
      </c>
      <c r="I943" t="s">
        <v>32</v>
      </c>
      <c r="J943">
        <v>4</v>
      </c>
      <c r="K943" t="s">
        <v>17</v>
      </c>
      <c r="L943">
        <v>4056</v>
      </c>
      <c r="M943">
        <v>3.28</v>
      </c>
      <c r="N943" s="6">
        <f t="shared" si="14"/>
        <v>1094208211.2</v>
      </c>
    </row>
    <row r="944" spans="1:14" x14ac:dyDescent="0.35">
      <c r="A944" t="s">
        <v>29</v>
      </c>
      <c r="B944" t="s">
        <v>30</v>
      </c>
      <c r="C944">
        <v>2024</v>
      </c>
      <c r="D944" t="s">
        <v>20</v>
      </c>
      <c r="E944">
        <v>111275.22</v>
      </c>
      <c r="F944">
        <v>82.9</v>
      </c>
      <c r="G944">
        <v>291</v>
      </c>
      <c r="H944">
        <v>171</v>
      </c>
      <c r="I944" t="s">
        <v>21</v>
      </c>
      <c r="J944">
        <v>5</v>
      </c>
      <c r="K944" t="s">
        <v>17</v>
      </c>
      <c r="L944">
        <v>172863</v>
      </c>
      <c r="M944">
        <v>3.88</v>
      </c>
      <c r="N944" s="6">
        <f t="shared" si="14"/>
        <v>19235368354.860001</v>
      </c>
    </row>
    <row r="945" spans="1:14" x14ac:dyDescent="0.35">
      <c r="A945" t="s">
        <v>26</v>
      </c>
      <c r="B945" t="s">
        <v>52</v>
      </c>
      <c r="C945">
        <v>2024</v>
      </c>
      <c r="D945" t="s">
        <v>43</v>
      </c>
      <c r="E945">
        <v>32564.1</v>
      </c>
      <c r="F945">
        <v>46.2</v>
      </c>
      <c r="G945">
        <v>180</v>
      </c>
      <c r="H945">
        <v>156</v>
      </c>
      <c r="I945" t="s">
        <v>32</v>
      </c>
      <c r="J945">
        <v>4</v>
      </c>
      <c r="K945" t="s">
        <v>47</v>
      </c>
      <c r="L945">
        <v>123543</v>
      </c>
      <c r="M945">
        <v>3.02</v>
      </c>
      <c r="N945" s="6">
        <f t="shared" si="14"/>
        <v>4023066606.2999997</v>
      </c>
    </row>
    <row r="946" spans="1:14" x14ac:dyDescent="0.35">
      <c r="A946" t="s">
        <v>67</v>
      </c>
      <c r="B946" t="s">
        <v>86</v>
      </c>
      <c r="C946">
        <v>2024</v>
      </c>
      <c r="D946" t="s">
        <v>38</v>
      </c>
      <c r="E946">
        <v>51267.23</v>
      </c>
      <c r="F946">
        <v>71.400000000000006</v>
      </c>
      <c r="G946">
        <v>241</v>
      </c>
      <c r="H946">
        <v>155</v>
      </c>
      <c r="I946" t="s">
        <v>40</v>
      </c>
      <c r="J946">
        <v>4</v>
      </c>
      <c r="K946" t="s">
        <v>22</v>
      </c>
      <c r="L946">
        <v>64472</v>
      </c>
      <c r="M946">
        <v>3.5</v>
      </c>
      <c r="N946" s="6">
        <f t="shared" si="14"/>
        <v>3305300852.5600004</v>
      </c>
    </row>
    <row r="947" spans="1:14" x14ac:dyDescent="0.35">
      <c r="A947" t="s">
        <v>45</v>
      </c>
      <c r="B947" t="s">
        <v>63</v>
      </c>
      <c r="C947">
        <v>2024</v>
      </c>
      <c r="D947" t="s">
        <v>28</v>
      </c>
      <c r="E947">
        <v>75118.039999999994</v>
      </c>
      <c r="F947">
        <v>88.3</v>
      </c>
      <c r="G947">
        <v>325</v>
      </c>
      <c r="H947">
        <v>189</v>
      </c>
      <c r="I947" t="s">
        <v>40</v>
      </c>
      <c r="J947">
        <v>4</v>
      </c>
      <c r="K947" t="s">
        <v>20</v>
      </c>
      <c r="L947">
        <v>220772</v>
      </c>
      <c r="M947">
        <v>3.68</v>
      </c>
      <c r="N947" s="6">
        <f t="shared" si="14"/>
        <v>16583959926.879999</v>
      </c>
    </row>
    <row r="948" spans="1:14" x14ac:dyDescent="0.35">
      <c r="A948" t="s">
        <v>64</v>
      </c>
      <c r="B948" t="s">
        <v>85</v>
      </c>
      <c r="C948">
        <v>2024</v>
      </c>
      <c r="D948" t="s">
        <v>15</v>
      </c>
      <c r="E948">
        <v>134617.67000000001</v>
      </c>
      <c r="F948">
        <v>90.5</v>
      </c>
      <c r="G948">
        <v>308</v>
      </c>
      <c r="H948">
        <v>190</v>
      </c>
      <c r="I948" t="s">
        <v>33</v>
      </c>
      <c r="J948">
        <v>5</v>
      </c>
      <c r="K948" t="s">
        <v>17</v>
      </c>
      <c r="L948">
        <v>68965</v>
      </c>
      <c r="M948">
        <v>3.76</v>
      </c>
      <c r="N948" s="6">
        <f t="shared" si="14"/>
        <v>9283907611.5500011</v>
      </c>
    </row>
    <row r="949" spans="1:14" x14ac:dyDescent="0.35">
      <c r="A949" t="s">
        <v>23</v>
      </c>
      <c r="B949" t="s">
        <v>24</v>
      </c>
      <c r="C949">
        <v>2024</v>
      </c>
      <c r="D949" t="s">
        <v>28</v>
      </c>
      <c r="E949">
        <v>55216.4</v>
      </c>
      <c r="F949">
        <v>81.900000000000006</v>
      </c>
      <c r="G949">
        <v>299</v>
      </c>
      <c r="H949">
        <v>153</v>
      </c>
      <c r="I949" t="s">
        <v>33</v>
      </c>
      <c r="J949">
        <v>5</v>
      </c>
      <c r="K949" t="s">
        <v>22</v>
      </c>
      <c r="L949">
        <v>805</v>
      </c>
      <c r="M949">
        <v>3.76</v>
      </c>
      <c r="N949" s="6">
        <f t="shared" si="14"/>
        <v>44449202</v>
      </c>
    </row>
    <row r="950" spans="1:14" x14ac:dyDescent="0.35">
      <c r="A950" t="s">
        <v>67</v>
      </c>
      <c r="B950" t="s">
        <v>89</v>
      </c>
      <c r="C950">
        <v>2024</v>
      </c>
      <c r="D950" t="s">
        <v>43</v>
      </c>
      <c r="E950">
        <v>111572.71</v>
      </c>
      <c r="F950">
        <v>71.599999999999994</v>
      </c>
      <c r="G950">
        <v>265</v>
      </c>
      <c r="H950">
        <v>144</v>
      </c>
      <c r="I950" t="s">
        <v>32</v>
      </c>
      <c r="J950">
        <v>5</v>
      </c>
      <c r="K950" t="s">
        <v>17</v>
      </c>
      <c r="L950">
        <v>58813</v>
      </c>
      <c r="M950">
        <v>3.28</v>
      </c>
      <c r="N950" s="6">
        <f t="shared" si="14"/>
        <v>6561925793.2300005</v>
      </c>
    </row>
    <row r="951" spans="1:14" x14ac:dyDescent="0.35">
      <c r="A951" t="s">
        <v>29</v>
      </c>
      <c r="B951" t="s">
        <v>59</v>
      </c>
      <c r="C951">
        <v>2024</v>
      </c>
      <c r="D951" t="s">
        <v>15</v>
      </c>
      <c r="E951">
        <v>79743.44</v>
      </c>
      <c r="F951">
        <v>90.1</v>
      </c>
      <c r="G951">
        <v>322</v>
      </c>
      <c r="H951">
        <v>182</v>
      </c>
      <c r="I951" t="s">
        <v>21</v>
      </c>
      <c r="J951">
        <v>5</v>
      </c>
      <c r="K951" t="s">
        <v>20</v>
      </c>
      <c r="L951">
        <v>136484</v>
      </c>
      <c r="M951">
        <v>3.83</v>
      </c>
      <c r="N951" s="6">
        <f t="shared" si="14"/>
        <v>10883703664.960001</v>
      </c>
    </row>
    <row r="952" spans="1:14" x14ac:dyDescent="0.35">
      <c r="A952" t="s">
        <v>13</v>
      </c>
      <c r="B952" t="s">
        <v>56</v>
      </c>
      <c r="C952">
        <v>2024</v>
      </c>
      <c r="D952" t="s">
        <v>38</v>
      </c>
      <c r="E952">
        <v>52450.92</v>
      </c>
      <c r="F952">
        <v>70.3</v>
      </c>
      <c r="G952">
        <v>257</v>
      </c>
      <c r="H952">
        <v>135</v>
      </c>
      <c r="I952" t="s">
        <v>21</v>
      </c>
      <c r="J952">
        <v>5</v>
      </c>
      <c r="K952" t="s">
        <v>22</v>
      </c>
      <c r="L952">
        <v>231690</v>
      </c>
      <c r="M952">
        <v>3.59</v>
      </c>
      <c r="N952" s="6">
        <f t="shared" si="14"/>
        <v>12152353654.799999</v>
      </c>
    </row>
    <row r="953" spans="1:14" x14ac:dyDescent="0.35">
      <c r="A953" t="s">
        <v>49</v>
      </c>
      <c r="B953" t="s">
        <v>90</v>
      </c>
      <c r="C953">
        <v>2024</v>
      </c>
      <c r="D953" t="s">
        <v>38</v>
      </c>
      <c r="E953">
        <v>53836.77</v>
      </c>
      <c r="F953">
        <v>69.5</v>
      </c>
      <c r="G953">
        <v>265</v>
      </c>
      <c r="H953">
        <v>135</v>
      </c>
      <c r="I953" t="s">
        <v>40</v>
      </c>
      <c r="J953">
        <v>5</v>
      </c>
      <c r="K953" t="s">
        <v>22</v>
      </c>
      <c r="L953">
        <v>55119</v>
      </c>
      <c r="M953">
        <v>3.5</v>
      </c>
      <c r="N953" s="6">
        <f t="shared" si="14"/>
        <v>2967428925.6299996</v>
      </c>
    </row>
    <row r="954" spans="1:14" x14ac:dyDescent="0.35">
      <c r="A954" t="s">
        <v>26</v>
      </c>
      <c r="B954" t="s">
        <v>52</v>
      </c>
      <c r="C954">
        <v>2024</v>
      </c>
      <c r="D954" t="s">
        <v>38</v>
      </c>
      <c r="E954">
        <v>34300.06</v>
      </c>
      <c r="F954">
        <v>68.3</v>
      </c>
      <c r="G954">
        <v>242</v>
      </c>
      <c r="H954">
        <v>165</v>
      </c>
      <c r="I954" t="s">
        <v>25</v>
      </c>
      <c r="J954">
        <v>4</v>
      </c>
      <c r="K954" t="s">
        <v>47</v>
      </c>
      <c r="L954">
        <v>143619</v>
      </c>
      <c r="M954">
        <v>3.26</v>
      </c>
      <c r="N954" s="6">
        <f t="shared" si="14"/>
        <v>4926140317.1399994</v>
      </c>
    </row>
    <row r="955" spans="1:14" x14ac:dyDescent="0.35">
      <c r="A955" t="s">
        <v>29</v>
      </c>
      <c r="B955" t="s">
        <v>30</v>
      </c>
      <c r="C955">
        <v>2024</v>
      </c>
      <c r="D955" t="s">
        <v>15</v>
      </c>
      <c r="E955">
        <v>99778.09</v>
      </c>
      <c r="F955">
        <v>102.4</v>
      </c>
      <c r="G955">
        <v>352</v>
      </c>
      <c r="H955">
        <v>200</v>
      </c>
      <c r="I955" t="s">
        <v>16</v>
      </c>
      <c r="J955">
        <v>4</v>
      </c>
      <c r="K955" t="s">
        <v>20</v>
      </c>
      <c r="L955">
        <v>186712</v>
      </c>
      <c r="M955">
        <v>4.18</v>
      </c>
      <c r="N955" s="6">
        <f t="shared" si="14"/>
        <v>18629766740.079998</v>
      </c>
    </row>
    <row r="956" spans="1:14" x14ac:dyDescent="0.35">
      <c r="A956" t="s">
        <v>29</v>
      </c>
      <c r="B956" t="s">
        <v>53</v>
      </c>
      <c r="C956">
        <v>2024</v>
      </c>
      <c r="D956" t="s">
        <v>15</v>
      </c>
      <c r="E956">
        <v>106068.73</v>
      </c>
      <c r="F956">
        <v>114.9</v>
      </c>
      <c r="G956">
        <v>357</v>
      </c>
      <c r="H956">
        <v>200</v>
      </c>
      <c r="I956" t="s">
        <v>16</v>
      </c>
      <c r="J956">
        <v>3</v>
      </c>
      <c r="K956" t="s">
        <v>17</v>
      </c>
      <c r="L956">
        <v>156874</v>
      </c>
      <c r="M956">
        <v>4.08</v>
      </c>
      <c r="N956" s="6">
        <f t="shared" si="14"/>
        <v>16639425950.019999</v>
      </c>
    </row>
    <row r="957" spans="1:14" x14ac:dyDescent="0.35">
      <c r="A957" t="s">
        <v>45</v>
      </c>
      <c r="B957" t="s">
        <v>48</v>
      </c>
      <c r="C957">
        <v>2024</v>
      </c>
      <c r="D957" t="s">
        <v>28</v>
      </c>
      <c r="E957">
        <v>41904.83</v>
      </c>
      <c r="F957">
        <v>88.3</v>
      </c>
      <c r="G957">
        <v>325</v>
      </c>
      <c r="H957">
        <v>168</v>
      </c>
      <c r="I957" t="s">
        <v>16</v>
      </c>
      <c r="J957">
        <v>3</v>
      </c>
      <c r="K957" t="s">
        <v>22</v>
      </c>
      <c r="L957">
        <v>239018</v>
      </c>
      <c r="M957">
        <v>3.7</v>
      </c>
      <c r="N957" s="6">
        <f t="shared" si="14"/>
        <v>10016008656.940001</v>
      </c>
    </row>
    <row r="958" spans="1:14" x14ac:dyDescent="0.35">
      <c r="A958" t="s">
        <v>13</v>
      </c>
      <c r="B958" t="s">
        <v>56</v>
      </c>
      <c r="C958">
        <v>2024</v>
      </c>
      <c r="D958" t="s">
        <v>20</v>
      </c>
      <c r="E958">
        <v>40586.730000000003</v>
      </c>
      <c r="F958">
        <v>45</v>
      </c>
      <c r="G958">
        <v>173</v>
      </c>
      <c r="H958">
        <v>159</v>
      </c>
      <c r="I958" t="s">
        <v>33</v>
      </c>
      <c r="J958">
        <v>4</v>
      </c>
      <c r="K958" t="s">
        <v>22</v>
      </c>
      <c r="L958">
        <v>268842</v>
      </c>
      <c r="M958">
        <v>3.31</v>
      </c>
      <c r="N958" s="6">
        <f t="shared" si="14"/>
        <v>10911417666.660002</v>
      </c>
    </row>
    <row r="959" spans="1:14" x14ac:dyDescent="0.35">
      <c r="A959" t="s">
        <v>57</v>
      </c>
      <c r="B959" t="s">
        <v>79</v>
      </c>
      <c r="C959">
        <v>2024</v>
      </c>
      <c r="D959" t="s">
        <v>38</v>
      </c>
      <c r="E959">
        <v>54161.53</v>
      </c>
      <c r="F959">
        <v>80.099999999999994</v>
      </c>
      <c r="G959">
        <v>289</v>
      </c>
      <c r="H959">
        <v>137</v>
      </c>
      <c r="I959" t="s">
        <v>32</v>
      </c>
      <c r="J959">
        <v>4</v>
      </c>
      <c r="K959" t="s">
        <v>22</v>
      </c>
      <c r="L959">
        <v>26655</v>
      </c>
      <c r="M959">
        <v>3.51</v>
      </c>
      <c r="N959" s="6">
        <f t="shared" si="14"/>
        <v>1443675582.1499999</v>
      </c>
    </row>
    <row r="960" spans="1:14" x14ac:dyDescent="0.35">
      <c r="A960" t="s">
        <v>13</v>
      </c>
      <c r="B960" t="s">
        <v>56</v>
      </c>
      <c r="C960">
        <v>2024</v>
      </c>
      <c r="D960" t="s">
        <v>15</v>
      </c>
      <c r="E960">
        <v>92355.03</v>
      </c>
      <c r="F960">
        <v>70.8</v>
      </c>
      <c r="G960">
        <v>243</v>
      </c>
      <c r="H960">
        <v>193</v>
      </c>
      <c r="I960" t="s">
        <v>16</v>
      </c>
      <c r="J960">
        <v>4</v>
      </c>
      <c r="K960" t="s">
        <v>20</v>
      </c>
      <c r="L960">
        <v>216375</v>
      </c>
      <c r="M960">
        <v>3.43</v>
      </c>
      <c r="N960" s="6">
        <f t="shared" si="14"/>
        <v>19983319616.25</v>
      </c>
    </row>
    <row r="961" spans="1:14" x14ac:dyDescent="0.35">
      <c r="A961" t="s">
        <v>49</v>
      </c>
      <c r="B961" t="s">
        <v>60</v>
      </c>
      <c r="C961">
        <v>2024</v>
      </c>
      <c r="D961" t="s">
        <v>15</v>
      </c>
      <c r="E961">
        <v>97949.17</v>
      </c>
      <c r="F961">
        <v>88.6</v>
      </c>
      <c r="G961">
        <v>324</v>
      </c>
      <c r="H961">
        <v>200</v>
      </c>
      <c r="I961" t="s">
        <v>32</v>
      </c>
      <c r="J961">
        <v>5</v>
      </c>
      <c r="K961" t="s">
        <v>20</v>
      </c>
      <c r="L961">
        <v>105426</v>
      </c>
      <c r="M961">
        <v>3.83</v>
      </c>
      <c r="N961" s="6">
        <f t="shared" si="14"/>
        <v>10326389196.42</v>
      </c>
    </row>
    <row r="962" spans="1:14" x14ac:dyDescent="0.35">
      <c r="A962" t="s">
        <v>29</v>
      </c>
      <c r="B962" t="s">
        <v>53</v>
      </c>
      <c r="C962">
        <v>2024</v>
      </c>
      <c r="D962" t="s">
        <v>20</v>
      </c>
      <c r="E962">
        <v>112719.54</v>
      </c>
      <c r="F962">
        <v>67.5</v>
      </c>
      <c r="G962">
        <v>240</v>
      </c>
      <c r="H962">
        <v>170</v>
      </c>
      <c r="I962" t="s">
        <v>16</v>
      </c>
      <c r="J962">
        <v>5</v>
      </c>
      <c r="K962" t="s">
        <v>17</v>
      </c>
      <c r="L962">
        <v>138409</v>
      </c>
      <c r="M962">
        <v>3.94</v>
      </c>
      <c r="N962" s="6">
        <f t="shared" ref="N962:N1025" si="15">E962*L962</f>
        <v>15601398811.859999</v>
      </c>
    </row>
    <row r="963" spans="1:14" x14ac:dyDescent="0.35">
      <c r="A963" t="s">
        <v>29</v>
      </c>
      <c r="B963" t="s">
        <v>53</v>
      </c>
      <c r="C963">
        <v>2024</v>
      </c>
      <c r="D963" t="s">
        <v>38</v>
      </c>
      <c r="E963">
        <v>112537.97</v>
      </c>
      <c r="F963">
        <v>73.400000000000006</v>
      </c>
      <c r="G963">
        <v>256</v>
      </c>
      <c r="H963">
        <v>125</v>
      </c>
      <c r="I963" t="s">
        <v>16</v>
      </c>
      <c r="J963">
        <v>4</v>
      </c>
      <c r="K963" t="s">
        <v>17</v>
      </c>
      <c r="L963">
        <v>200169</v>
      </c>
      <c r="M963">
        <v>3.59</v>
      </c>
      <c r="N963" s="6">
        <f t="shared" si="15"/>
        <v>22526612916.93</v>
      </c>
    </row>
    <row r="964" spans="1:14" x14ac:dyDescent="0.35">
      <c r="A964" t="s">
        <v>18</v>
      </c>
      <c r="B964" t="s">
        <v>93</v>
      </c>
      <c r="C964">
        <v>2024</v>
      </c>
      <c r="D964" t="s">
        <v>43</v>
      </c>
      <c r="E964">
        <v>65164.24</v>
      </c>
      <c r="F964">
        <v>66</v>
      </c>
      <c r="G964">
        <v>218</v>
      </c>
      <c r="H964">
        <v>152</v>
      </c>
      <c r="I964" t="s">
        <v>21</v>
      </c>
      <c r="J964">
        <v>5</v>
      </c>
      <c r="K964" t="s">
        <v>20</v>
      </c>
      <c r="L964">
        <v>21633</v>
      </c>
      <c r="M964">
        <v>3.39</v>
      </c>
      <c r="N964" s="6">
        <f t="shared" si="15"/>
        <v>1409698003.9199998</v>
      </c>
    </row>
    <row r="965" spans="1:14" x14ac:dyDescent="0.35">
      <c r="A965" t="s">
        <v>64</v>
      </c>
      <c r="B965" t="s">
        <v>97</v>
      </c>
      <c r="C965">
        <v>2024</v>
      </c>
      <c r="D965" t="s">
        <v>38</v>
      </c>
      <c r="E965">
        <v>47596.94</v>
      </c>
      <c r="F965">
        <v>81.099999999999994</v>
      </c>
      <c r="G965">
        <v>287</v>
      </c>
      <c r="H965">
        <v>135</v>
      </c>
      <c r="I965" t="s">
        <v>40</v>
      </c>
      <c r="J965">
        <v>5</v>
      </c>
      <c r="K965" t="s">
        <v>22</v>
      </c>
      <c r="L965">
        <v>22877</v>
      </c>
      <c r="M965">
        <v>3.56</v>
      </c>
      <c r="N965" s="6">
        <f t="shared" si="15"/>
        <v>1088875196.3800001</v>
      </c>
    </row>
    <row r="966" spans="1:14" x14ac:dyDescent="0.35">
      <c r="A966" t="s">
        <v>29</v>
      </c>
      <c r="B966" t="s">
        <v>31</v>
      </c>
      <c r="C966">
        <v>2024</v>
      </c>
      <c r="D966" t="s">
        <v>28</v>
      </c>
      <c r="E966">
        <v>50416.800000000003</v>
      </c>
      <c r="F966">
        <v>92.4</v>
      </c>
      <c r="G966">
        <v>336</v>
      </c>
      <c r="H966">
        <v>170</v>
      </c>
      <c r="I966" t="s">
        <v>40</v>
      </c>
      <c r="J966">
        <v>4</v>
      </c>
      <c r="K966" t="s">
        <v>22</v>
      </c>
      <c r="L966">
        <v>444988</v>
      </c>
      <c r="M966">
        <v>3.8</v>
      </c>
      <c r="N966" s="6">
        <f t="shared" si="15"/>
        <v>22434870998.400002</v>
      </c>
    </row>
    <row r="967" spans="1:14" x14ac:dyDescent="0.35">
      <c r="A967" t="s">
        <v>23</v>
      </c>
      <c r="B967" t="s">
        <v>82</v>
      </c>
      <c r="C967">
        <v>2024</v>
      </c>
      <c r="D967" t="s">
        <v>15</v>
      </c>
      <c r="E967">
        <v>98117.57</v>
      </c>
      <c r="F967">
        <v>90.3</v>
      </c>
      <c r="G967">
        <v>335</v>
      </c>
      <c r="H967">
        <v>195</v>
      </c>
      <c r="I967" t="s">
        <v>40</v>
      </c>
      <c r="J967">
        <v>5</v>
      </c>
      <c r="K967" t="s">
        <v>20</v>
      </c>
      <c r="L967">
        <v>23127</v>
      </c>
      <c r="M967">
        <v>3.63</v>
      </c>
      <c r="N967" s="6">
        <f t="shared" si="15"/>
        <v>2269165041.3900003</v>
      </c>
    </row>
    <row r="968" spans="1:14" x14ac:dyDescent="0.35">
      <c r="A968" t="s">
        <v>64</v>
      </c>
      <c r="B968" t="s">
        <v>95</v>
      </c>
      <c r="C968">
        <v>2024</v>
      </c>
      <c r="D968" t="s">
        <v>43</v>
      </c>
      <c r="E968">
        <v>91502.74</v>
      </c>
      <c r="F968">
        <v>75.2</v>
      </c>
      <c r="G968">
        <v>250</v>
      </c>
      <c r="H968">
        <v>161</v>
      </c>
      <c r="I968" t="s">
        <v>33</v>
      </c>
      <c r="J968">
        <v>5</v>
      </c>
      <c r="K968" t="s">
        <v>20</v>
      </c>
      <c r="L968">
        <v>64217</v>
      </c>
      <c r="M968">
        <v>3.55</v>
      </c>
      <c r="N968" s="6">
        <f t="shared" si="15"/>
        <v>5876031454.5799999</v>
      </c>
    </row>
    <row r="969" spans="1:14" x14ac:dyDescent="0.35">
      <c r="A969" t="s">
        <v>26</v>
      </c>
      <c r="B969" t="s">
        <v>52</v>
      </c>
      <c r="C969">
        <v>2024</v>
      </c>
      <c r="D969" t="s">
        <v>20</v>
      </c>
      <c r="E969">
        <v>91917.06</v>
      </c>
      <c r="F969">
        <v>68.900000000000006</v>
      </c>
      <c r="G969">
        <v>237</v>
      </c>
      <c r="H969">
        <v>166</v>
      </c>
      <c r="I969" t="s">
        <v>25</v>
      </c>
      <c r="J969">
        <v>4</v>
      </c>
      <c r="K969" t="s">
        <v>20</v>
      </c>
      <c r="L969">
        <v>124978</v>
      </c>
      <c r="M969">
        <v>3.57</v>
      </c>
      <c r="N969" s="6">
        <f t="shared" si="15"/>
        <v>11487610324.68</v>
      </c>
    </row>
    <row r="970" spans="1:14" x14ac:dyDescent="0.35">
      <c r="A970" t="s">
        <v>64</v>
      </c>
      <c r="B970" t="s">
        <v>95</v>
      </c>
      <c r="C970">
        <v>2024</v>
      </c>
      <c r="D970" t="s">
        <v>15</v>
      </c>
      <c r="E970">
        <v>131247.26</v>
      </c>
      <c r="F970">
        <v>113.3</v>
      </c>
      <c r="G970">
        <v>405</v>
      </c>
      <c r="H970">
        <v>200</v>
      </c>
      <c r="I970" t="s">
        <v>16</v>
      </c>
      <c r="J970">
        <v>4</v>
      </c>
      <c r="K970" t="s">
        <v>17</v>
      </c>
      <c r="L970">
        <v>65041</v>
      </c>
      <c r="M970">
        <v>3.91</v>
      </c>
      <c r="N970" s="6">
        <f t="shared" si="15"/>
        <v>8536453037.6600008</v>
      </c>
    </row>
    <row r="971" spans="1:14" x14ac:dyDescent="0.35">
      <c r="A971" t="s">
        <v>29</v>
      </c>
      <c r="B971" t="s">
        <v>59</v>
      </c>
      <c r="C971">
        <v>2024</v>
      </c>
      <c r="D971" t="s">
        <v>20</v>
      </c>
      <c r="E971">
        <v>46217.919999999998</v>
      </c>
      <c r="F971">
        <v>55.9</v>
      </c>
      <c r="G971">
        <v>205</v>
      </c>
      <c r="H971">
        <v>151</v>
      </c>
      <c r="I971" t="s">
        <v>16</v>
      </c>
      <c r="J971">
        <v>4</v>
      </c>
      <c r="K971" t="s">
        <v>22</v>
      </c>
      <c r="L971">
        <v>108494</v>
      </c>
      <c r="M971">
        <v>3.65</v>
      </c>
      <c r="N971" s="6">
        <f t="shared" si="15"/>
        <v>5014367012.4799995</v>
      </c>
    </row>
    <row r="972" spans="1:14" x14ac:dyDescent="0.35">
      <c r="A972" t="s">
        <v>34</v>
      </c>
      <c r="B972" t="s">
        <v>106</v>
      </c>
      <c r="C972">
        <v>2024</v>
      </c>
      <c r="D972" t="s">
        <v>20</v>
      </c>
      <c r="E972">
        <v>146623.72</v>
      </c>
      <c r="F972">
        <v>69.099999999999994</v>
      </c>
      <c r="G972">
        <v>262</v>
      </c>
      <c r="H972">
        <v>176</v>
      </c>
      <c r="I972" t="s">
        <v>33</v>
      </c>
      <c r="J972">
        <v>4</v>
      </c>
      <c r="K972" t="s">
        <v>17</v>
      </c>
      <c r="L972">
        <v>43244</v>
      </c>
      <c r="M972">
        <v>3.61</v>
      </c>
      <c r="N972" s="6">
        <f t="shared" si="15"/>
        <v>6340596147.6800003</v>
      </c>
    </row>
    <row r="973" spans="1:14" x14ac:dyDescent="0.35">
      <c r="A973" t="s">
        <v>26</v>
      </c>
      <c r="B973" t="s">
        <v>52</v>
      </c>
      <c r="C973">
        <v>2024</v>
      </c>
      <c r="D973" t="s">
        <v>38</v>
      </c>
      <c r="E973">
        <v>26810.33</v>
      </c>
      <c r="F973">
        <v>75.599999999999994</v>
      </c>
      <c r="G973">
        <v>247</v>
      </c>
      <c r="H973">
        <v>166</v>
      </c>
      <c r="I973" t="s">
        <v>21</v>
      </c>
      <c r="J973">
        <v>5</v>
      </c>
      <c r="K973" t="s">
        <v>47</v>
      </c>
      <c r="L973">
        <v>138862</v>
      </c>
      <c r="M973">
        <v>3.48</v>
      </c>
      <c r="N973" s="6">
        <f t="shared" si="15"/>
        <v>3722936044.46</v>
      </c>
    </row>
    <row r="974" spans="1:14" x14ac:dyDescent="0.35">
      <c r="A974" t="s">
        <v>23</v>
      </c>
      <c r="B974" t="s">
        <v>37</v>
      </c>
      <c r="C974">
        <v>2024</v>
      </c>
      <c r="D974" t="s">
        <v>20</v>
      </c>
      <c r="E974">
        <v>45723.03</v>
      </c>
      <c r="F974">
        <v>55</v>
      </c>
      <c r="G974">
        <v>207</v>
      </c>
      <c r="H974">
        <v>148</v>
      </c>
      <c r="I974" t="s">
        <v>21</v>
      </c>
      <c r="J974">
        <v>5</v>
      </c>
      <c r="K974" t="s">
        <v>22</v>
      </c>
      <c r="L974">
        <v>19610</v>
      </c>
      <c r="M974">
        <v>3.43</v>
      </c>
      <c r="N974" s="6">
        <f t="shared" si="15"/>
        <v>896628618.29999995</v>
      </c>
    </row>
    <row r="975" spans="1:14" x14ac:dyDescent="0.35">
      <c r="A975" t="s">
        <v>57</v>
      </c>
      <c r="B975" t="s">
        <v>72</v>
      </c>
      <c r="C975">
        <v>2024</v>
      </c>
      <c r="D975" t="s">
        <v>43</v>
      </c>
      <c r="E975">
        <v>38587</v>
      </c>
      <c r="F975">
        <v>78</v>
      </c>
      <c r="G975">
        <v>278</v>
      </c>
      <c r="H975">
        <v>145</v>
      </c>
      <c r="I975" t="s">
        <v>16</v>
      </c>
      <c r="J975">
        <v>5</v>
      </c>
      <c r="K975" t="s">
        <v>22</v>
      </c>
      <c r="L975">
        <v>66132</v>
      </c>
      <c r="M975">
        <v>3.55</v>
      </c>
      <c r="N975" s="6">
        <f t="shared" si="15"/>
        <v>2551835484</v>
      </c>
    </row>
    <row r="976" spans="1:14" x14ac:dyDescent="0.35">
      <c r="A976" t="s">
        <v>57</v>
      </c>
      <c r="B976" t="s">
        <v>79</v>
      </c>
      <c r="C976">
        <v>2024</v>
      </c>
      <c r="D976" t="s">
        <v>15</v>
      </c>
      <c r="E976">
        <v>61417.24</v>
      </c>
      <c r="F976">
        <v>107.1</v>
      </c>
      <c r="G976">
        <v>370</v>
      </c>
      <c r="H976">
        <v>189</v>
      </c>
      <c r="I976" t="s">
        <v>33</v>
      </c>
      <c r="J976">
        <v>5</v>
      </c>
      <c r="K976" t="s">
        <v>22</v>
      </c>
      <c r="L976">
        <v>29374</v>
      </c>
      <c r="M976">
        <v>3.68</v>
      </c>
      <c r="N976" s="6">
        <f t="shared" si="15"/>
        <v>1804070007.76</v>
      </c>
    </row>
    <row r="977" spans="1:14" x14ac:dyDescent="0.35">
      <c r="A977" t="s">
        <v>13</v>
      </c>
      <c r="B977" t="s">
        <v>51</v>
      </c>
      <c r="C977">
        <v>2024</v>
      </c>
      <c r="D977" t="s">
        <v>15</v>
      </c>
      <c r="E977">
        <v>80127.240000000005</v>
      </c>
      <c r="F977">
        <v>106.2</v>
      </c>
      <c r="G977">
        <v>352</v>
      </c>
      <c r="H977">
        <v>193</v>
      </c>
      <c r="I977" t="s">
        <v>21</v>
      </c>
      <c r="J977">
        <v>5</v>
      </c>
      <c r="K977" t="s">
        <v>20</v>
      </c>
      <c r="L977">
        <v>267416</v>
      </c>
      <c r="M977">
        <v>3.45</v>
      </c>
      <c r="N977" s="6">
        <f t="shared" si="15"/>
        <v>21427306011.84</v>
      </c>
    </row>
    <row r="978" spans="1:14" x14ac:dyDescent="0.35">
      <c r="A978" t="s">
        <v>23</v>
      </c>
      <c r="B978" t="s">
        <v>24</v>
      </c>
      <c r="C978">
        <v>2024</v>
      </c>
      <c r="D978" t="s">
        <v>15</v>
      </c>
      <c r="E978">
        <v>54375.97</v>
      </c>
      <c r="F978">
        <v>88.9</v>
      </c>
      <c r="G978">
        <v>299</v>
      </c>
      <c r="H978">
        <v>200</v>
      </c>
      <c r="I978" t="s">
        <v>40</v>
      </c>
      <c r="J978">
        <v>5</v>
      </c>
      <c r="K978" t="s">
        <v>22</v>
      </c>
      <c r="L978">
        <v>24792</v>
      </c>
      <c r="M978">
        <v>3.55</v>
      </c>
      <c r="N978" s="6">
        <f t="shared" si="15"/>
        <v>1348089048.24</v>
      </c>
    </row>
    <row r="979" spans="1:14" x14ac:dyDescent="0.35">
      <c r="A979" t="s">
        <v>45</v>
      </c>
      <c r="B979" t="s">
        <v>46</v>
      </c>
      <c r="C979">
        <v>2024</v>
      </c>
      <c r="D979" t="s">
        <v>28</v>
      </c>
      <c r="E979">
        <v>51370.62</v>
      </c>
      <c r="F979">
        <v>105.7</v>
      </c>
      <c r="G979">
        <v>403</v>
      </c>
      <c r="H979">
        <v>177</v>
      </c>
      <c r="I979" t="s">
        <v>33</v>
      </c>
      <c r="J979">
        <v>5</v>
      </c>
      <c r="K979" t="s">
        <v>22</v>
      </c>
      <c r="L979">
        <v>177642</v>
      </c>
      <c r="M979">
        <v>3.76</v>
      </c>
      <c r="N979" s="6">
        <f t="shared" si="15"/>
        <v>9125579678.0400009</v>
      </c>
    </row>
    <row r="980" spans="1:14" x14ac:dyDescent="0.35">
      <c r="A980" t="s">
        <v>64</v>
      </c>
      <c r="B980" t="s">
        <v>85</v>
      </c>
      <c r="C980">
        <v>2024</v>
      </c>
      <c r="D980" t="s">
        <v>28</v>
      </c>
      <c r="E980">
        <v>73854.83</v>
      </c>
      <c r="F980">
        <v>96.9</v>
      </c>
      <c r="G980">
        <v>322</v>
      </c>
      <c r="H980">
        <v>181</v>
      </c>
      <c r="I980" t="s">
        <v>32</v>
      </c>
      <c r="J980">
        <v>5</v>
      </c>
      <c r="K980" t="s">
        <v>20</v>
      </c>
      <c r="L980">
        <v>33084</v>
      </c>
      <c r="M980">
        <v>3.64</v>
      </c>
      <c r="N980" s="6">
        <f t="shared" si="15"/>
        <v>2443413195.7200003</v>
      </c>
    </row>
    <row r="981" spans="1:14" x14ac:dyDescent="0.35">
      <c r="A981" t="s">
        <v>49</v>
      </c>
      <c r="B981" t="s">
        <v>50</v>
      </c>
      <c r="C981">
        <v>2024</v>
      </c>
      <c r="D981" t="s">
        <v>15</v>
      </c>
      <c r="E981">
        <v>50241.81</v>
      </c>
      <c r="F981">
        <v>101.5</v>
      </c>
      <c r="G981">
        <v>340</v>
      </c>
      <c r="H981">
        <v>193</v>
      </c>
      <c r="I981" t="s">
        <v>21</v>
      </c>
      <c r="J981">
        <v>5</v>
      </c>
      <c r="K981" t="s">
        <v>22</v>
      </c>
      <c r="L981">
        <v>106270</v>
      </c>
      <c r="M981">
        <v>3.67</v>
      </c>
      <c r="N981" s="6">
        <f t="shared" si="15"/>
        <v>5339197148.6999998</v>
      </c>
    </row>
    <row r="982" spans="1:14" x14ac:dyDescent="0.35">
      <c r="A982" t="s">
        <v>49</v>
      </c>
      <c r="B982" t="s">
        <v>60</v>
      </c>
      <c r="C982">
        <v>2024</v>
      </c>
      <c r="D982" t="s">
        <v>15</v>
      </c>
      <c r="E982">
        <v>106647.79</v>
      </c>
      <c r="F982">
        <v>98.5</v>
      </c>
      <c r="G982">
        <v>363</v>
      </c>
      <c r="H982">
        <v>200</v>
      </c>
      <c r="I982" t="s">
        <v>33</v>
      </c>
      <c r="J982">
        <v>5</v>
      </c>
      <c r="K982" t="s">
        <v>17</v>
      </c>
      <c r="L982">
        <v>149654</v>
      </c>
      <c r="M982">
        <v>3.94</v>
      </c>
      <c r="N982" s="6">
        <f t="shared" si="15"/>
        <v>15960268364.66</v>
      </c>
    </row>
    <row r="983" spans="1:14" x14ac:dyDescent="0.35">
      <c r="A983" t="s">
        <v>13</v>
      </c>
      <c r="B983" t="s">
        <v>51</v>
      </c>
      <c r="C983">
        <v>2024</v>
      </c>
      <c r="D983" t="s">
        <v>28</v>
      </c>
      <c r="E983">
        <v>69709.16</v>
      </c>
      <c r="F983">
        <v>99.7</v>
      </c>
      <c r="G983">
        <v>349</v>
      </c>
      <c r="H983">
        <v>184</v>
      </c>
      <c r="I983" t="s">
        <v>16</v>
      </c>
      <c r="J983">
        <v>5</v>
      </c>
      <c r="K983" t="s">
        <v>20</v>
      </c>
      <c r="L983">
        <v>273314</v>
      </c>
      <c r="M983">
        <v>3.79</v>
      </c>
      <c r="N983" s="6">
        <f t="shared" si="15"/>
        <v>19052489356.240002</v>
      </c>
    </row>
    <row r="984" spans="1:14" x14ac:dyDescent="0.35">
      <c r="A984" t="s">
        <v>75</v>
      </c>
      <c r="B984" t="s">
        <v>101</v>
      </c>
      <c r="C984">
        <v>2024</v>
      </c>
      <c r="D984" t="s">
        <v>28</v>
      </c>
      <c r="E984">
        <v>96777.2</v>
      </c>
      <c r="F984">
        <v>98.9</v>
      </c>
      <c r="G984">
        <v>341</v>
      </c>
      <c r="H984">
        <v>179</v>
      </c>
      <c r="I984" t="s">
        <v>32</v>
      </c>
      <c r="J984">
        <v>5</v>
      </c>
      <c r="K984" t="s">
        <v>20</v>
      </c>
      <c r="L984">
        <v>20918</v>
      </c>
      <c r="M984">
        <v>3.83</v>
      </c>
      <c r="N984" s="6">
        <f t="shared" si="15"/>
        <v>2024385469.5999999</v>
      </c>
    </row>
    <row r="985" spans="1:14" x14ac:dyDescent="0.35">
      <c r="A985" t="s">
        <v>29</v>
      </c>
      <c r="B985" t="s">
        <v>30</v>
      </c>
      <c r="C985">
        <v>2024</v>
      </c>
      <c r="D985" t="s">
        <v>15</v>
      </c>
      <c r="E985">
        <v>142117.21</v>
      </c>
      <c r="F985">
        <v>102.9</v>
      </c>
      <c r="G985">
        <v>353</v>
      </c>
      <c r="H985">
        <v>184</v>
      </c>
      <c r="I985" t="s">
        <v>21</v>
      </c>
      <c r="J985">
        <v>5</v>
      </c>
      <c r="K985" t="s">
        <v>17</v>
      </c>
      <c r="L985">
        <v>232616</v>
      </c>
      <c r="M985">
        <v>3.85</v>
      </c>
      <c r="N985" s="6">
        <f t="shared" si="15"/>
        <v>33058736921.359997</v>
      </c>
    </row>
    <row r="986" spans="1:14" x14ac:dyDescent="0.35">
      <c r="A986" t="s">
        <v>73</v>
      </c>
      <c r="B986" t="s">
        <v>91</v>
      </c>
      <c r="C986">
        <v>2024</v>
      </c>
      <c r="D986" t="s">
        <v>28</v>
      </c>
      <c r="E986">
        <v>119324.89</v>
      </c>
      <c r="F986">
        <v>90.9</v>
      </c>
      <c r="G986">
        <v>308</v>
      </c>
      <c r="H986">
        <v>168</v>
      </c>
      <c r="I986" t="s">
        <v>16</v>
      </c>
      <c r="J986">
        <v>5</v>
      </c>
      <c r="K986" t="s">
        <v>17</v>
      </c>
      <c r="L986">
        <v>11219</v>
      </c>
      <c r="M986">
        <v>3.72</v>
      </c>
      <c r="N986" s="6">
        <f t="shared" si="15"/>
        <v>1338705940.9100001</v>
      </c>
    </row>
    <row r="987" spans="1:14" x14ac:dyDescent="0.35">
      <c r="A987" t="s">
        <v>45</v>
      </c>
      <c r="B987" t="s">
        <v>63</v>
      </c>
      <c r="C987">
        <v>2024</v>
      </c>
      <c r="D987" t="s">
        <v>38</v>
      </c>
      <c r="E987">
        <v>45940.66</v>
      </c>
      <c r="F987">
        <v>72.5</v>
      </c>
      <c r="G987">
        <v>255</v>
      </c>
      <c r="H987">
        <v>176</v>
      </c>
      <c r="I987" t="s">
        <v>16</v>
      </c>
      <c r="J987">
        <v>5</v>
      </c>
      <c r="K987" t="s">
        <v>22</v>
      </c>
      <c r="L987">
        <v>114800</v>
      </c>
      <c r="M987">
        <v>3.48</v>
      </c>
      <c r="N987" s="6">
        <f t="shared" si="15"/>
        <v>5273987768</v>
      </c>
    </row>
    <row r="988" spans="1:14" x14ac:dyDescent="0.35">
      <c r="A988" t="s">
        <v>29</v>
      </c>
      <c r="B988" t="s">
        <v>39</v>
      </c>
      <c r="C988">
        <v>2024</v>
      </c>
      <c r="D988" t="s">
        <v>15</v>
      </c>
      <c r="E988">
        <v>62920.59</v>
      </c>
      <c r="F988">
        <v>91</v>
      </c>
      <c r="G988">
        <v>352</v>
      </c>
      <c r="H988">
        <v>184</v>
      </c>
      <c r="I988" t="s">
        <v>25</v>
      </c>
      <c r="J988">
        <v>4</v>
      </c>
      <c r="K988" t="s">
        <v>22</v>
      </c>
      <c r="L988">
        <v>248485</v>
      </c>
      <c r="M988">
        <v>4.42</v>
      </c>
      <c r="N988" s="6">
        <f t="shared" si="15"/>
        <v>15634822806.15</v>
      </c>
    </row>
    <row r="989" spans="1:14" x14ac:dyDescent="0.35">
      <c r="A989" t="s">
        <v>67</v>
      </c>
      <c r="B989" t="s">
        <v>98</v>
      </c>
      <c r="C989">
        <v>2024</v>
      </c>
      <c r="D989" t="s">
        <v>20</v>
      </c>
      <c r="E989">
        <v>130055.6</v>
      </c>
      <c r="F989">
        <v>60.1</v>
      </c>
      <c r="G989">
        <v>232</v>
      </c>
      <c r="H989">
        <v>169</v>
      </c>
      <c r="I989" t="s">
        <v>40</v>
      </c>
      <c r="J989">
        <v>4</v>
      </c>
      <c r="K989" t="s">
        <v>17</v>
      </c>
      <c r="L989">
        <v>44054</v>
      </c>
      <c r="M989">
        <v>3.23</v>
      </c>
      <c r="N989" s="6">
        <f t="shared" si="15"/>
        <v>5729469402.4000006</v>
      </c>
    </row>
    <row r="990" spans="1:14" x14ac:dyDescent="0.35">
      <c r="A990" t="s">
        <v>67</v>
      </c>
      <c r="B990" t="s">
        <v>86</v>
      </c>
      <c r="C990">
        <v>2024</v>
      </c>
      <c r="D990" t="s">
        <v>43</v>
      </c>
      <c r="E990">
        <v>55700.85</v>
      </c>
      <c r="F990">
        <v>69.099999999999994</v>
      </c>
      <c r="G990">
        <v>229</v>
      </c>
      <c r="H990">
        <v>173</v>
      </c>
      <c r="I990" t="s">
        <v>21</v>
      </c>
      <c r="J990">
        <v>4</v>
      </c>
      <c r="K990" t="s">
        <v>22</v>
      </c>
      <c r="L990">
        <v>52734</v>
      </c>
      <c r="M990">
        <v>3.21</v>
      </c>
      <c r="N990" s="6">
        <f t="shared" si="15"/>
        <v>2937328623.9000001</v>
      </c>
    </row>
    <row r="991" spans="1:14" x14ac:dyDescent="0.35">
      <c r="A991" t="s">
        <v>45</v>
      </c>
      <c r="B991" t="s">
        <v>77</v>
      </c>
      <c r="C991">
        <v>2024</v>
      </c>
      <c r="D991" t="s">
        <v>28</v>
      </c>
      <c r="E991">
        <v>75079.649999999994</v>
      </c>
      <c r="F991">
        <v>88.3</v>
      </c>
      <c r="G991">
        <v>299</v>
      </c>
      <c r="H991">
        <v>157</v>
      </c>
      <c r="I991" t="s">
        <v>40</v>
      </c>
      <c r="J991">
        <v>3</v>
      </c>
      <c r="K991" t="s">
        <v>20</v>
      </c>
      <c r="L991">
        <v>149633</v>
      </c>
      <c r="M991">
        <v>3.65</v>
      </c>
      <c r="N991" s="6">
        <f t="shared" si="15"/>
        <v>11234393268.449999</v>
      </c>
    </row>
    <row r="992" spans="1:14" x14ac:dyDescent="0.35">
      <c r="A992" t="s">
        <v>34</v>
      </c>
      <c r="B992" t="s">
        <v>35</v>
      </c>
      <c r="C992">
        <v>2024</v>
      </c>
      <c r="D992" t="s">
        <v>38</v>
      </c>
      <c r="E992">
        <v>126359.58</v>
      </c>
      <c r="F992">
        <v>40.6</v>
      </c>
      <c r="G992">
        <v>150</v>
      </c>
      <c r="H992">
        <v>135</v>
      </c>
      <c r="I992" t="s">
        <v>33</v>
      </c>
      <c r="J992">
        <v>5</v>
      </c>
      <c r="K992" t="s">
        <v>17</v>
      </c>
      <c r="L992">
        <v>31657</v>
      </c>
      <c r="M992">
        <v>3.57</v>
      </c>
      <c r="N992" s="6">
        <f t="shared" si="15"/>
        <v>4000165224.0599999</v>
      </c>
    </row>
    <row r="993" spans="1:14" x14ac:dyDescent="0.35">
      <c r="A993" t="s">
        <v>64</v>
      </c>
      <c r="B993" t="s">
        <v>97</v>
      </c>
      <c r="C993">
        <v>2024</v>
      </c>
      <c r="D993" t="s">
        <v>15</v>
      </c>
      <c r="E993">
        <v>82827.92</v>
      </c>
      <c r="F993">
        <v>98.2</v>
      </c>
      <c r="G993">
        <v>348</v>
      </c>
      <c r="H993">
        <v>195</v>
      </c>
      <c r="I993" t="s">
        <v>32</v>
      </c>
      <c r="J993">
        <v>4</v>
      </c>
      <c r="K993" t="s">
        <v>20</v>
      </c>
      <c r="L993">
        <v>59167</v>
      </c>
      <c r="M993">
        <v>3.9</v>
      </c>
      <c r="N993" s="6">
        <f t="shared" si="15"/>
        <v>4900679542.6400003</v>
      </c>
    </row>
    <row r="994" spans="1:14" x14ac:dyDescent="0.35">
      <c r="A994" t="s">
        <v>13</v>
      </c>
      <c r="B994" t="s">
        <v>66</v>
      </c>
      <c r="C994">
        <v>2024</v>
      </c>
      <c r="D994" t="s">
        <v>43</v>
      </c>
      <c r="E994">
        <v>38832.160000000003</v>
      </c>
      <c r="F994">
        <v>66.3</v>
      </c>
      <c r="G994">
        <v>221</v>
      </c>
      <c r="H994">
        <v>145</v>
      </c>
      <c r="I994" t="s">
        <v>21</v>
      </c>
      <c r="J994">
        <v>5</v>
      </c>
      <c r="K994" t="s">
        <v>22</v>
      </c>
      <c r="L994">
        <v>256517</v>
      </c>
      <c r="M994">
        <v>3.43</v>
      </c>
      <c r="N994" s="6">
        <f t="shared" si="15"/>
        <v>9961109186.7200012</v>
      </c>
    </row>
    <row r="995" spans="1:14" x14ac:dyDescent="0.35">
      <c r="A995" t="s">
        <v>29</v>
      </c>
      <c r="B995" t="s">
        <v>53</v>
      </c>
      <c r="C995">
        <v>2024</v>
      </c>
      <c r="D995" t="s">
        <v>43</v>
      </c>
      <c r="E995">
        <v>125176.94</v>
      </c>
      <c r="F995">
        <v>68.400000000000006</v>
      </c>
      <c r="G995">
        <v>258</v>
      </c>
      <c r="H995">
        <v>154</v>
      </c>
      <c r="I995" t="s">
        <v>16</v>
      </c>
      <c r="J995">
        <v>5</v>
      </c>
      <c r="K995" t="s">
        <v>17</v>
      </c>
      <c r="L995">
        <v>162760</v>
      </c>
      <c r="M995">
        <v>3.82</v>
      </c>
      <c r="N995" s="6">
        <f t="shared" si="15"/>
        <v>20373798754.400002</v>
      </c>
    </row>
    <row r="996" spans="1:14" x14ac:dyDescent="0.35">
      <c r="A996" t="s">
        <v>23</v>
      </c>
      <c r="B996" t="s">
        <v>37</v>
      </c>
      <c r="C996">
        <v>2024</v>
      </c>
      <c r="D996" t="s">
        <v>28</v>
      </c>
      <c r="E996">
        <v>46760.47</v>
      </c>
      <c r="F996">
        <v>102.4</v>
      </c>
      <c r="G996">
        <v>343</v>
      </c>
      <c r="H996">
        <v>195</v>
      </c>
      <c r="I996" t="s">
        <v>33</v>
      </c>
      <c r="J996">
        <v>4</v>
      </c>
      <c r="K996" t="s">
        <v>22</v>
      </c>
      <c r="L996">
        <v>22048</v>
      </c>
      <c r="M996">
        <v>3.73</v>
      </c>
      <c r="N996" s="6">
        <f t="shared" si="15"/>
        <v>1030974842.5600001</v>
      </c>
    </row>
    <row r="997" spans="1:14" x14ac:dyDescent="0.35">
      <c r="A997" t="s">
        <v>34</v>
      </c>
      <c r="B997" t="s">
        <v>84</v>
      </c>
      <c r="C997">
        <v>2024</v>
      </c>
      <c r="D997" t="s">
        <v>20</v>
      </c>
      <c r="E997">
        <v>134953.72</v>
      </c>
      <c r="F997">
        <v>64.8</v>
      </c>
      <c r="G997">
        <v>248</v>
      </c>
      <c r="H997">
        <v>167</v>
      </c>
      <c r="I997" t="s">
        <v>25</v>
      </c>
      <c r="J997">
        <v>5</v>
      </c>
      <c r="K997" t="s">
        <v>17</v>
      </c>
      <c r="L997">
        <v>76804</v>
      </c>
      <c r="M997">
        <v>3.93</v>
      </c>
      <c r="N997" s="6">
        <f t="shared" si="15"/>
        <v>10364985510.879999</v>
      </c>
    </row>
    <row r="998" spans="1:14" x14ac:dyDescent="0.35">
      <c r="A998" t="s">
        <v>26</v>
      </c>
      <c r="B998" t="s">
        <v>36</v>
      </c>
      <c r="C998">
        <v>2024</v>
      </c>
      <c r="D998" t="s">
        <v>28</v>
      </c>
      <c r="E998">
        <v>56059.51</v>
      </c>
      <c r="F998">
        <v>98</v>
      </c>
      <c r="G998">
        <v>327</v>
      </c>
      <c r="H998">
        <v>163</v>
      </c>
      <c r="I998" t="s">
        <v>33</v>
      </c>
      <c r="J998">
        <v>5</v>
      </c>
      <c r="K998" t="s">
        <v>22</v>
      </c>
      <c r="L998">
        <v>117679</v>
      </c>
      <c r="M998">
        <v>3.63</v>
      </c>
      <c r="N998" s="6">
        <f t="shared" si="15"/>
        <v>6597027077.29</v>
      </c>
    </row>
    <row r="999" spans="1:14" x14ac:dyDescent="0.35">
      <c r="A999" t="s">
        <v>49</v>
      </c>
      <c r="B999" t="s">
        <v>87</v>
      </c>
      <c r="C999">
        <v>2024</v>
      </c>
      <c r="D999" t="s">
        <v>43</v>
      </c>
      <c r="E999">
        <v>60016.36</v>
      </c>
      <c r="F999">
        <v>71</v>
      </c>
      <c r="G999">
        <v>273</v>
      </c>
      <c r="H999">
        <v>164</v>
      </c>
      <c r="I999" t="s">
        <v>33</v>
      </c>
      <c r="J999">
        <v>5</v>
      </c>
      <c r="K999" t="s">
        <v>22</v>
      </c>
      <c r="L999">
        <v>80671</v>
      </c>
      <c r="M999">
        <v>3.31</v>
      </c>
      <c r="N999" s="6">
        <f t="shared" si="15"/>
        <v>4841579777.5600004</v>
      </c>
    </row>
    <row r="1000" spans="1:14" x14ac:dyDescent="0.35">
      <c r="A1000" t="s">
        <v>80</v>
      </c>
      <c r="B1000" t="s">
        <v>81</v>
      </c>
      <c r="C1000">
        <v>2024</v>
      </c>
      <c r="D1000" t="s">
        <v>20</v>
      </c>
      <c r="E1000">
        <v>184202.43</v>
      </c>
      <c r="F1000">
        <v>79.3</v>
      </c>
      <c r="G1000">
        <v>290</v>
      </c>
      <c r="H1000">
        <v>154</v>
      </c>
      <c r="I1000" t="s">
        <v>33</v>
      </c>
      <c r="J1000">
        <v>5</v>
      </c>
      <c r="K1000" t="s">
        <v>17</v>
      </c>
      <c r="L1000">
        <v>14726</v>
      </c>
      <c r="M1000">
        <v>3.66</v>
      </c>
      <c r="N1000" s="6">
        <f t="shared" si="15"/>
        <v>2712564984.1799998</v>
      </c>
    </row>
    <row r="1001" spans="1:14" x14ac:dyDescent="0.35">
      <c r="A1001" t="s">
        <v>13</v>
      </c>
      <c r="B1001" t="s">
        <v>55</v>
      </c>
      <c r="C1001">
        <v>2024</v>
      </c>
      <c r="D1001" t="s">
        <v>28</v>
      </c>
      <c r="E1001">
        <v>52456.57</v>
      </c>
      <c r="F1001">
        <v>106.8</v>
      </c>
      <c r="G1001">
        <v>377</v>
      </c>
      <c r="H1001">
        <v>177</v>
      </c>
      <c r="I1001" t="s">
        <v>21</v>
      </c>
      <c r="J1001">
        <v>4</v>
      </c>
      <c r="K1001" t="s">
        <v>22</v>
      </c>
      <c r="L1001">
        <v>214608</v>
      </c>
      <c r="M1001">
        <v>3.82</v>
      </c>
      <c r="N1001" s="6">
        <f t="shared" si="15"/>
        <v>11257599574.559999</v>
      </c>
    </row>
    <row r="1002" spans="1:14" x14ac:dyDescent="0.35">
      <c r="A1002" t="s">
        <v>26</v>
      </c>
      <c r="B1002" t="s">
        <v>36</v>
      </c>
      <c r="C1002">
        <v>2024</v>
      </c>
      <c r="D1002" t="s">
        <v>28</v>
      </c>
      <c r="E1002">
        <v>82833.740000000005</v>
      </c>
      <c r="F1002">
        <v>107.6</v>
      </c>
      <c r="G1002">
        <v>375</v>
      </c>
      <c r="H1002">
        <v>173</v>
      </c>
      <c r="I1002" t="s">
        <v>16</v>
      </c>
      <c r="J1002">
        <v>4</v>
      </c>
      <c r="K1002" t="s">
        <v>20</v>
      </c>
      <c r="L1002">
        <v>98307</v>
      </c>
      <c r="M1002">
        <v>3.67</v>
      </c>
      <c r="N1002" s="6">
        <f t="shared" si="15"/>
        <v>8143136478.1800003</v>
      </c>
    </row>
    <row r="1003" spans="1:14" x14ac:dyDescent="0.35">
      <c r="A1003" t="s">
        <v>45</v>
      </c>
      <c r="B1003" t="s">
        <v>77</v>
      </c>
      <c r="C1003">
        <v>2024</v>
      </c>
      <c r="D1003" t="s">
        <v>20</v>
      </c>
      <c r="E1003">
        <v>104505.82</v>
      </c>
      <c r="F1003">
        <v>41.7</v>
      </c>
      <c r="G1003">
        <v>159</v>
      </c>
      <c r="H1003">
        <v>153</v>
      </c>
      <c r="I1003" t="s">
        <v>32</v>
      </c>
      <c r="J1003">
        <v>5</v>
      </c>
      <c r="K1003" t="s">
        <v>17</v>
      </c>
      <c r="L1003">
        <v>111020</v>
      </c>
      <c r="M1003">
        <v>3.1</v>
      </c>
      <c r="N1003" s="6">
        <f t="shared" si="15"/>
        <v>11602236136.400002</v>
      </c>
    </row>
    <row r="1004" spans="1:14" x14ac:dyDescent="0.35">
      <c r="A1004" t="s">
        <v>45</v>
      </c>
      <c r="B1004" t="s">
        <v>77</v>
      </c>
      <c r="C1004">
        <v>2024</v>
      </c>
      <c r="D1004" t="s">
        <v>28</v>
      </c>
      <c r="E1004">
        <v>51538.03</v>
      </c>
      <c r="F1004">
        <v>99.3</v>
      </c>
      <c r="G1004">
        <v>365</v>
      </c>
      <c r="H1004">
        <v>175</v>
      </c>
      <c r="I1004" t="s">
        <v>21</v>
      </c>
      <c r="J1004">
        <v>5</v>
      </c>
      <c r="K1004" t="s">
        <v>22</v>
      </c>
      <c r="L1004">
        <v>188274</v>
      </c>
      <c r="M1004">
        <v>3.73</v>
      </c>
      <c r="N1004" s="6">
        <f t="shared" si="15"/>
        <v>9703271060.2199993</v>
      </c>
    </row>
    <row r="1005" spans="1:14" x14ac:dyDescent="0.35">
      <c r="A1005" t="s">
        <v>45</v>
      </c>
      <c r="B1005" t="s">
        <v>48</v>
      </c>
      <c r="C1005">
        <v>2024</v>
      </c>
      <c r="D1005" t="s">
        <v>38</v>
      </c>
      <c r="E1005">
        <v>19083.54</v>
      </c>
      <c r="F1005">
        <v>44.4</v>
      </c>
      <c r="G1005">
        <v>151</v>
      </c>
      <c r="H1005">
        <v>141</v>
      </c>
      <c r="I1005" t="s">
        <v>16</v>
      </c>
      <c r="J1005">
        <v>4</v>
      </c>
      <c r="K1005" t="s">
        <v>47</v>
      </c>
      <c r="L1005">
        <v>216310</v>
      </c>
      <c r="M1005">
        <v>3.28</v>
      </c>
      <c r="N1005" s="6">
        <f t="shared" si="15"/>
        <v>4127960537.4000001</v>
      </c>
    </row>
    <row r="1006" spans="1:14" x14ac:dyDescent="0.35">
      <c r="A1006" t="s">
        <v>29</v>
      </c>
      <c r="B1006" t="s">
        <v>31</v>
      </c>
      <c r="C1006">
        <v>2024</v>
      </c>
      <c r="D1006" t="s">
        <v>15</v>
      </c>
      <c r="E1006">
        <v>37255.18</v>
      </c>
      <c r="F1006">
        <v>113.7</v>
      </c>
      <c r="G1006">
        <v>383</v>
      </c>
      <c r="H1006">
        <v>200</v>
      </c>
      <c r="I1006" t="s">
        <v>21</v>
      </c>
      <c r="J1006">
        <v>5</v>
      </c>
      <c r="K1006" t="s">
        <v>22</v>
      </c>
      <c r="L1006">
        <v>451073</v>
      </c>
      <c r="M1006">
        <v>4.2300000000000004</v>
      </c>
      <c r="N1006" s="6">
        <f t="shared" si="15"/>
        <v>16804805808.139999</v>
      </c>
    </row>
    <row r="1007" spans="1:14" x14ac:dyDescent="0.35">
      <c r="A1007" t="s">
        <v>45</v>
      </c>
      <c r="B1007" t="s">
        <v>46</v>
      </c>
      <c r="C1007">
        <v>2024</v>
      </c>
      <c r="D1007" t="s">
        <v>20</v>
      </c>
      <c r="E1007">
        <v>51226.67</v>
      </c>
      <c r="F1007">
        <v>79.599999999999994</v>
      </c>
      <c r="G1007">
        <v>271</v>
      </c>
      <c r="H1007">
        <v>167</v>
      </c>
      <c r="I1007" t="s">
        <v>40</v>
      </c>
      <c r="J1007">
        <v>5</v>
      </c>
      <c r="K1007" t="s">
        <v>22</v>
      </c>
      <c r="L1007">
        <v>143773</v>
      </c>
      <c r="M1007">
        <v>3.5</v>
      </c>
      <c r="N1007" s="6">
        <f t="shared" si="15"/>
        <v>7365012025.9099998</v>
      </c>
    </row>
    <row r="1008" spans="1:14" x14ac:dyDescent="0.35">
      <c r="A1008" t="s">
        <v>64</v>
      </c>
      <c r="B1008" t="s">
        <v>95</v>
      </c>
      <c r="C1008">
        <v>2024</v>
      </c>
      <c r="D1008" t="s">
        <v>43</v>
      </c>
      <c r="E1008">
        <v>70389.460000000006</v>
      </c>
      <c r="F1008">
        <v>59.8</v>
      </c>
      <c r="G1008">
        <v>217</v>
      </c>
      <c r="H1008">
        <v>142</v>
      </c>
      <c r="I1008" t="s">
        <v>33</v>
      </c>
      <c r="J1008">
        <v>5</v>
      </c>
      <c r="K1008" t="s">
        <v>20</v>
      </c>
      <c r="L1008">
        <v>76685</v>
      </c>
      <c r="M1008">
        <v>3.38</v>
      </c>
      <c r="N1008" s="6">
        <f t="shared" si="15"/>
        <v>5397815740.1000004</v>
      </c>
    </row>
    <row r="1009" spans="1:14" x14ac:dyDescent="0.35">
      <c r="A1009" t="s">
        <v>26</v>
      </c>
      <c r="B1009" t="s">
        <v>96</v>
      </c>
      <c r="C1009">
        <v>2024</v>
      </c>
      <c r="D1009" t="s">
        <v>43</v>
      </c>
      <c r="E1009">
        <v>31230.720000000001</v>
      </c>
      <c r="F1009">
        <v>71.7</v>
      </c>
      <c r="G1009">
        <v>250</v>
      </c>
      <c r="H1009">
        <v>164</v>
      </c>
      <c r="I1009" t="s">
        <v>40</v>
      </c>
      <c r="J1009">
        <v>5</v>
      </c>
      <c r="K1009" t="s">
        <v>47</v>
      </c>
      <c r="L1009">
        <v>74025</v>
      </c>
      <c r="M1009">
        <v>3.37</v>
      </c>
      <c r="N1009" s="6">
        <f t="shared" si="15"/>
        <v>2311854048</v>
      </c>
    </row>
    <row r="1010" spans="1:14" x14ac:dyDescent="0.35">
      <c r="A1010" t="s">
        <v>29</v>
      </c>
      <c r="B1010" t="s">
        <v>53</v>
      </c>
      <c r="C1010">
        <v>2024</v>
      </c>
      <c r="D1010" t="s">
        <v>20</v>
      </c>
      <c r="E1010">
        <v>148667.6</v>
      </c>
      <c r="F1010">
        <v>71.3</v>
      </c>
      <c r="G1010">
        <v>250</v>
      </c>
      <c r="H1010">
        <v>135</v>
      </c>
      <c r="I1010" t="s">
        <v>16</v>
      </c>
      <c r="J1010">
        <v>5</v>
      </c>
      <c r="K1010" t="s">
        <v>17</v>
      </c>
      <c r="L1010">
        <v>117109</v>
      </c>
      <c r="M1010">
        <v>3.79</v>
      </c>
      <c r="N1010" s="6">
        <f t="shared" si="15"/>
        <v>17410313968.400002</v>
      </c>
    </row>
    <row r="1011" spans="1:14" x14ac:dyDescent="0.35">
      <c r="A1011" t="s">
        <v>57</v>
      </c>
      <c r="B1011" t="s">
        <v>58</v>
      </c>
      <c r="C1011">
        <v>2024</v>
      </c>
      <c r="D1011" t="s">
        <v>38</v>
      </c>
      <c r="E1011">
        <v>38196.949999999997</v>
      </c>
      <c r="F1011">
        <v>78.2</v>
      </c>
      <c r="G1011">
        <v>261</v>
      </c>
      <c r="H1011">
        <v>160</v>
      </c>
      <c r="I1011" t="s">
        <v>32</v>
      </c>
      <c r="J1011">
        <v>5</v>
      </c>
      <c r="K1011" t="s">
        <v>22</v>
      </c>
      <c r="L1011">
        <v>25281</v>
      </c>
      <c r="M1011">
        <v>3.55</v>
      </c>
      <c r="N1011" s="6">
        <f t="shared" si="15"/>
        <v>965657092.94999993</v>
      </c>
    </row>
    <row r="1012" spans="1:14" x14ac:dyDescent="0.35">
      <c r="A1012" t="s">
        <v>45</v>
      </c>
      <c r="B1012" t="s">
        <v>63</v>
      </c>
      <c r="C1012">
        <v>2024</v>
      </c>
      <c r="D1012" t="s">
        <v>28</v>
      </c>
      <c r="E1012">
        <v>77872.95</v>
      </c>
      <c r="F1012">
        <v>95.8</v>
      </c>
      <c r="G1012">
        <v>343</v>
      </c>
      <c r="H1012">
        <v>164</v>
      </c>
      <c r="I1012" t="s">
        <v>21</v>
      </c>
      <c r="J1012">
        <v>4</v>
      </c>
      <c r="K1012" t="s">
        <v>20</v>
      </c>
      <c r="L1012">
        <v>152424</v>
      </c>
      <c r="M1012">
        <v>3.65</v>
      </c>
      <c r="N1012" s="6">
        <f t="shared" si="15"/>
        <v>11869706530.799999</v>
      </c>
    </row>
    <row r="1013" spans="1:14" x14ac:dyDescent="0.35">
      <c r="A1013" t="s">
        <v>34</v>
      </c>
      <c r="B1013" t="s">
        <v>35</v>
      </c>
      <c r="C1013">
        <v>2024</v>
      </c>
      <c r="D1013" t="s">
        <v>20</v>
      </c>
      <c r="E1013">
        <v>200859.77</v>
      </c>
      <c r="F1013">
        <v>65.8</v>
      </c>
      <c r="G1013">
        <v>222</v>
      </c>
      <c r="H1013">
        <v>178</v>
      </c>
      <c r="I1013" t="s">
        <v>32</v>
      </c>
      <c r="J1013">
        <v>5</v>
      </c>
      <c r="K1013" t="s">
        <v>17</v>
      </c>
      <c r="L1013">
        <v>50870</v>
      </c>
      <c r="M1013">
        <v>3.8</v>
      </c>
      <c r="N1013" s="6">
        <f t="shared" si="15"/>
        <v>10217736499.9</v>
      </c>
    </row>
    <row r="1014" spans="1:14" x14ac:dyDescent="0.35">
      <c r="A1014" t="s">
        <v>34</v>
      </c>
      <c r="B1014" t="s">
        <v>35</v>
      </c>
      <c r="C1014">
        <v>2024</v>
      </c>
      <c r="D1014" t="s">
        <v>38</v>
      </c>
      <c r="E1014">
        <v>111876</v>
      </c>
      <c r="F1014">
        <v>48.8</v>
      </c>
      <c r="G1014">
        <v>150</v>
      </c>
      <c r="H1014">
        <v>153</v>
      </c>
      <c r="I1014" t="s">
        <v>40</v>
      </c>
      <c r="J1014">
        <v>4</v>
      </c>
      <c r="K1014" t="s">
        <v>17</v>
      </c>
      <c r="L1014">
        <v>36359</v>
      </c>
      <c r="M1014">
        <v>3.55</v>
      </c>
      <c r="N1014" s="6">
        <f t="shared" si="15"/>
        <v>4067699484</v>
      </c>
    </row>
    <row r="1015" spans="1:14" x14ac:dyDescent="0.35">
      <c r="A1015" t="s">
        <v>57</v>
      </c>
      <c r="B1015" t="s">
        <v>72</v>
      </c>
      <c r="C1015">
        <v>2024</v>
      </c>
      <c r="D1015" t="s">
        <v>15</v>
      </c>
      <c r="E1015">
        <v>106766.97</v>
      </c>
      <c r="F1015">
        <v>109.9</v>
      </c>
      <c r="G1015">
        <v>376</v>
      </c>
      <c r="H1015">
        <v>200</v>
      </c>
      <c r="I1015" t="s">
        <v>16</v>
      </c>
      <c r="J1015">
        <v>4</v>
      </c>
      <c r="K1015" t="s">
        <v>17</v>
      </c>
      <c r="L1015">
        <v>44309</v>
      </c>
      <c r="M1015">
        <v>3.77</v>
      </c>
      <c r="N1015" s="6">
        <f t="shared" si="15"/>
        <v>4730737673.7300005</v>
      </c>
    </row>
    <row r="1016" spans="1:14" x14ac:dyDescent="0.35">
      <c r="A1016" t="s">
        <v>29</v>
      </c>
      <c r="B1016" t="s">
        <v>59</v>
      </c>
      <c r="C1016">
        <v>2024</v>
      </c>
      <c r="D1016" t="s">
        <v>38</v>
      </c>
      <c r="E1016">
        <v>78351.88</v>
      </c>
      <c r="F1016">
        <v>83.5</v>
      </c>
      <c r="G1016">
        <v>303</v>
      </c>
      <c r="H1016">
        <v>152</v>
      </c>
      <c r="I1016" t="s">
        <v>16</v>
      </c>
      <c r="J1016">
        <v>5</v>
      </c>
      <c r="K1016" t="s">
        <v>20</v>
      </c>
      <c r="L1016">
        <v>135414</v>
      </c>
      <c r="M1016">
        <v>3.99</v>
      </c>
      <c r="N1016" s="6">
        <f t="shared" si="15"/>
        <v>10609941478.32</v>
      </c>
    </row>
    <row r="1017" spans="1:14" x14ac:dyDescent="0.35">
      <c r="A1017" t="s">
        <v>13</v>
      </c>
      <c r="B1017" t="s">
        <v>51</v>
      </c>
      <c r="C1017">
        <v>2024</v>
      </c>
      <c r="D1017" t="s">
        <v>43</v>
      </c>
      <c r="E1017">
        <v>45113.98</v>
      </c>
      <c r="F1017">
        <v>80.8</v>
      </c>
      <c r="G1017">
        <v>294</v>
      </c>
      <c r="H1017">
        <v>140</v>
      </c>
      <c r="I1017" t="s">
        <v>40</v>
      </c>
      <c r="J1017">
        <v>4</v>
      </c>
      <c r="K1017" t="s">
        <v>22</v>
      </c>
      <c r="L1017">
        <v>248569</v>
      </c>
      <c r="M1017">
        <v>3.75</v>
      </c>
      <c r="N1017" s="6">
        <f t="shared" si="15"/>
        <v>11213936894.620001</v>
      </c>
    </row>
    <row r="1018" spans="1:14" x14ac:dyDescent="0.35">
      <c r="A1018" t="s">
        <v>29</v>
      </c>
      <c r="B1018" t="s">
        <v>31</v>
      </c>
      <c r="C1018">
        <v>2024</v>
      </c>
      <c r="D1018" t="s">
        <v>38</v>
      </c>
      <c r="E1018">
        <v>117810.94</v>
      </c>
      <c r="F1018">
        <v>78.099999999999994</v>
      </c>
      <c r="G1018">
        <v>253</v>
      </c>
      <c r="H1018">
        <v>162</v>
      </c>
      <c r="I1018" t="s">
        <v>33</v>
      </c>
      <c r="J1018">
        <v>4</v>
      </c>
      <c r="K1018" t="s">
        <v>17</v>
      </c>
      <c r="L1018">
        <v>402141</v>
      </c>
      <c r="M1018">
        <v>4.01</v>
      </c>
      <c r="N1018" s="6">
        <f t="shared" si="15"/>
        <v>47376609222.540001</v>
      </c>
    </row>
    <row r="1019" spans="1:14" x14ac:dyDescent="0.35">
      <c r="A1019" t="s">
        <v>13</v>
      </c>
      <c r="B1019" t="s">
        <v>51</v>
      </c>
      <c r="C1019">
        <v>2024</v>
      </c>
      <c r="D1019" t="s">
        <v>28</v>
      </c>
      <c r="E1019">
        <v>69646.080000000002</v>
      </c>
      <c r="F1019">
        <v>82.9</v>
      </c>
      <c r="G1019">
        <v>303</v>
      </c>
      <c r="H1019">
        <v>175</v>
      </c>
      <c r="I1019" t="s">
        <v>33</v>
      </c>
      <c r="J1019">
        <v>4</v>
      </c>
      <c r="K1019" t="s">
        <v>20</v>
      </c>
      <c r="L1019">
        <v>292447</v>
      </c>
      <c r="M1019">
        <v>3.87</v>
      </c>
      <c r="N1019" s="6">
        <f t="shared" si="15"/>
        <v>20367787157.760002</v>
      </c>
    </row>
    <row r="1020" spans="1:14" x14ac:dyDescent="0.35">
      <c r="A1020" t="s">
        <v>49</v>
      </c>
      <c r="B1020" t="s">
        <v>71</v>
      </c>
      <c r="C1020">
        <v>2024</v>
      </c>
      <c r="D1020" t="s">
        <v>15</v>
      </c>
      <c r="E1020">
        <v>44796.76</v>
      </c>
      <c r="F1020">
        <v>104.6</v>
      </c>
      <c r="G1020">
        <v>359</v>
      </c>
      <c r="H1020">
        <v>200</v>
      </c>
      <c r="I1020" t="s">
        <v>40</v>
      </c>
      <c r="J1020">
        <v>5</v>
      </c>
      <c r="K1020" t="s">
        <v>22</v>
      </c>
      <c r="L1020">
        <v>113793</v>
      </c>
      <c r="M1020">
        <v>4.03</v>
      </c>
      <c r="N1020" s="6">
        <f t="shared" si="15"/>
        <v>5097557710.6800003</v>
      </c>
    </row>
    <row r="1021" spans="1:14" x14ac:dyDescent="0.35">
      <c r="A1021" t="s">
        <v>102</v>
      </c>
      <c r="B1021" t="s">
        <v>103</v>
      </c>
      <c r="C1021">
        <v>2024</v>
      </c>
      <c r="D1021" t="s">
        <v>43</v>
      </c>
      <c r="E1021">
        <v>75390.600000000006</v>
      </c>
      <c r="F1021">
        <v>43.1</v>
      </c>
      <c r="G1021">
        <v>156</v>
      </c>
      <c r="H1021">
        <v>135</v>
      </c>
      <c r="I1021" t="s">
        <v>25</v>
      </c>
      <c r="J1021">
        <v>5</v>
      </c>
      <c r="K1021" t="s">
        <v>20</v>
      </c>
      <c r="L1021">
        <v>16760</v>
      </c>
      <c r="M1021">
        <v>3.31</v>
      </c>
      <c r="N1021" s="6">
        <f t="shared" si="15"/>
        <v>1263546456</v>
      </c>
    </row>
    <row r="1022" spans="1:14" x14ac:dyDescent="0.35">
      <c r="A1022" t="s">
        <v>34</v>
      </c>
      <c r="B1022" t="s">
        <v>44</v>
      </c>
      <c r="C1022">
        <v>2024</v>
      </c>
      <c r="D1022" t="s">
        <v>28</v>
      </c>
      <c r="E1022">
        <v>95795.03</v>
      </c>
      <c r="F1022">
        <v>93.8</v>
      </c>
      <c r="G1022">
        <v>354</v>
      </c>
      <c r="H1022">
        <v>177</v>
      </c>
      <c r="I1022" t="s">
        <v>16</v>
      </c>
      <c r="J1022">
        <v>3</v>
      </c>
      <c r="K1022" t="s">
        <v>20</v>
      </c>
      <c r="L1022">
        <v>37523</v>
      </c>
      <c r="M1022">
        <v>4.16</v>
      </c>
      <c r="N1022" s="6">
        <f t="shared" si="15"/>
        <v>3594516910.6900001</v>
      </c>
    </row>
    <row r="1023" spans="1:14" x14ac:dyDescent="0.35">
      <c r="A1023" t="s">
        <v>45</v>
      </c>
      <c r="B1023" t="s">
        <v>54</v>
      </c>
      <c r="C1023">
        <v>2024</v>
      </c>
      <c r="D1023" t="s">
        <v>28</v>
      </c>
      <c r="E1023">
        <v>65610.36</v>
      </c>
      <c r="F1023">
        <v>86.2</v>
      </c>
      <c r="G1023">
        <v>270</v>
      </c>
      <c r="H1023">
        <v>176</v>
      </c>
      <c r="I1023" t="s">
        <v>32</v>
      </c>
      <c r="J1023">
        <v>5</v>
      </c>
      <c r="K1023" t="s">
        <v>20</v>
      </c>
      <c r="L1023">
        <v>239905</v>
      </c>
      <c r="M1023">
        <v>3.59</v>
      </c>
      <c r="N1023" s="6">
        <f t="shared" si="15"/>
        <v>15740253415.799999</v>
      </c>
    </row>
    <row r="1024" spans="1:14" x14ac:dyDescent="0.35">
      <c r="A1024" t="s">
        <v>75</v>
      </c>
      <c r="B1024" t="s">
        <v>108</v>
      </c>
      <c r="C1024">
        <v>2024</v>
      </c>
      <c r="D1024" t="s">
        <v>43</v>
      </c>
      <c r="E1024">
        <v>85223.91</v>
      </c>
      <c r="F1024">
        <v>55.2</v>
      </c>
      <c r="G1024">
        <v>206</v>
      </c>
      <c r="H1024">
        <v>146</v>
      </c>
      <c r="I1024" t="s">
        <v>33</v>
      </c>
      <c r="J1024">
        <v>5</v>
      </c>
      <c r="K1024" t="s">
        <v>20</v>
      </c>
      <c r="L1024">
        <v>18207</v>
      </c>
      <c r="M1024">
        <v>3.15</v>
      </c>
      <c r="N1024" s="6">
        <f t="shared" si="15"/>
        <v>1551671729.3700001</v>
      </c>
    </row>
    <row r="1025" spans="1:14" x14ac:dyDescent="0.35">
      <c r="A1025" t="s">
        <v>57</v>
      </c>
      <c r="B1025" t="s">
        <v>79</v>
      </c>
      <c r="C1025">
        <v>2024</v>
      </c>
      <c r="D1025" t="s">
        <v>28</v>
      </c>
      <c r="E1025">
        <v>93391.97</v>
      </c>
      <c r="F1025">
        <v>96.9</v>
      </c>
      <c r="G1025">
        <v>328</v>
      </c>
      <c r="H1025">
        <v>188</v>
      </c>
      <c r="I1025" t="s">
        <v>25</v>
      </c>
      <c r="J1025">
        <v>4</v>
      </c>
      <c r="K1025" t="s">
        <v>20</v>
      </c>
      <c r="L1025">
        <v>53055</v>
      </c>
      <c r="M1025">
        <v>3.46</v>
      </c>
      <c r="N1025" s="6">
        <f t="shared" si="15"/>
        <v>4954910968.3500004</v>
      </c>
    </row>
    <row r="1026" spans="1:14" x14ac:dyDescent="0.35">
      <c r="A1026" t="s">
        <v>67</v>
      </c>
      <c r="B1026" t="s">
        <v>86</v>
      </c>
      <c r="C1026">
        <v>2024</v>
      </c>
      <c r="D1026" t="s">
        <v>38</v>
      </c>
      <c r="E1026">
        <v>68629.02</v>
      </c>
      <c r="F1026">
        <v>66.7</v>
      </c>
      <c r="G1026">
        <v>254</v>
      </c>
      <c r="H1026">
        <v>173</v>
      </c>
      <c r="I1026" t="s">
        <v>40</v>
      </c>
      <c r="J1026">
        <v>5</v>
      </c>
      <c r="K1026" t="s">
        <v>20</v>
      </c>
      <c r="L1026">
        <v>32172</v>
      </c>
      <c r="M1026">
        <v>3.58</v>
      </c>
      <c r="N1026" s="6">
        <f t="shared" ref="N1026:N1089" si="16">E1026*L1026</f>
        <v>2207932831.4400001</v>
      </c>
    </row>
    <row r="1027" spans="1:14" x14ac:dyDescent="0.35">
      <c r="A1027" t="s">
        <v>57</v>
      </c>
      <c r="B1027" t="s">
        <v>62</v>
      </c>
      <c r="C1027">
        <v>2024</v>
      </c>
      <c r="D1027" t="s">
        <v>15</v>
      </c>
      <c r="E1027">
        <v>115288.59</v>
      </c>
      <c r="F1027">
        <v>81.599999999999994</v>
      </c>
      <c r="G1027">
        <v>287</v>
      </c>
      <c r="H1027">
        <v>191</v>
      </c>
      <c r="I1027" t="s">
        <v>32</v>
      </c>
      <c r="J1027">
        <v>5</v>
      </c>
      <c r="K1027" t="s">
        <v>17</v>
      </c>
      <c r="L1027">
        <v>28651</v>
      </c>
      <c r="M1027">
        <v>3.57</v>
      </c>
      <c r="N1027" s="6">
        <f t="shared" si="16"/>
        <v>3303133392.0899997</v>
      </c>
    </row>
    <row r="1028" spans="1:14" x14ac:dyDescent="0.35">
      <c r="A1028" t="s">
        <v>45</v>
      </c>
      <c r="B1028" t="s">
        <v>54</v>
      </c>
      <c r="C1028">
        <v>2024</v>
      </c>
      <c r="D1028" t="s">
        <v>43</v>
      </c>
      <c r="E1028">
        <v>42922.38</v>
      </c>
      <c r="F1028">
        <v>65.7</v>
      </c>
      <c r="G1028">
        <v>235</v>
      </c>
      <c r="H1028">
        <v>155</v>
      </c>
      <c r="I1028" t="s">
        <v>25</v>
      </c>
      <c r="J1028">
        <v>5</v>
      </c>
      <c r="K1028" t="s">
        <v>22</v>
      </c>
      <c r="L1028">
        <v>109861</v>
      </c>
      <c r="M1028">
        <v>3.54</v>
      </c>
      <c r="N1028" s="6">
        <f t="shared" si="16"/>
        <v>4715495589.1799994</v>
      </c>
    </row>
    <row r="1029" spans="1:14" x14ac:dyDescent="0.35">
      <c r="A1029" t="s">
        <v>104</v>
      </c>
      <c r="B1029" t="s">
        <v>105</v>
      </c>
      <c r="C1029">
        <v>2024</v>
      </c>
      <c r="D1029" t="s">
        <v>15</v>
      </c>
      <c r="E1029">
        <v>156097.01999999999</v>
      </c>
      <c r="F1029">
        <v>97.8</v>
      </c>
      <c r="G1029">
        <v>351</v>
      </c>
      <c r="H1029">
        <v>196</v>
      </c>
      <c r="I1029" t="s">
        <v>21</v>
      </c>
      <c r="J1029">
        <v>4</v>
      </c>
      <c r="K1029" t="s">
        <v>17</v>
      </c>
      <c r="L1029">
        <v>13230</v>
      </c>
      <c r="M1029">
        <v>3.53</v>
      </c>
      <c r="N1029" s="6">
        <f t="shared" si="16"/>
        <v>2065163574.5999999</v>
      </c>
    </row>
    <row r="1030" spans="1:14" x14ac:dyDescent="0.35">
      <c r="A1030" t="s">
        <v>64</v>
      </c>
      <c r="B1030" t="s">
        <v>70</v>
      </c>
      <c r="C1030">
        <v>2024</v>
      </c>
      <c r="D1030" t="s">
        <v>15</v>
      </c>
      <c r="E1030">
        <v>130176.15</v>
      </c>
      <c r="F1030">
        <v>89.9</v>
      </c>
      <c r="G1030">
        <v>326</v>
      </c>
      <c r="H1030">
        <v>200</v>
      </c>
      <c r="I1030" t="s">
        <v>25</v>
      </c>
      <c r="J1030">
        <v>4</v>
      </c>
      <c r="K1030" t="s">
        <v>17</v>
      </c>
      <c r="L1030">
        <v>59392</v>
      </c>
      <c r="M1030">
        <v>3.8</v>
      </c>
      <c r="N1030" s="6">
        <f t="shared" si="16"/>
        <v>7731421900.7999992</v>
      </c>
    </row>
    <row r="1031" spans="1:14" x14ac:dyDescent="0.35">
      <c r="A1031" t="s">
        <v>49</v>
      </c>
      <c r="B1031" t="s">
        <v>60</v>
      </c>
      <c r="C1031">
        <v>2024</v>
      </c>
      <c r="D1031" t="s">
        <v>15</v>
      </c>
      <c r="E1031">
        <v>77513.919999999998</v>
      </c>
      <c r="F1031">
        <v>107.4</v>
      </c>
      <c r="G1031">
        <v>368</v>
      </c>
      <c r="H1031">
        <v>187</v>
      </c>
      <c r="I1031" t="s">
        <v>32</v>
      </c>
      <c r="J1031">
        <v>4</v>
      </c>
      <c r="K1031" t="s">
        <v>20</v>
      </c>
      <c r="L1031">
        <v>71992</v>
      </c>
      <c r="M1031">
        <v>4.07</v>
      </c>
      <c r="N1031" s="6">
        <f t="shared" si="16"/>
        <v>5580382128.6400003</v>
      </c>
    </row>
    <row r="1032" spans="1:14" x14ac:dyDescent="0.35">
      <c r="A1032" t="s">
        <v>29</v>
      </c>
      <c r="B1032" t="s">
        <v>53</v>
      </c>
      <c r="C1032">
        <v>2024</v>
      </c>
      <c r="D1032" t="s">
        <v>20</v>
      </c>
      <c r="E1032">
        <v>110128.5</v>
      </c>
      <c r="F1032">
        <v>50.3</v>
      </c>
      <c r="G1032">
        <v>163</v>
      </c>
      <c r="H1032">
        <v>163</v>
      </c>
      <c r="I1032" t="s">
        <v>16</v>
      </c>
      <c r="J1032">
        <v>5</v>
      </c>
      <c r="K1032" t="s">
        <v>17</v>
      </c>
      <c r="L1032">
        <v>212436</v>
      </c>
      <c r="M1032">
        <v>3.54</v>
      </c>
      <c r="N1032" s="6">
        <f t="shared" si="16"/>
        <v>23395258026</v>
      </c>
    </row>
    <row r="1033" spans="1:14" x14ac:dyDescent="0.35">
      <c r="A1033" t="s">
        <v>29</v>
      </c>
      <c r="B1033" t="s">
        <v>59</v>
      </c>
      <c r="C1033">
        <v>2024</v>
      </c>
      <c r="D1033" t="s">
        <v>20</v>
      </c>
      <c r="E1033">
        <v>80831.47</v>
      </c>
      <c r="F1033">
        <v>71.2</v>
      </c>
      <c r="G1033">
        <v>278</v>
      </c>
      <c r="H1033">
        <v>169</v>
      </c>
      <c r="I1033" t="s">
        <v>32</v>
      </c>
      <c r="J1033">
        <v>4</v>
      </c>
      <c r="K1033" t="s">
        <v>20</v>
      </c>
      <c r="L1033">
        <v>202000</v>
      </c>
      <c r="M1033">
        <v>3.76</v>
      </c>
      <c r="N1033" s="6">
        <f t="shared" si="16"/>
        <v>16327956940</v>
      </c>
    </row>
    <row r="1034" spans="1:14" x14ac:dyDescent="0.35">
      <c r="A1034" t="s">
        <v>41</v>
      </c>
      <c r="B1034" t="s">
        <v>42</v>
      </c>
      <c r="C1034">
        <v>2024</v>
      </c>
      <c r="D1034" t="s">
        <v>38</v>
      </c>
      <c r="E1034">
        <v>85586.47</v>
      </c>
      <c r="F1034">
        <v>57.3</v>
      </c>
      <c r="G1034">
        <v>200</v>
      </c>
      <c r="H1034">
        <v>160</v>
      </c>
      <c r="I1034" t="s">
        <v>21</v>
      </c>
      <c r="J1034">
        <v>4</v>
      </c>
      <c r="K1034" t="s">
        <v>20</v>
      </c>
      <c r="L1034">
        <v>25585</v>
      </c>
      <c r="M1034">
        <v>3.16</v>
      </c>
      <c r="N1034" s="6">
        <f t="shared" si="16"/>
        <v>2189729834.9499998</v>
      </c>
    </row>
    <row r="1035" spans="1:14" x14ac:dyDescent="0.35">
      <c r="A1035" t="s">
        <v>13</v>
      </c>
      <c r="B1035" t="s">
        <v>66</v>
      </c>
      <c r="C1035">
        <v>2024</v>
      </c>
      <c r="D1035" t="s">
        <v>15</v>
      </c>
      <c r="E1035">
        <v>53590.91</v>
      </c>
      <c r="F1035">
        <v>74.7</v>
      </c>
      <c r="G1035">
        <v>258</v>
      </c>
      <c r="H1035">
        <v>200</v>
      </c>
      <c r="I1035" t="s">
        <v>33</v>
      </c>
      <c r="J1035">
        <v>3</v>
      </c>
      <c r="K1035" t="s">
        <v>22</v>
      </c>
      <c r="L1035">
        <v>209815</v>
      </c>
      <c r="M1035">
        <v>3.08</v>
      </c>
      <c r="N1035" s="6">
        <f t="shared" si="16"/>
        <v>11244176781.650002</v>
      </c>
    </row>
    <row r="1036" spans="1:14" x14ac:dyDescent="0.35">
      <c r="A1036" t="s">
        <v>49</v>
      </c>
      <c r="B1036" t="s">
        <v>90</v>
      </c>
      <c r="C1036">
        <v>2024</v>
      </c>
      <c r="D1036" t="s">
        <v>43</v>
      </c>
      <c r="E1036">
        <v>31256.77</v>
      </c>
      <c r="F1036">
        <v>68.099999999999994</v>
      </c>
      <c r="G1036">
        <v>218</v>
      </c>
      <c r="H1036">
        <v>136</v>
      </c>
      <c r="I1036" t="s">
        <v>16</v>
      </c>
      <c r="J1036">
        <v>4</v>
      </c>
      <c r="K1036" t="s">
        <v>47</v>
      </c>
      <c r="L1036">
        <v>83425</v>
      </c>
      <c r="M1036">
        <v>3.35</v>
      </c>
      <c r="N1036" s="6">
        <f t="shared" si="16"/>
        <v>2607596037.25</v>
      </c>
    </row>
    <row r="1037" spans="1:14" x14ac:dyDescent="0.35">
      <c r="A1037" t="s">
        <v>45</v>
      </c>
      <c r="B1037" t="s">
        <v>63</v>
      </c>
      <c r="C1037">
        <v>2024</v>
      </c>
      <c r="D1037" t="s">
        <v>15</v>
      </c>
      <c r="E1037">
        <v>56202.17</v>
      </c>
      <c r="F1037">
        <v>81.3</v>
      </c>
      <c r="G1037">
        <v>298</v>
      </c>
      <c r="H1037">
        <v>188</v>
      </c>
      <c r="I1037" t="s">
        <v>33</v>
      </c>
      <c r="J1037">
        <v>5</v>
      </c>
      <c r="K1037" t="s">
        <v>22</v>
      </c>
      <c r="L1037">
        <v>225829</v>
      </c>
      <c r="M1037">
        <v>3.87</v>
      </c>
      <c r="N1037" s="6">
        <f t="shared" si="16"/>
        <v>12692079848.93</v>
      </c>
    </row>
    <row r="1038" spans="1:14" x14ac:dyDescent="0.35">
      <c r="A1038" t="s">
        <v>57</v>
      </c>
      <c r="B1038" t="s">
        <v>72</v>
      </c>
      <c r="C1038">
        <v>2024</v>
      </c>
      <c r="D1038" t="s">
        <v>15</v>
      </c>
      <c r="E1038">
        <v>113010.15</v>
      </c>
      <c r="F1038">
        <v>74.7</v>
      </c>
      <c r="G1038">
        <v>251</v>
      </c>
      <c r="H1038">
        <v>189</v>
      </c>
      <c r="I1038" t="s">
        <v>16</v>
      </c>
      <c r="J1038">
        <v>5</v>
      </c>
      <c r="K1038" t="s">
        <v>17</v>
      </c>
      <c r="L1038">
        <v>26657</v>
      </c>
      <c r="M1038">
        <v>3.63</v>
      </c>
      <c r="N1038" s="6">
        <f t="shared" si="16"/>
        <v>3012511568.5499997</v>
      </c>
    </row>
    <row r="1039" spans="1:14" x14ac:dyDescent="0.35">
      <c r="A1039" t="s">
        <v>111</v>
      </c>
      <c r="B1039" t="s">
        <v>112</v>
      </c>
      <c r="C1039">
        <v>2024</v>
      </c>
      <c r="D1039" t="s">
        <v>20</v>
      </c>
      <c r="E1039">
        <v>89310.64</v>
      </c>
      <c r="F1039">
        <v>64.2</v>
      </c>
      <c r="G1039">
        <v>208</v>
      </c>
      <c r="H1039">
        <v>173</v>
      </c>
      <c r="I1039" t="s">
        <v>21</v>
      </c>
      <c r="J1039">
        <v>4</v>
      </c>
      <c r="K1039" t="s">
        <v>20</v>
      </c>
      <c r="L1039">
        <v>29176</v>
      </c>
      <c r="M1039">
        <v>3.31</v>
      </c>
      <c r="N1039" s="6">
        <f t="shared" si="16"/>
        <v>2605727232.6399999</v>
      </c>
    </row>
    <row r="1040" spans="1:14" x14ac:dyDescent="0.35">
      <c r="A1040" t="s">
        <v>57</v>
      </c>
      <c r="B1040" t="s">
        <v>58</v>
      </c>
      <c r="C1040">
        <v>2024</v>
      </c>
      <c r="D1040" t="s">
        <v>43</v>
      </c>
      <c r="E1040">
        <v>67107.539999999994</v>
      </c>
      <c r="F1040">
        <v>81.2</v>
      </c>
      <c r="G1040">
        <v>286</v>
      </c>
      <c r="H1040">
        <v>137</v>
      </c>
      <c r="I1040" t="s">
        <v>32</v>
      </c>
      <c r="J1040">
        <v>5</v>
      </c>
      <c r="K1040" t="s">
        <v>20</v>
      </c>
      <c r="L1040">
        <v>58727</v>
      </c>
      <c r="M1040">
        <v>3.6</v>
      </c>
      <c r="N1040" s="6">
        <f t="shared" si="16"/>
        <v>3941024501.5799994</v>
      </c>
    </row>
    <row r="1041" spans="1:14" x14ac:dyDescent="0.35">
      <c r="A1041" t="s">
        <v>26</v>
      </c>
      <c r="B1041" t="s">
        <v>36</v>
      </c>
      <c r="C1041">
        <v>2024</v>
      </c>
      <c r="D1041" t="s">
        <v>38</v>
      </c>
      <c r="E1041">
        <v>56356.86</v>
      </c>
      <c r="F1041">
        <v>45</v>
      </c>
      <c r="G1041">
        <v>154</v>
      </c>
      <c r="H1041">
        <v>163</v>
      </c>
      <c r="I1041" t="s">
        <v>32</v>
      </c>
      <c r="J1041">
        <v>5</v>
      </c>
      <c r="K1041" t="s">
        <v>22</v>
      </c>
      <c r="L1041">
        <v>107160</v>
      </c>
      <c r="M1041">
        <v>3.3</v>
      </c>
      <c r="N1041" s="6">
        <f t="shared" si="16"/>
        <v>6039201117.6000004</v>
      </c>
    </row>
    <row r="1042" spans="1:14" x14ac:dyDescent="0.35">
      <c r="A1042" t="s">
        <v>45</v>
      </c>
      <c r="B1042" t="s">
        <v>63</v>
      </c>
      <c r="C1042">
        <v>2024</v>
      </c>
      <c r="D1042" t="s">
        <v>43</v>
      </c>
      <c r="E1042">
        <v>21286.38</v>
      </c>
      <c r="F1042">
        <v>69.599999999999994</v>
      </c>
      <c r="G1042">
        <v>233</v>
      </c>
      <c r="H1042">
        <v>168</v>
      </c>
      <c r="I1042" t="s">
        <v>40</v>
      </c>
      <c r="J1042">
        <v>5</v>
      </c>
      <c r="K1042" t="s">
        <v>47</v>
      </c>
      <c r="L1042">
        <v>116507</v>
      </c>
      <c r="M1042">
        <v>3.18</v>
      </c>
      <c r="N1042" s="6">
        <f t="shared" si="16"/>
        <v>2480012274.6600003</v>
      </c>
    </row>
    <row r="1043" spans="1:14" x14ac:dyDescent="0.35">
      <c r="A1043" t="s">
        <v>49</v>
      </c>
      <c r="B1043" t="s">
        <v>71</v>
      </c>
      <c r="C1043">
        <v>2024</v>
      </c>
      <c r="D1043" t="s">
        <v>15</v>
      </c>
      <c r="E1043">
        <v>103986.41</v>
      </c>
      <c r="F1043">
        <v>110.9</v>
      </c>
      <c r="G1043">
        <v>397</v>
      </c>
      <c r="H1043">
        <v>185</v>
      </c>
      <c r="I1043" t="s">
        <v>40</v>
      </c>
      <c r="J1043">
        <v>5</v>
      </c>
      <c r="K1043" t="s">
        <v>17</v>
      </c>
      <c r="L1043">
        <v>106892</v>
      </c>
      <c r="M1043">
        <v>4.01</v>
      </c>
      <c r="N1043" s="6">
        <f t="shared" si="16"/>
        <v>11115315337.720001</v>
      </c>
    </row>
    <row r="1044" spans="1:14" x14ac:dyDescent="0.35">
      <c r="A1044" t="s">
        <v>13</v>
      </c>
      <c r="B1044" t="s">
        <v>55</v>
      </c>
      <c r="C1044">
        <v>2024</v>
      </c>
      <c r="D1044" t="s">
        <v>15</v>
      </c>
      <c r="E1044">
        <v>68348.69</v>
      </c>
      <c r="F1044">
        <v>94</v>
      </c>
      <c r="G1044">
        <v>323</v>
      </c>
      <c r="H1044">
        <v>200</v>
      </c>
      <c r="I1044" t="s">
        <v>32</v>
      </c>
      <c r="J1044">
        <v>4</v>
      </c>
      <c r="K1044" t="s">
        <v>20</v>
      </c>
      <c r="L1044">
        <v>238867</v>
      </c>
      <c r="M1044">
        <v>3.7</v>
      </c>
      <c r="N1044" s="6">
        <f t="shared" si="16"/>
        <v>16326246534.230001</v>
      </c>
    </row>
    <row r="1045" spans="1:14" x14ac:dyDescent="0.35">
      <c r="A1045" t="s">
        <v>13</v>
      </c>
      <c r="B1045" t="s">
        <v>51</v>
      </c>
      <c r="C1045">
        <v>2024</v>
      </c>
      <c r="D1045" t="s">
        <v>43</v>
      </c>
      <c r="E1045">
        <v>79224.44</v>
      </c>
      <c r="F1045">
        <v>48.4</v>
      </c>
      <c r="G1045">
        <v>164</v>
      </c>
      <c r="H1045">
        <v>136</v>
      </c>
      <c r="I1045" t="s">
        <v>21</v>
      </c>
      <c r="J1045">
        <v>5</v>
      </c>
      <c r="K1045" t="s">
        <v>20</v>
      </c>
      <c r="L1045">
        <v>219453</v>
      </c>
      <c r="M1045">
        <v>3.46</v>
      </c>
      <c r="N1045" s="6">
        <f t="shared" si="16"/>
        <v>17386041031.32</v>
      </c>
    </row>
    <row r="1046" spans="1:14" x14ac:dyDescent="0.35">
      <c r="A1046" t="s">
        <v>23</v>
      </c>
      <c r="B1046" t="s">
        <v>37</v>
      </c>
      <c r="C1046">
        <v>2024</v>
      </c>
      <c r="D1046" t="s">
        <v>28</v>
      </c>
      <c r="E1046">
        <v>85774.399999999994</v>
      </c>
      <c r="F1046">
        <v>106</v>
      </c>
      <c r="G1046">
        <v>388</v>
      </c>
      <c r="H1046">
        <v>181</v>
      </c>
      <c r="I1046" t="s">
        <v>25</v>
      </c>
      <c r="J1046">
        <v>4</v>
      </c>
      <c r="K1046" t="s">
        <v>20</v>
      </c>
      <c r="L1046">
        <v>22091</v>
      </c>
      <c r="M1046">
        <v>3.72</v>
      </c>
      <c r="N1046" s="6">
        <f t="shared" si="16"/>
        <v>1894842270.3999999</v>
      </c>
    </row>
    <row r="1047" spans="1:14" x14ac:dyDescent="0.35">
      <c r="A1047" t="s">
        <v>45</v>
      </c>
      <c r="B1047" t="s">
        <v>48</v>
      </c>
      <c r="C1047">
        <v>2024</v>
      </c>
      <c r="D1047" t="s">
        <v>43</v>
      </c>
      <c r="E1047">
        <v>21707.919999999998</v>
      </c>
      <c r="F1047">
        <v>56.8</v>
      </c>
      <c r="G1047">
        <v>176</v>
      </c>
      <c r="H1047">
        <v>135</v>
      </c>
      <c r="I1047" t="s">
        <v>32</v>
      </c>
      <c r="J1047">
        <v>4</v>
      </c>
      <c r="K1047" t="s">
        <v>47</v>
      </c>
      <c r="L1047">
        <v>240735</v>
      </c>
      <c r="M1047">
        <v>3.31</v>
      </c>
      <c r="N1047" s="6">
        <f t="shared" si="16"/>
        <v>5225856121.1999998</v>
      </c>
    </row>
    <row r="1048" spans="1:14" x14ac:dyDescent="0.35">
      <c r="A1048" t="s">
        <v>23</v>
      </c>
      <c r="B1048" t="s">
        <v>24</v>
      </c>
      <c r="C1048">
        <v>2024</v>
      </c>
      <c r="D1048" t="s">
        <v>20</v>
      </c>
      <c r="E1048">
        <v>52232.74</v>
      </c>
      <c r="F1048">
        <v>42</v>
      </c>
      <c r="G1048">
        <v>150</v>
      </c>
      <c r="H1048">
        <v>171</v>
      </c>
      <c r="I1048" t="s">
        <v>25</v>
      </c>
      <c r="J1048">
        <v>4</v>
      </c>
      <c r="K1048" t="s">
        <v>22</v>
      </c>
      <c r="L1048">
        <v>17461</v>
      </c>
      <c r="M1048">
        <v>3.32</v>
      </c>
      <c r="N1048" s="6">
        <f t="shared" si="16"/>
        <v>912035873.13999999</v>
      </c>
    </row>
    <row r="1049" spans="1:14" x14ac:dyDescent="0.35">
      <c r="A1049" t="s">
        <v>13</v>
      </c>
      <c r="B1049" t="s">
        <v>56</v>
      </c>
      <c r="C1049">
        <v>2024</v>
      </c>
      <c r="D1049" t="s">
        <v>43</v>
      </c>
      <c r="E1049">
        <v>64646.52</v>
      </c>
      <c r="F1049">
        <v>70.7</v>
      </c>
      <c r="G1049">
        <v>219</v>
      </c>
      <c r="H1049">
        <v>140</v>
      </c>
      <c r="I1049" t="s">
        <v>32</v>
      </c>
      <c r="J1049">
        <v>4</v>
      </c>
      <c r="K1049" t="s">
        <v>22</v>
      </c>
      <c r="L1049">
        <v>229331</v>
      </c>
      <c r="M1049">
        <v>3.6</v>
      </c>
      <c r="N1049" s="6">
        <f t="shared" si="16"/>
        <v>14825451078.119999</v>
      </c>
    </row>
    <row r="1050" spans="1:14" x14ac:dyDescent="0.35">
      <c r="A1050" t="s">
        <v>57</v>
      </c>
      <c r="B1050" t="s">
        <v>62</v>
      </c>
      <c r="C1050">
        <v>2024</v>
      </c>
      <c r="D1050" t="s">
        <v>15</v>
      </c>
      <c r="E1050">
        <v>99172.17</v>
      </c>
      <c r="F1050">
        <v>96.1</v>
      </c>
      <c r="G1050">
        <v>340</v>
      </c>
      <c r="H1050">
        <v>200</v>
      </c>
      <c r="I1050" t="s">
        <v>21</v>
      </c>
      <c r="J1050">
        <v>5</v>
      </c>
      <c r="K1050" t="s">
        <v>20</v>
      </c>
      <c r="L1050">
        <v>55818</v>
      </c>
      <c r="M1050">
        <v>3.69</v>
      </c>
      <c r="N1050" s="6">
        <f t="shared" si="16"/>
        <v>5535592185.0599995</v>
      </c>
    </row>
    <row r="1051" spans="1:14" x14ac:dyDescent="0.35">
      <c r="A1051" t="s">
        <v>64</v>
      </c>
      <c r="B1051" t="s">
        <v>95</v>
      </c>
      <c r="C1051">
        <v>2024</v>
      </c>
      <c r="D1051" t="s">
        <v>20</v>
      </c>
      <c r="E1051">
        <v>92379.17</v>
      </c>
      <c r="F1051">
        <v>50.8</v>
      </c>
      <c r="G1051">
        <v>150</v>
      </c>
      <c r="H1051">
        <v>136</v>
      </c>
      <c r="I1051" t="s">
        <v>16</v>
      </c>
      <c r="J1051">
        <v>5</v>
      </c>
      <c r="K1051" t="s">
        <v>20</v>
      </c>
      <c r="L1051">
        <v>64158</v>
      </c>
      <c r="M1051">
        <v>3.31</v>
      </c>
      <c r="N1051" s="6">
        <f t="shared" si="16"/>
        <v>5926862788.8599997</v>
      </c>
    </row>
    <row r="1052" spans="1:14" x14ac:dyDescent="0.35">
      <c r="A1052" t="s">
        <v>64</v>
      </c>
      <c r="B1052" t="s">
        <v>95</v>
      </c>
      <c r="C1052">
        <v>2024</v>
      </c>
      <c r="D1052" t="s">
        <v>43</v>
      </c>
      <c r="E1052">
        <v>78676.53</v>
      </c>
      <c r="F1052">
        <v>80.3</v>
      </c>
      <c r="G1052">
        <v>292</v>
      </c>
      <c r="H1052">
        <v>155</v>
      </c>
      <c r="I1052" t="s">
        <v>32</v>
      </c>
      <c r="J1052">
        <v>5</v>
      </c>
      <c r="K1052" t="s">
        <v>20</v>
      </c>
      <c r="L1052">
        <v>28903</v>
      </c>
      <c r="M1052">
        <v>3.53</v>
      </c>
      <c r="N1052" s="6">
        <f t="shared" si="16"/>
        <v>2273987746.5900002</v>
      </c>
    </row>
    <row r="1053" spans="1:14" x14ac:dyDescent="0.35">
      <c r="A1053" t="s">
        <v>49</v>
      </c>
      <c r="B1053" t="s">
        <v>60</v>
      </c>
      <c r="C1053">
        <v>2024</v>
      </c>
      <c r="D1053" t="s">
        <v>15</v>
      </c>
      <c r="E1053">
        <v>44088.19</v>
      </c>
      <c r="F1053">
        <v>81.5</v>
      </c>
      <c r="G1053">
        <v>270</v>
      </c>
      <c r="H1053">
        <v>188</v>
      </c>
      <c r="I1053" t="s">
        <v>32</v>
      </c>
      <c r="J1053">
        <v>3</v>
      </c>
      <c r="K1053" t="s">
        <v>22</v>
      </c>
      <c r="L1053">
        <v>119102</v>
      </c>
      <c r="M1053">
        <v>3.6</v>
      </c>
      <c r="N1053" s="6">
        <f t="shared" si="16"/>
        <v>5250991605.3800001</v>
      </c>
    </row>
    <row r="1054" spans="1:14" x14ac:dyDescent="0.35">
      <c r="A1054" t="s">
        <v>49</v>
      </c>
      <c r="B1054" t="s">
        <v>60</v>
      </c>
      <c r="C1054">
        <v>2024</v>
      </c>
      <c r="D1054" t="s">
        <v>43</v>
      </c>
      <c r="E1054">
        <v>63404.54</v>
      </c>
      <c r="F1054">
        <v>72.2</v>
      </c>
      <c r="G1054">
        <v>253</v>
      </c>
      <c r="H1054">
        <v>168</v>
      </c>
      <c r="I1054" t="s">
        <v>40</v>
      </c>
      <c r="J1054">
        <v>5</v>
      </c>
      <c r="K1054" t="s">
        <v>22</v>
      </c>
      <c r="L1054">
        <v>79234</v>
      </c>
      <c r="M1054">
        <v>3.49</v>
      </c>
      <c r="N1054" s="6">
        <f t="shared" si="16"/>
        <v>5023795322.3599997</v>
      </c>
    </row>
    <row r="1055" spans="1:14" x14ac:dyDescent="0.35">
      <c r="A1055" t="s">
        <v>29</v>
      </c>
      <c r="B1055" t="s">
        <v>39</v>
      </c>
      <c r="C1055">
        <v>2024</v>
      </c>
      <c r="D1055" t="s">
        <v>28</v>
      </c>
      <c r="E1055">
        <v>91117.32</v>
      </c>
      <c r="F1055">
        <v>101</v>
      </c>
      <c r="G1055">
        <v>364</v>
      </c>
      <c r="H1055">
        <v>172</v>
      </c>
      <c r="I1055" t="s">
        <v>32</v>
      </c>
      <c r="J1055">
        <v>4</v>
      </c>
      <c r="K1055" t="s">
        <v>20</v>
      </c>
      <c r="L1055">
        <v>174122</v>
      </c>
      <c r="M1055">
        <v>4</v>
      </c>
      <c r="N1055" s="6">
        <f t="shared" si="16"/>
        <v>15865529993.040001</v>
      </c>
    </row>
    <row r="1056" spans="1:14" x14ac:dyDescent="0.35">
      <c r="A1056" t="s">
        <v>23</v>
      </c>
      <c r="B1056" t="s">
        <v>82</v>
      </c>
      <c r="C1056">
        <v>2024</v>
      </c>
      <c r="D1056" t="s">
        <v>20</v>
      </c>
      <c r="E1056">
        <v>75461.19</v>
      </c>
      <c r="F1056">
        <v>77.900000000000006</v>
      </c>
      <c r="G1056">
        <v>275</v>
      </c>
      <c r="H1056">
        <v>168</v>
      </c>
      <c r="I1056" t="s">
        <v>21</v>
      </c>
      <c r="J1056">
        <v>4</v>
      </c>
      <c r="K1056" t="s">
        <v>20</v>
      </c>
      <c r="L1056">
        <v>10961</v>
      </c>
      <c r="M1056">
        <v>3.51</v>
      </c>
      <c r="N1056" s="6">
        <f t="shared" si="16"/>
        <v>827130103.59000003</v>
      </c>
    </row>
    <row r="1057" spans="1:14" x14ac:dyDescent="0.35">
      <c r="A1057" t="s">
        <v>18</v>
      </c>
      <c r="B1057" t="s">
        <v>93</v>
      </c>
      <c r="C1057">
        <v>2024</v>
      </c>
      <c r="D1057" t="s">
        <v>38</v>
      </c>
      <c r="E1057">
        <v>60316.9</v>
      </c>
      <c r="F1057">
        <v>48</v>
      </c>
      <c r="G1057">
        <v>165</v>
      </c>
      <c r="H1057">
        <v>138</v>
      </c>
      <c r="I1057" t="s">
        <v>33</v>
      </c>
      <c r="J1057">
        <v>4</v>
      </c>
      <c r="K1057" t="s">
        <v>22</v>
      </c>
      <c r="L1057">
        <v>23683</v>
      </c>
      <c r="M1057">
        <v>3.15</v>
      </c>
      <c r="N1057" s="6">
        <f t="shared" si="16"/>
        <v>1428485142.7</v>
      </c>
    </row>
    <row r="1058" spans="1:14" x14ac:dyDescent="0.35">
      <c r="A1058" t="s">
        <v>23</v>
      </c>
      <c r="B1058" t="s">
        <v>24</v>
      </c>
      <c r="C1058">
        <v>2024</v>
      </c>
      <c r="D1058" t="s">
        <v>43</v>
      </c>
      <c r="E1058">
        <v>46964.58</v>
      </c>
      <c r="F1058">
        <v>62.4</v>
      </c>
      <c r="G1058">
        <v>204</v>
      </c>
      <c r="H1058">
        <v>140</v>
      </c>
      <c r="I1058" t="s">
        <v>40</v>
      </c>
      <c r="J1058">
        <v>5</v>
      </c>
      <c r="K1058" t="s">
        <v>22</v>
      </c>
      <c r="L1058">
        <v>15168</v>
      </c>
      <c r="M1058">
        <v>3.46</v>
      </c>
      <c r="N1058" s="6">
        <f t="shared" si="16"/>
        <v>712358749.44000006</v>
      </c>
    </row>
    <row r="1059" spans="1:14" x14ac:dyDescent="0.35">
      <c r="A1059" t="s">
        <v>45</v>
      </c>
      <c r="B1059" t="s">
        <v>77</v>
      </c>
      <c r="C1059">
        <v>2024</v>
      </c>
      <c r="D1059" t="s">
        <v>43</v>
      </c>
      <c r="E1059">
        <v>51238.400000000001</v>
      </c>
      <c r="F1059">
        <v>51.6</v>
      </c>
      <c r="G1059">
        <v>185</v>
      </c>
      <c r="H1059">
        <v>153</v>
      </c>
      <c r="I1059" t="s">
        <v>32</v>
      </c>
      <c r="J1059">
        <v>5</v>
      </c>
      <c r="K1059" t="s">
        <v>22</v>
      </c>
      <c r="L1059">
        <v>242985</v>
      </c>
      <c r="M1059">
        <v>3.46</v>
      </c>
      <c r="N1059" s="6">
        <f t="shared" si="16"/>
        <v>12450162624</v>
      </c>
    </row>
    <row r="1060" spans="1:14" x14ac:dyDescent="0.35">
      <c r="A1060" t="s">
        <v>29</v>
      </c>
      <c r="B1060" t="s">
        <v>53</v>
      </c>
      <c r="C1060">
        <v>2024</v>
      </c>
      <c r="D1060" t="s">
        <v>43</v>
      </c>
      <c r="E1060">
        <v>43048</v>
      </c>
      <c r="F1060">
        <v>78.2</v>
      </c>
      <c r="G1060">
        <v>305</v>
      </c>
      <c r="H1060">
        <v>167</v>
      </c>
      <c r="I1060" t="s">
        <v>16</v>
      </c>
      <c r="J1060">
        <v>5</v>
      </c>
      <c r="K1060" t="s">
        <v>22</v>
      </c>
      <c r="L1060">
        <v>249983</v>
      </c>
      <c r="M1060">
        <v>3.24</v>
      </c>
      <c r="N1060" s="6">
        <f t="shared" si="16"/>
        <v>10761268184</v>
      </c>
    </row>
    <row r="1061" spans="1:14" x14ac:dyDescent="0.35">
      <c r="A1061" t="s">
        <v>64</v>
      </c>
      <c r="B1061" t="s">
        <v>97</v>
      </c>
      <c r="C1061">
        <v>2024</v>
      </c>
      <c r="D1061" t="s">
        <v>28</v>
      </c>
      <c r="E1061">
        <v>69815.81</v>
      </c>
      <c r="F1061">
        <v>81.099999999999994</v>
      </c>
      <c r="G1061">
        <v>291</v>
      </c>
      <c r="H1061">
        <v>172</v>
      </c>
      <c r="I1061" t="s">
        <v>21</v>
      </c>
      <c r="J1061">
        <v>4</v>
      </c>
      <c r="K1061" t="s">
        <v>20</v>
      </c>
      <c r="L1061">
        <v>42961</v>
      </c>
      <c r="M1061">
        <v>3.63</v>
      </c>
      <c r="N1061" s="6">
        <f t="shared" si="16"/>
        <v>2999357013.4099998</v>
      </c>
    </row>
    <row r="1062" spans="1:14" x14ac:dyDescent="0.35">
      <c r="A1062" t="s">
        <v>64</v>
      </c>
      <c r="B1062" t="s">
        <v>95</v>
      </c>
      <c r="C1062">
        <v>2024</v>
      </c>
      <c r="D1062" t="s">
        <v>38</v>
      </c>
      <c r="E1062">
        <v>73900.67</v>
      </c>
      <c r="F1062">
        <v>72.400000000000006</v>
      </c>
      <c r="G1062">
        <v>258</v>
      </c>
      <c r="H1062">
        <v>134</v>
      </c>
      <c r="I1062" t="s">
        <v>33</v>
      </c>
      <c r="J1062">
        <v>5</v>
      </c>
      <c r="K1062" t="s">
        <v>20</v>
      </c>
      <c r="L1062">
        <v>78616</v>
      </c>
      <c r="M1062">
        <v>3.2</v>
      </c>
      <c r="N1062" s="6">
        <f t="shared" si="16"/>
        <v>5809775072.7200003</v>
      </c>
    </row>
    <row r="1063" spans="1:14" x14ac:dyDescent="0.35">
      <c r="A1063" t="s">
        <v>57</v>
      </c>
      <c r="B1063" t="s">
        <v>72</v>
      </c>
      <c r="C1063">
        <v>2024</v>
      </c>
      <c r="D1063" t="s">
        <v>38</v>
      </c>
      <c r="E1063">
        <v>33054.57</v>
      </c>
      <c r="F1063">
        <v>55.6</v>
      </c>
      <c r="G1063">
        <v>203</v>
      </c>
      <c r="H1063">
        <v>145</v>
      </c>
      <c r="I1063" t="s">
        <v>16</v>
      </c>
      <c r="J1063">
        <v>5</v>
      </c>
      <c r="K1063" t="s">
        <v>47</v>
      </c>
      <c r="L1063">
        <v>77480</v>
      </c>
      <c r="M1063">
        <v>3.1</v>
      </c>
      <c r="N1063" s="6">
        <f t="shared" si="16"/>
        <v>2561068083.5999999</v>
      </c>
    </row>
    <row r="1064" spans="1:14" x14ac:dyDescent="0.35">
      <c r="A1064" t="s">
        <v>45</v>
      </c>
      <c r="B1064" t="s">
        <v>77</v>
      </c>
      <c r="C1064">
        <v>2024</v>
      </c>
      <c r="D1064" t="s">
        <v>28</v>
      </c>
      <c r="E1064">
        <v>38277.53</v>
      </c>
      <c r="F1064">
        <v>87.8</v>
      </c>
      <c r="G1064">
        <v>282</v>
      </c>
      <c r="H1064">
        <v>181</v>
      </c>
      <c r="I1064" t="s">
        <v>33</v>
      </c>
      <c r="J1064">
        <v>5</v>
      </c>
      <c r="K1064" t="s">
        <v>22</v>
      </c>
      <c r="L1064">
        <v>237305</v>
      </c>
      <c r="M1064">
        <v>3.52</v>
      </c>
      <c r="N1064" s="6">
        <f t="shared" si="16"/>
        <v>9083449256.6499996</v>
      </c>
    </row>
    <row r="1065" spans="1:14" x14ac:dyDescent="0.35">
      <c r="A1065" t="s">
        <v>64</v>
      </c>
      <c r="B1065" t="s">
        <v>70</v>
      </c>
      <c r="C1065">
        <v>2024</v>
      </c>
      <c r="D1065" t="s">
        <v>15</v>
      </c>
      <c r="E1065">
        <v>73301.490000000005</v>
      </c>
      <c r="F1065">
        <v>109.7</v>
      </c>
      <c r="G1065">
        <v>367</v>
      </c>
      <c r="H1065">
        <v>200</v>
      </c>
      <c r="I1065" t="s">
        <v>33</v>
      </c>
      <c r="J1065">
        <v>5</v>
      </c>
      <c r="K1065" t="s">
        <v>20</v>
      </c>
      <c r="L1065">
        <v>50214</v>
      </c>
      <c r="M1065">
        <v>3.67</v>
      </c>
      <c r="N1065" s="6">
        <f t="shared" si="16"/>
        <v>3680761018.8600001</v>
      </c>
    </row>
    <row r="1066" spans="1:14" x14ac:dyDescent="0.35">
      <c r="A1066" t="s">
        <v>45</v>
      </c>
      <c r="B1066" t="s">
        <v>77</v>
      </c>
      <c r="C1066">
        <v>2024</v>
      </c>
      <c r="D1066" t="s">
        <v>20</v>
      </c>
      <c r="E1066">
        <v>100526.02</v>
      </c>
      <c r="F1066">
        <v>84.9</v>
      </c>
      <c r="G1066">
        <v>300</v>
      </c>
      <c r="H1066">
        <v>147</v>
      </c>
      <c r="I1066" t="s">
        <v>32</v>
      </c>
      <c r="J1066">
        <v>4</v>
      </c>
      <c r="K1066" t="s">
        <v>17</v>
      </c>
      <c r="L1066">
        <v>178707</v>
      </c>
      <c r="M1066">
        <v>3.53</v>
      </c>
      <c r="N1066" s="6">
        <f t="shared" si="16"/>
        <v>17964703456.139999</v>
      </c>
    </row>
    <row r="1067" spans="1:14" x14ac:dyDescent="0.35">
      <c r="A1067" t="s">
        <v>45</v>
      </c>
      <c r="B1067" t="s">
        <v>63</v>
      </c>
      <c r="C1067">
        <v>2024</v>
      </c>
      <c r="D1067" t="s">
        <v>28</v>
      </c>
      <c r="E1067">
        <v>42041.16</v>
      </c>
      <c r="F1067">
        <v>108.4</v>
      </c>
      <c r="G1067">
        <v>373</v>
      </c>
      <c r="H1067">
        <v>176</v>
      </c>
      <c r="I1067" t="s">
        <v>16</v>
      </c>
      <c r="J1067">
        <v>3</v>
      </c>
      <c r="K1067" t="s">
        <v>22</v>
      </c>
      <c r="L1067">
        <v>120124</v>
      </c>
      <c r="M1067">
        <v>3.79</v>
      </c>
      <c r="N1067" s="6">
        <f t="shared" si="16"/>
        <v>5050152303.8400002</v>
      </c>
    </row>
    <row r="1068" spans="1:14" x14ac:dyDescent="0.35">
      <c r="A1068" t="s">
        <v>57</v>
      </c>
      <c r="B1068" t="s">
        <v>62</v>
      </c>
      <c r="C1068">
        <v>2024</v>
      </c>
      <c r="D1068" t="s">
        <v>20</v>
      </c>
      <c r="E1068">
        <v>97929.01</v>
      </c>
      <c r="F1068">
        <v>50.3</v>
      </c>
      <c r="G1068">
        <v>198</v>
      </c>
      <c r="H1068">
        <v>139</v>
      </c>
      <c r="I1068" t="s">
        <v>21</v>
      </c>
      <c r="J1068">
        <v>5</v>
      </c>
      <c r="K1068" t="s">
        <v>20</v>
      </c>
      <c r="L1068">
        <v>20102</v>
      </c>
      <c r="M1068">
        <v>3.3</v>
      </c>
      <c r="N1068" s="6">
        <f t="shared" si="16"/>
        <v>1968568959.02</v>
      </c>
    </row>
    <row r="1069" spans="1:14" x14ac:dyDescent="0.35">
      <c r="A1069" t="s">
        <v>75</v>
      </c>
      <c r="B1069" t="s">
        <v>76</v>
      </c>
      <c r="C1069">
        <v>2024</v>
      </c>
      <c r="D1069" t="s">
        <v>15</v>
      </c>
      <c r="E1069">
        <v>105996.52</v>
      </c>
      <c r="F1069">
        <v>77.2</v>
      </c>
      <c r="G1069">
        <v>274</v>
      </c>
      <c r="H1069">
        <v>196</v>
      </c>
      <c r="I1069" t="s">
        <v>32</v>
      </c>
      <c r="J1069">
        <v>5</v>
      </c>
      <c r="K1069" t="s">
        <v>17</v>
      </c>
      <c r="L1069">
        <v>1509</v>
      </c>
      <c r="M1069">
        <v>3.58</v>
      </c>
      <c r="N1069" s="6">
        <f t="shared" si="16"/>
        <v>159948748.68000001</v>
      </c>
    </row>
    <row r="1070" spans="1:14" x14ac:dyDescent="0.35">
      <c r="A1070" t="s">
        <v>29</v>
      </c>
      <c r="B1070" t="s">
        <v>39</v>
      </c>
      <c r="C1070">
        <v>2024</v>
      </c>
      <c r="D1070" t="s">
        <v>15</v>
      </c>
      <c r="E1070">
        <v>64261.34</v>
      </c>
      <c r="F1070">
        <v>116.7</v>
      </c>
      <c r="G1070">
        <v>433</v>
      </c>
      <c r="H1070">
        <v>200</v>
      </c>
      <c r="I1070" t="s">
        <v>32</v>
      </c>
      <c r="J1070">
        <v>3</v>
      </c>
      <c r="K1070" t="s">
        <v>22</v>
      </c>
      <c r="L1070">
        <v>145470</v>
      </c>
      <c r="M1070">
        <v>4.0999999999999996</v>
      </c>
      <c r="N1070" s="6">
        <f t="shared" si="16"/>
        <v>9348097129.7999992</v>
      </c>
    </row>
    <row r="1071" spans="1:14" x14ac:dyDescent="0.35">
      <c r="A1071" t="s">
        <v>114</v>
      </c>
      <c r="B1071" t="s">
        <v>136</v>
      </c>
      <c r="C1071">
        <v>2024</v>
      </c>
      <c r="D1071" t="s">
        <v>43</v>
      </c>
      <c r="E1071">
        <v>116528.23</v>
      </c>
      <c r="F1071">
        <v>75.599999999999994</v>
      </c>
      <c r="G1071">
        <v>282</v>
      </c>
      <c r="H1071">
        <v>144</v>
      </c>
      <c r="I1071" t="s">
        <v>16</v>
      </c>
      <c r="J1071">
        <v>4</v>
      </c>
      <c r="K1071" t="s">
        <v>17</v>
      </c>
      <c r="L1071">
        <v>14704</v>
      </c>
      <c r="M1071">
        <v>3.58</v>
      </c>
      <c r="N1071" s="6">
        <f t="shared" si="16"/>
        <v>1713431093.9199998</v>
      </c>
    </row>
    <row r="1072" spans="1:14" x14ac:dyDescent="0.35">
      <c r="A1072" t="s">
        <v>73</v>
      </c>
      <c r="B1072" t="s">
        <v>100</v>
      </c>
      <c r="C1072">
        <v>2024</v>
      </c>
      <c r="D1072" t="s">
        <v>15</v>
      </c>
      <c r="E1072">
        <v>144156.68</v>
      </c>
      <c r="F1072">
        <v>92.7</v>
      </c>
      <c r="G1072">
        <v>331</v>
      </c>
      <c r="H1072">
        <v>200</v>
      </c>
      <c r="I1072" t="s">
        <v>32</v>
      </c>
      <c r="J1072">
        <v>5</v>
      </c>
      <c r="K1072" t="s">
        <v>17</v>
      </c>
      <c r="L1072">
        <v>28598</v>
      </c>
      <c r="M1072">
        <v>3.78</v>
      </c>
      <c r="N1072" s="6">
        <f t="shared" si="16"/>
        <v>4122592734.6399999</v>
      </c>
    </row>
    <row r="1073" spans="1:14" x14ac:dyDescent="0.35">
      <c r="A1073" t="s">
        <v>29</v>
      </c>
      <c r="B1073" t="s">
        <v>59</v>
      </c>
      <c r="C1073">
        <v>2024</v>
      </c>
      <c r="D1073" t="s">
        <v>38</v>
      </c>
      <c r="E1073">
        <v>97305.17</v>
      </c>
      <c r="F1073">
        <v>40.9</v>
      </c>
      <c r="G1073">
        <v>150</v>
      </c>
      <c r="H1073">
        <v>158</v>
      </c>
      <c r="I1073" t="s">
        <v>25</v>
      </c>
      <c r="J1073">
        <v>3</v>
      </c>
      <c r="K1073" t="s">
        <v>20</v>
      </c>
      <c r="L1073">
        <v>135420</v>
      </c>
      <c r="M1073">
        <v>3.42</v>
      </c>
      <c r="N1073" s="6">
        <f t="shared" si="16"/>
        <v>13177066121.4</v>
      </c>
    </row>
    <row r="1074" spans="1:14" x14ac:dyDescent="0.35">
      <c r="A1074" t="s">
        <v>29</v>
      </c>
      <c r="B1074" t="s">
        <v>31</v>
      </c>
      <c r="C1074">
        <v>2024</v>
      </c>
      <c r="D1074" t="s">
        <v>20</v>
      </c>
      <c r="E1074">
        <v>142240.31</v>
      </c>
      <c r="F1074">
        <v>46.3</v>
      </c>
      <c r="G1074">
        <v>166</v>
      </c>
      <c r="H1074">
        <v>152</v>
      </c>
      <c r="I1074" t="s">
        <v>16</v>
      </c>
      <c r="J1074">
        <v>5</v>
      </c>
      <c r="K1074" t="s">
        <v>17</v>
      </c>
      <c r="L1074">
        <v>461025</v>
      </c>
      <c r="M1074">
        <v>3.45</v>
      </c>
      <c r="N1074" s="6">
        <f t="shared" si="16"/>
        <v>65576338917.75</v>
      </c>
    </row>
    <row r="1075" spans="1:14" x14ac:dyDescent="0.35">
      <c r="A1075" t="s">
        <v>57</v>
      </c>
      <c r="B1075" t="s">
        <v>72</v>
      </c>
      <c r="C1075">
        <v>2024</v>
      </c>
      <c r="D1075" t="s">
        <v>28</v>
      </c>
      <c r="E1075">
        <v>88743.58</v>
      </c>
      <c r="F1075">
        <v>80.099999999999994</v>
      </c>
      <c r="G1075">
        <v>265</v>
      </c>
      <c r="H1075">
        <v>187</v>
      </c>
      <c r="I1075" t="s">
        <v>16</v>
      </c>
      <c r="J1075">
        <v>5</v>
      </c>
      <c r="K1075" t="s">
        <v>20</v>
      </c>
      <c r="L1075">
        <v>63330</v>
      </c>
      <c r="M1075">
        <v>3.64</v>
      </c>
      <c r="N1075" s="6">
        <f t="shared" si="16"/>
        <v>5620130921.4000006</v>
      </c>
    </row>
    <row r="1076" spans="1:14" x14ac:dyDescent="0.35">
      <c r="A1076" t="s">
        <v>23</v>
      </c>
      <c r="B1076" t="s">
        <v>37</v>
      </c>
      <c r="C1076">
        <v>2024</v>
      </c>
      <c r="D1076" t="s">
        <v>15</v>
      </c>
      <c r="E1076">
        <v>41328.5</v>
      </c>
      <c r="F1076">
        <v>93.2</v>
      </c>
      <c r="G1076">
        <v>342</v>
      </c>
      <c r="H1076">
        <v>186</v>
      </c>
      <c r="I1076" t="s">
        <v>32</v>
      </c>
      <c r="J1076">
        <v>5</v>
      </c>
      <c r="K1076" t="s">
        <v>22</v>
      </c>
      <c r="L1076">
        <v>18258</v>
      </c>
      <c r="M1076">
        <v>3.87</v>
      </c>
      <c r="N1076" s="6">
        <f t="shared" si="16"/>
        <v>754575753</v>
      </c>
    </row>
    <row r="1077" spans="1:14" x14ac:dyDescent="0.35">
      <c r="A1077" t="s">
        <v>49</v>
      </c>
      <c r="B1077" t="s">
        <v>50</v>
      </c>
      <c r="C1077">
        <v>2024</v>
      </c>
      <c r="D1077" t="s">
        <v>20</v>
      </c>
      <c r="E1077">
        <v>69523.19</v>
      </c>
      <c r="F1077">
        <v>77.900000000000006</v>
      </c>
      <c r="G1077">
        <v>274</v>
      </c>
      <c r="H1077">
        <v>145</v>
      </c>
      <c r="I1077" t="s">
        <v>32</v>
      </c>
      <c r="J1077">
        <v>4</v>
      </c>
      <c r="K1077" t="s">
        <v>20</v>
      </c>
      <c r="L1077">
        <v>133082</v>
      </c>
      <c r="M1077">
        <v>3.52</v>
      </c>
      <c r="N1077" s="6">
        <f t="shared" si="16"/>
        <v>9252285171.5799999</v>
      </c>
    </row>
    <row r="1078" spans="1:14" x14ac:dyDescent="0.35">
      <c r="A1078" t="s">
        <v>45</v>
      </c>
      <c r="B1078" t="s">
        <v>48</v>
      </c>
      <c r="C1078">
        <v>2024</v>
      </c>
      <c r="D1078" t="s">
        <v>28</v>
      </c>
      <c r="E1078">
        <v>25253.73</v>
      </c>
      <c r="F1078">
        <v>99.1</v>
      </c>
      <c r="G1078">
        <v>355</v>
      </c>
      <c r="H1078">
        <v>167</v>
      </c>
      <c r="I1078" t="s">
        <v>25</v>
      </c>
      <c r="J1078">
        <v>4</v>
      </c>
      <c r="K1078" t="s">
        <v>47</v>
      </c>
      <c r="L1078">
        <v>158999</v>
      </c>
      <c r="M1078">
        <v>3.61</v>
      </c>
      <c r="N1078" s="6">
        <f t="shared" si="16"/>
        <v>4015317816.27</v>
      </c>
    </row>
    <row r="1079" spans="1:14" x14ac:dyDescent="0.35">
      <c r="A1079" t="s">
        <v>67</v>
      </c>
      <c r="B1079" t="s">
        <v>98</v>
      </c>
      <c r="C1079">
        <v>2024</v>
      </c>
      <c r="D1079" t="s">
        <v>38</v>
      </c>
      <c r="E1079">
        <v>103666.6</v>
      </c>
      <c r="F1079">
        <v>66.400000000000006</v>
      </c>
      <c r="G1079">
        <v>243</v>
      </c>
      <c r="H1079">
        <v>141</v>
      </c>
      <c r="I1079" t="s">
        <v>16</v>
      </c>
      <c r="J1079">
        <v>4</v>
      </c>
      <c r="K1079" t="s">
        <v>17</v>
      </c>
      <c r="L1079">
        <v>59232</v>
      </c>
      <c r="M1079">
        <v>3.4</v>
      </c>
      <c r="N1079" s="6">
        <f t="shared" si="16"/>
        <v>6140380051.2000008</v>
      </c>
    </row>
    <row r="1080" spans="1:14" x14ac:dyDescent="0.35">
      <c r="A1080" t="s">
        <v>64</v>
      </c>
      <c r="B1080" t="s">
        <v>97</v>
      </c>
      <c r="C1080">
        <v>2024</v>
      </c>
      <c r="D1080" t="s">
        <v>43</v>
      </c>
      <c r="E1080">
        <v>86675.29</v>
      </c>
      <c r="F1080">
        <v>62.4</v>
      </c>
      <c r="G1080">
        <v>204</v>
      </c>
      <c r="H1080">
        <v>172</v>
      </c>
      <c r="I1080" t="s">
        <v>16</v>
      </c>
      <c r="J1080">
        <v>4</v>
      </c>
      <c r="K1080" t="s">
        <v>20</v>
      </c>
      <c r="L1080">
        <v>72572</v>
      </c>
      <c r="M1080">
        <v>3.35</v>
      </c>
      <c r="N1080" s="6">
        <f t="shared" si="16"/>
        <v>6290199145.8799992</v>
      </c>
    </row>
    <row r="1081" spans="1:14" x14ac:dyDescent="0.35">
      <c r="A1081" t="s">
        <v>29</v>
      </c>
      <c r="B1081" t="s">
        <v>30</v>
      </c>
      <c r="C1081">
        <v>2024</v>
      </c>
      <c r="D1081" t="s">
        <v>15</v>
      </c>
      <c r="E1081">
        <v>92846.92</v>
      </c>
      <c r="F1081">
        <v>75.3</v>
      </c>
      <c r="G1081">
        <v>265</v>
      </c>
      <c r="H1081">
        <v>180</v>
      </c>
      <c r="I1081" t="s">
        <v>40</v>
      </c>
      <c r="J1081">
        <v>3</v>
      </c>
      <c r="K1081" t="s">
        <v>20</v>
      </c>
      <c r="L1081">
        <v>187727</v>
      </c>
      <c r="M1081">
        <v>3.9</v>
      </c>
      <c r="N1081" s="6">
        <f t="shared" si="16"/>
        <v>17429873750.84</v>
      </c>
    </row>
    <row r="1082" spans="1:14" x14ac:dyDescent="0.35">
      <c r="A1082" t="s">
        <v>23</v>
      </c>
      <c r="B1082" t="s">
        <v>83</v>
      </c>
      <c r="C1082">
        <v>2024</v>
      </c>
      <c r="D1082" t="s">
        <v>38</v>
      </c>
      <c r="E1082">
        <v>32869.42</v>
      </c>
      <c r="F1082">
        <v>73.8</v>
      </c>
      <c r="G1082">
        <v>276</v>
      </c>
      <c r="H1082">
        <v>157</v>
      </c>
      <c r="I1082" t="s">
        <v>21</v>
      </c>
      <c r="J1082">
        <v>3</v>
      </c>
      <c r="K1082" t="s">
        <v>47</v>
      </c>
      <c r="L1082">
        <v>10258</v>
      </c>
      <c r="M1082">
        <v>3.6</v>
      </c>
      <c r="N1082" s="6">
        <f t="shared" si="16"/>
        <v>337174510.35999995</v>
      </c>
    </row>
    <row r="1083" spans="1:14" x14ac:dyDescent="0.35">
      <c r="A1083" t="s">
        <v>57</v>
      </c>
      <c r="B1083" t="s">
        <v>79</v>
      </c>
      <c r="C1083">
        <v>2024</v>
      </c>
      <c r="D1083" t="s">
        <v>20</v>
      </c>
      <c r="E1083">
        <v>86809.78</v>
      </c>
      <c r="F1083">
        <v>64</v>
      </c>
      <c r="G1083">
        <v>201</v>
      </c>
      <c r="H1083">
        <v>126</v>
      </c>
      <c r="I1083" t="s">
        <v>16</v>
      </c>
      <c r="J1083">
        <v>4</v>
      </c>
      <c r="K1083" t="s">
        <v>20</v>
      </c>
      <c r="L1083">
        <v>40976</v>
      </c>
      <c r="M1083">
        <v>3</v>
      </c>
      <c r="N1083" s="6">
        <f t="shared" si="16"/>
        <v>3557117545.2799997</v>
      </c>
    </row>
    <row r="1084" spans="1:14" x14ac:dyDescent="0.35">
      <c r="A1084" t="s">
        <v>26</v>
      </c>
      <c r="B1084" t="s">
        <v>61</v>
      </c>
      <c r="C1084">
        <v>2024</v>
      </c>
      <c r="D1084" t="s">
        <v>15</v>
      </c>
      <c r="E1084">
        <v>107669.85</v>
      </c>
      <c r="F1084">
        <v>101.4</v>
      </c>
      <c r="G1084">
        <v>345</v>
      </c>
      <c r="H1084">
        <v>200</v>
      </c>
      <c r="I1084" t="s">
        <v>21</v>
      </c>
      <c r="J1084">
        <v>5</v>
      </c>
      <c r="K1084" t="s">
        <v>17</v>
      </c>
      <c r="L1084">
        <v>128063</v>
      </c>
      <c r="M1084">
        <v>4.17</v>
      </c>
      <c r="N1084" s="6">
        <f t="shared" si="16"/>
        <v>13788524000.550001</v>
      </c>
    </row>
    <row r="1085" spans="1:14" x14ac:dyDescent="0.35">
      <c r="A1085" t="s">
        <v>23</v>
      </c>
      <c r="B1085" t="s">
        <v>24</v>
      </c>
      <c r="C1085">
        <v>2024</v>
      </c>
      <c r="D1085" t="s">
        <v>43</v>
      </c>
      <c r="E1085">
        <v>37659.35</v>
      </c>
      <c r="F1085">
        <v>52.6</v>
      </c>
      <c r="G1085">
        <v>166</v>
      </c>
      <c r="H1085">
        <v>154</v>
      </c>
      <c r="I1085" t="s">
        <v>40</v>
      </c>
      <c r="J1085">
        <v>5</v>
      </c>
      <c r="K1085" t="s">
        <v>22</v>
      </c>
      <c r="L1085">
        <v>14766</v>
      </c>
      <c r="M1085">
        <v>3.22</v>
      </c>
      <c r="N1085" s="6">
        <f t="shared" si="16"/>
        <v>556077962.10000002</v>
      </c>
    </row>
    <row r="1086" spans="1:14" x14ac:dyDescent="0.35">
      <c r="A1086" t="s">
        <v>13</v>
      </c>
      <c r="B1086" t="s">
        <v>66</v>
      </c>
      <c r="C1086">
        <v>2024</v>
      </c>
      <c r="D1086" t="s">
        <v>28</v>
      </c>
      <c r="E1086">
        <v>62606.34</v>
      </c>
      <c r="F1086">
        <v>101.2</v>
      </c>
      <c r="G1086">
        <v>370</v>
      </c>
      <c r="H1086">
        <v>186</v>
      </c>
      <c r="I1086" t="s">
        <v>33</v>
      </c>
      <c r="J1086">
        <v>4</v>
      </c>
      <c r="K1086" t="s">
        <v>22</v>
      </c>
      <c r="L1086">
        <v>233529</v>
      </c>
      <c r="M1086">
        <v>3.84</v>
      </c>
      <c r="N1086" s="6">
        <f t="shared" si="16"/>
        <v>14620395973.859999</v>
      </c>
    </row>
    <row r="1087" spans="1:14" x14ac:dyDescent="0.35">
      <c r="A1087" t="s">
        <v>23</v>
      </c>
      <c r="B1087" t="s">
        <v>99</v>
      </c>
      <c r="C1087">
        <v>2024</v>
      </c>
      <c r="D1087" t="s">
        <v>20</v>
      </c>
      <c r="E1087">
        <v>80871.59</v>
      </c>
      <c r="F1087">
        <v>62.6</v>
      </c>
      <c r="G1087">
        <v>196</v>
      </c>
      <c r="H1087">
        <v>170</v>
      </c>
      <c r="I1087" t="s">
        <v>32</v>
      </c>
      <c r="J1087">
        <v>3</v>
      </c>
      <c r="K1087" t="s">
        <v>20</v>
      </c>
      <c r="L1087">
        <v>24840</v>
      </c>
      <c r="M1087">
        <v>3.52</v>
      </c>
      <c r="N1087" s="6">
        <f t="shared" si="16"/>
        <v>2008850295.5999999</v>
      </c>
    </row>
    <row r="1088" spans="1:14" x14ac:dyDescent="0.35">
      <c r="A1088" t="s">
        <v>26</v>
      </c>
      <c r="B1088" t="s">
        <v>61</v>
      </c>
      <c r="C1088">
        <v>2024</v>
      </c>
      <c r="D1088" t="s">
        <v>20</v>
      </c>
      <c r="E1088">
        <v>73063.27</v>
      </c>
      <c r="F1088">
        <v>55.1</v>
      </c>
      <c r="G1088">
        <v>176</v>
      </c>
      <c r="H1088">
        <v>137</v>
      </c>
      <c r="I1088" t="s">
        <v>21</v>
      </c>
      <c r="J1088">
        <v>5</v>
      </c>
      <c r="K1088" t="s">
        <v>20</v>
      </c>
      <c r="L1088">
        <v>143775</v>
      </c>
      <c r="M1088">
        <v>3.53</v>
      </c>
      <c r="N1088" s="6">
        <f t="shared" si="16"/>
        <v>10504671644.25</v>
      </c>
    </row>
    <row r="1089" spans="1:14" x14ac:dyDescent="0.35">
      <c r="A1089" t="s">
        <v>64</v>
      </c>
      <c r="B1089" t="s">
        <v>70</v>
      </c>
      <c r="C1089">
        <v>2024</v>
      </c>
      <c r="D1089" t="s">
        <v>15</v>
      </c>
      <c r="E1089">
        <v>123235.74</v>
      </c>
      <c r="F1089">
        <v>117.3</v>
      </c>
      <c r="G1089">
        <v>428</v>
      </c>
      <c r="H1089">
        <v>186</v>
      </c>
      <c r="I1089" t="s">
        <v>16</v>
      </c>
      <c r="J1089">
        <v>5</v>
      </c>
      <c r="K1089" t="s">
        <v>17</v>
      </c>
      <c r="L1089">
        <v>49531</v>
      </c>
      <c r="M1089">
        <v>3.97</v>
      </c>
      <c r="N1089" s="6">
        <f t="shared" si="16"/>
        <v>6103989437.9400005</v>
      </c>
    </row>
    <row r="1090" spans="1:14" x14ac:dyDescent="0.35">
      <c r="A1090" t="s">
        <v>29</v>
      </c>
      <c r="B1090" t="s">
        <v>53</v>
      </c>
      <c r="C1090">
        <v>2024</v>
      </c>
      <c r="D1090" t="s">
        <v>20</v>
      </c>
      <c r="E1090">
        <v>117988.5</v>
      </c>
      <c r="F1090">
        <v>65.2</v>
      </c>
      <c r="G1090">
        <v>250</v>
      </c>
      <c r="H1090">
        <v>160</v>
      </c>
      <c r="I1090" t="s">
        <v>16</v>
      </c>
      <c r="J1090">
        <v>4</v>
      </c>
      <c r="K1090" t="s">
        <v>17</v>
      </c>
      <c r="L1090">
        <v>117423</v>
      </c>
      <c r="M1090">
        <v>3.81</v>
      </c>
      <c r="N1090" s="6">
        <f t="shared" ref="N1090:N1153" si="17">E1090*L1090</f>
        <v>13854563635.5</v>
      </c>
    </row>
    <row r="1091" spans="1:14" x14ac:dyDescent="0.35">
      <c r="A1091" t="s">
        <v>26</v>
      </c>
      <c r="B1091" t="s">
        <v>36</v>
      </c>
      <c r="C1091">
        <v>2024</v>
      </c>
      <c r="D1091" t="s">
        <v>43</v>
      </c>
      <c r="E1091">
        <v>39013.49</v>
      </c>
      <c r="F1091">
        <v>67.3</v>
      </c>
      <c r="G1091">
        <v>235</v>
      </c>
      <c r="H1091">
        <v>171</v>
      </c>
      <c r="I1091" t="s">
        <v>25</v>
      </c>
      <c r="J1091">
        <v>4</v>
      </c>
      <c r="K1091" t="s">
        <v>22</v>
      </c>
      <c r="L1091">
        <v>124150</v>
      </c>
      <c r="M1091">
        <v>3.57</v>
      </c>
      <c r="N1091" s="6">
        <f t="shared" si="17"/>
        <v>4843524783.5</v>
      </c>
    </row>
    <row r="1092" spans="1:14" x14ac:dyDescent="0.35">
      <c r="A1092" t="s">
        <v>26</v>
      </c>
      <c r="B1092" t="s">
        <v>52</v>
      </c>
      <c r="C1092">
        <v>2024</v>
      </c>
      <c r="D1092" t="s">
        <v>28</v>
      </c>
      <c r="E1092">
        <v>50328.06</v>
      </c>
      <c r="F1092">
        <v>106.7</v>
      </c>
      <c r="G1092">
        <v>389</v>
      </c>
      <c r="H1092">
        <v>165</v>
      </c>
      <c r="I1092" t="s">
        <v>32</v>
      </c>
      <c r="J1092">
        <v>4</v>
      </c>
      <c r="K1092" t="s">
        <v>22</v>
      </c>
      <c r="L1092">
        <v>79174</v>
      </c>
      <c r="M1092">
        <v>3.94</v>
      </c>
      <c r="N1092" s="6">
        <f t="shared" si="17"/>
        <v>3984673822.4399996</v>
      </c>
    </row>
    <row r="1093" spans="1:14" x14ac:dyDescent="0.35">
      <c r="A1093" t="s">
        <v>29</v>
      </c>
      <c r="B1093" t="s">
        <v>59</v>
      </c>
      <c r="C1093">
        <v>2024</v>
      </c>
      <c r="D1093" t="s">
        <v>15</v>
      </c>
      <c r="E1093">
        <v>138879.13</v>
      </c>
      <c r="F1093">
        <v>102.3</v>
      </c>
      <c r="G1093">
        <v>358</v>
      </c>
      <c r="H1093">
        <v>197</v>
      </c>
      <c r="I1093" t="s">
        <v>40</v>
      </c>
      <c r="J1093">
        <v>4</v>
      </c>
      <c r="K1093" t="s">
        <v>17</v>
      </c>
      <c r="L1093">
        <v>187901</v>
      </c>
      <c r="M1093">
        <v>4.2300000000000004</v>
      </c>
      <c r="N1093" s="6">
        <f t="shared" si="17"/>
        <v>26095527406.130001</v>
      </c>
    </row>
    <row r="1094" spans="1:14" x14ac:dyDescent="0.35">
      <c r="A1094" t="s">
        <v>57</v>
      </c>
      <c r="B1094" t="s">
        <v>62</v>
      </c>
      <c r="C1094">
        <v>2024</v>
      </c>
      <c r="D1094" t="s">
        <v>43</v>
      </c>
      <c r="E1094">
        <v>81564.12</v>
      </c>
      <c r="F1094">
        <v>82.3</v>
      </c>
      <c r="G1094">
        <v>294</v>
      </c>
      <c r="H1094">
        <v>151</v>
      </c>
      <c r="I1094" t="s">
        <v>25</v>
      </c>
      <c r="J1094">
        <v>5</v>
      </c>
      <c r="K1094" t="s">
        <v>20</v>
      </c>
      <c r="L1094">
        <v>70445</v>
      </c>
      <c r="M1094">
        <v>3.48</v>
      </c>
      <c r="N1094" s="6">
        <f t="shared" si="17"/>
        <v>5745784433.3999996</v>
      </c>
    </row>
    <row r="1095" spans="1:14" x14ac:dyDescent="0.35">
      <c r="A1095" t="s">
        <v>45</v>
      </c>
      <c r="B1095" t="s">
        <v>46</v>
      </c>
      <c r="C1095">
        <v>2024</v>
      </c>
      <c r="D1095" t="s">
        <v>43</v>
      </c>
      <c r="E1095">
        <v>53792.67</v>
      </c>
      <c r="F1095">
        <v>73.2</v>
      </c>
      <c r="G1095">
        <v>287</v>
      </c>
      <c r="H1095">
        <v>136</v>
      </c>
      <c r="I1095" t="s">
        <v>21</v>
      </c>
      <c r="J1095">
        <v>4</v>
      </c>
      <c r="K1095" t="s">
        <v>22</v>
      </c>
      <c r="L1095">
        <v>246202</v>
      </c>
      <c r="M1095">
        <v>3.6</v>
      </c>
      <c r="N1095" s="6">
        <f t="shared" si="17"/>
        <v>13243862939.34</v>
      </c>
    </row>
    <row r="1096" spans="1:14" x14ac:dyDescent="0.35">
      <c r="A1096" t="s">
        <v>45</v>
      </c>
      <c r="B1096" t="s">
        <v>46</v>
      </c>
      <c r="C1096">
        <v>2024</v>
      </c>
      <c r="D1096" t="s">
        <v>43</v>
      </c>
      <c r="E1096">
        <v>83643.929999999993</v>
      </c>
      <c r="F1096">
        <v>76.5</v>
      </c>
      <c r="G1096">
        <v>285</v>
      </c>
      <c r="H1096">
        <v>154</v>
      </c>
      <c r="I1096" t="s">
        <v>25</v>
      </c>
      <c r="J1096">
        <v>5</v>
      </c>
      <c r="K1096" t="s">
        <v>20</v>
      </c>
      <c r="L1096">
        <v>218991</v>
      </c>
      <c r="M1096">
        <v>3.84</v>
      </c>
      <c r="N1096" s="6">
        <f t="shared" si="17"/>
        <v>18317267874.629997</v>
      </c>
    </row>
    <row r="1097" spans="1:14" x14ac:dyDescent="0.35">
      <c r="A1097" t="s">
        <v>64</v>
      </c>
      <c r="B1097" t="s">
        <v>70</v>
      </c>
      <c r="C1097">
        <v>2024</v>
      </c>
      <c r="D1097" t="s">
        <v>20</v>
      </c>
      <c r="E1097">
        <v>104797.89</v>
      </c>
      <c r="F1097">
        <v>46.5</v>
      </c>
      <c r="G1097">
        <v>162</v>
      </c>
      <c r="H1097">
        <v>160</v>
      </c>
      <c r="I1097" t="s">
        <v>32</v>
      </c>
      <c r="J1097">
        <v>5</v>
      </c>
      <c r="K1097" t="s">
        <v>17</v>
      </c>
      <c r="L1097">
        <v>26942</v>
      </c>
      <c r="M1097">
        <v>3.17</v>
      </c>
      <c r="N1097" s="6">
        <f t="shared" si="17"/>
        <v>2823464752.3800001</v>
      </c>
    </row>
    <row r="1098" spans="1:14" x14ac:dyDescent="0.35">
      <c r="A1098" t="s">
        <v>34</v>
      </c>
      <c r="B1098" t="s">
        <v>78</v>
      </c>
      <c r="C1098">
        <v>2024</v>
      </c>
      <c r="D1098" t="s">
        <v>43</v>
      </c>
      <c r="E1098">
        <v>113687.69</v>
      </c>
      <c r="F1098">
        <v>81.5</v>
      </c>
      <c r="G1098">
        <v>274</v>
      </c>
      <c r="H1098">
        <v>128</v>
      </c>
      <c r="I1098" t="s">
        <v>25</v>
      </c>
      <c r="J1098">
        <v>4</v>
      </c>
      <c r="K1098" t="s">
        <v>17</v>
      </c>
      <c r="L1098">
        <v>59376</v>
      </c>
      <c r="M1098">
        <v>3.82</v>
      </c>
      <c r="N1098" s="6">
        <f t="shared" si="17"/>
        <v>6750320281.4400005</v>
      </c>
    </row>
    <row r="1099" spans="1:14" x14ac:dyDescent="0.35">
      <c r="A1099" t="s">
        <v>13</v>
      </c>
      <c r="B1099" t="s">
        <v>51</v>
      </c>
      <c r="C1099">
        <v>2024</v>
      </c>
      <c r="D1099" t="s">
        <v>15</v>
      </c>
      <c r="E1099">
        <v>61036.31</v>
      </c>
      <c r="F1099">
        <v>77.7</v>
      </c>
      <c r="G1099">
        <v>243</v>
      </c>
      <c r="H1099">
        <v>193</v>
      </c>
      <c r="I1099" t="s">
        <v>33</v>
      </c>
      <c r="J1099">
        <v>4</v>
      </c>
      <c r="K1099" t="s">
        <v>22</v>
      </c>
      <c r="L1099">
        <v>274419</v>
      </c>
      <c r="M1099">
        <v>3.18</v>
      </c>
      <c r="N1099" s="6">
        <f t="shared" si="17"/>
        <v>16749523153.889999</v>
      </c>
    </row>
    <row r="1100" spans="1:14" x14ac:dyDescent="0.35">
      <c r="A1100" t="s">
        <v>45</v>
      </c>
      <c r="B1100" t="s">
        <v>69</v>
      </c>
      <c r="C1100">
        <v>2024</v>
      </c>
      <c r="D1100" t="s">
        <v>20</v>
      </c>
      <c r="E1100">
        <v>105441.86</v>
      </c>
      <c r="F1100">
        <v>57.2</v>
      </c>
      <c r="G1100">
        <v>209</v>
      </c>
      <c r="H1100">
        <v>152</v>
      </c>
      <c r="I1100" t="s">
        <v>16</v>
      </c>
      <c r="J1100">
        <v>5</v>
      </c>
      <c r="K1100" t="s">
        <v>17</v>
      </c>
      <c r="L1100">
        <v>226549</v>
      </c>
      <c r="M1100">
        <v>3.32</v>
      </c>
      <c r="N1100" s="6">
        <f t="shared" si="17"/>
        <v>23887747941.139999</v>
      </c>
    </row>
    <row r="1101" spans="1:14" x14ac:dyDescent="0.35">
      <c r="A1101" t="s">
        <v>29</v>
      </c>
      <c r="B1101" t="s">
        <v>30</v>
      </c>
      <c r="C1101">
        <v>2024</v>
      </c>
      <c r="D1101" t="s">
        <v>20</v>
      </c>
      <c r="E1101">
        <v>128470.34</v>
      </c>
      <c r="F1101">
        <v>75.7</v>
      </c>
      <c r="G1101">
        <v>268</v>
      </c>
      <c r="H1101">
        <v>140</v>
      </c>
      <c r="I1101" t="s">
        <v>16</v>
      </c>
      <c r="J1101">
        <v>3</v>
      </c>
      <c r="K1101" t="s">
        <v>17</v>
      </c>
      <c r="L1101">
        <v>244654</v>
      </c>
      <c r="M1101">
        <v>3.62</v>
      </c>
      <c r="N1101" s="6">
        <f t="shared" si="17"/>
        <v>31430782562.360001</v>
      </c>
    </row>
    <row r="1102" spans="1:14" x14ac:dyDescent="0.35">
      <c r="A1102" t="s">
        <v>73</v>
      </c>
      <c r="B1102" t="s">
        <v>74</v>
      </c>
      <c r="C1102">
        <v>2024</v>
      </c>
      <c r="D1102" t="s">
        <v>43</v>
      </c>
      <c r="E1102">
        <v>78059.06</v>
      </c>
      <c r="F1102">
        <v>66.599999999999994</v>
      </c>
      <c r="G1102">
        <v>252</v>
      </c>
      <c r="H1102">
        <v>157</v>
      </c>
      <c r="I1102" t="s">
        <v>21</v>
      </c>
      <c r="J1102">
        <v>5</v>
      </c>
      <c r="K1102" t="s">
        <v>20</v>
      </c>
      <c r="L1102">
        <v>24158</v>
      </c>
      <c r="M1102">
        <v>3.33</v>
      </c>
      <c r="N1102" s="6">
        <f t="shared" si="17"/>
        <v>1885750771.48</v>
      </c>
    </row>
    <row r="1103" spans="1:14" x14ac:dyDescent="0.35">
      <c r="A1103" t="s">
        <v>13</v>
      </c>
      <c r="B1103" t="s">
        <v>66</v>
      </c>
      <c r="C1103">
        <v>2024</v>
      </c>
      <c r="D1103" t="s">
        <v>20</v>
      </c>
      <c r="E1103">
        <v>49550.91</v>
      </c>
      <c r="F1103">
        <v>41.8</v>
      </c>
      <c r="G1103">
        <v>150</v>
      </c>
      <c r="H1103">
        <v>153</v>
      </c>
      <c r="I1103" t="s">
        <v>33</v>
      </c>
      <c r="J1103">
        <v>3</v>
      </c>
      <c r="K1103" t="s">
        <v>22</v>
      </c>
      <c r="L1103">
        <v>222078</v>
      </c>
      <c r="M1103">
        <v>3.54</v>
      </c>
      <c r="N1103" s="6">
        <f t="shared" si="17"/>
        <v>11004166990.980001</v>
      </c>
    </row>
    <row r="1104" spans="1:14" x14ac:dyDescent="0.35">
      <c r="A1104" t="s">
        <v>23</v>
      </c>
      <c r="B1104" t="s">
        <v>83</v>
      </c>
      <c r="C1104">
        <v>2024</v>
      </c>
      <c r="D1104" t="s">
        <v>43</v>
      </c>
      <c r="E1104">
        <v>34301.370000000003</v>
      </c>
      <c r="F1104">
        <v>70</v>
      </c>
      <c r="G1104">
        <v>218</v>
      </c>
      <c r="H1104">
        <v>163</v>
      </c>
      <c r="I1104" t="s">
        <v>21</v>
      </c>
      <c r="J1104">
        <v>4</v>
      </c>
      <c r="K1104" t="s">
        <v>47</v>
      </c>
      <c r="L1104">
        <v>738</v>
      </c>
      <c r="M1104">
        <v>3.6</v>
      </c>
      <c r="N1104" s="6">
        <f t="shared" si="17"/>
        <v>25314411.060000002</v>
      </c>
    </row>
    <row r="1105" spans="1:14" x14ac:dyDescent="0.35">
      <c r="A1105" t="s">
        <v>18</v>
      </c>
      <c r="B1105" t="s">
        <v>93</v>
      </c>
      <c r="C1105">
        <v>2024</v>
      </c>
      <c r="D1105" t="s">
        <v>15</v>
      </c>
      <c r="E1105">
        <v>66816.55</v>
      </c>
      <c r="F1105">
        <v>110.6</v>
      </c>
      <c r="G1105">
        <v>367</v>
      </c>
      <c r="H1105">
        <v>181</v>
      </c>
      <c r="I1105" t="s">
        <v>32</v>
      </c>
      <c r="J1105">
        <v>4</v>
      </c>
      <c r="K1105" t="s">
        <v>20</v>
      </c>
      <c r="L1105">
        <v>11062</v>
      </c>
      <c r="M1105">
        <v>3.79</v>
      </c>
      <c r="N1105" s="6">
        <f t="shared" si="17"/>
        <v>739124676.10000002</v>
      </c>
    </row>
    <row r="1106" spans="1:14" x14ac:dyDescent="0.35">
      <c r="A1106" t="s">
        <v>34</v>
      </c>
      <c r="B1106" t="s">
        <v>35</v>
      </c>
      <c r="C1106">
        <v>2025</v>
      </c>
      <c r="D1106" t="s">
        <v>15</v>
      </c>
      <c r="E1106">
        <v>131074.23000000001</v>
      </c>
      <c r="F1106">
        <v>82.7</v>
      </c>
      <c r="G1106">
        <v>292</v>
      </c>
      <c r="H1106">
        <v>200</v>
      </c>
      <c r="I1106" t="s">
        <v>21</v>
      </c>
      <c r="J1106">
        <v>4</v>
      </c>
      <c r="K1106" t="s">
        <v>17</v>
      </c>
      <c r="L1106">
        <v>48277</v>
      </c>
      <c r="M1106">
        <v>4.1100000000000003</v>
      </c>
      <c r="N1106" s="6">
        <f t="shared" si="17"/>
        <v>6327870601.71</v>
      </c>
    </row>
    <row r="1107" spans="1:14" x14ac:dyDescent="0.35">
      <c r="A1107" t="s">
        <v>23</v>
      </c>
      <c r="B1107" t="s">
        <v>37</v>
      </c>
      <c r="C1107">
        <v>2025</v>
      </c>
      <c r="D1107" t="s">
        <v>38</v>
      </c>
      <c r="E1107">
        <v>56944.53</v>
      </c>
      <c r="F1107">
        <v>69.900000000000006</v>
      </c>
      <c r="G1107">
        <v>251</v>
      </c>
      <c r="H1107">
        <v>149</v>
      </c>
      <c r="I1107" t="s">
        <v>25</v>
      </c>
      <c r="J1107">
        <v>5</v>
      </c>
      <c r="K1107" t="s">
        <v>22</v>
      </c>
      <c r="L1107">
        <v>8761</v>
      </c>
      <c r="M1107">
        <v>3.46</v>
      </c>
      <c r="N1107" s="6">
        <f t="shared" si="17"/>
        <v>498891027.32999998</v>
      </c>
    </row>
    <row r="1108" spans="1:14" x14ac:dyDescent="0.35">
      <c r="A1108" t="s">
        <v>41</v>
      </c>
      <c r="B1108" t="s">
        <v>42</v>
      </c>
      <c r="C1108">
        <v>2025</v>
      </c>
      <c r="D1108" t="s">
        <v>43</v>
      </c>
      <c r="E1108">
        <v>88914.19</v>
      </c>
      <c r="F1108">
        <v>66.7</v>
      </c>
      <c r="G1108">
        <v>232</v>
      </c>
      <c r="H1108">
        <v>173</v>
      </c>
      <c r="I1108" t="s">
        <v>16</v>
      </c>
      <c r="J1108">
        <v>3</v>
      </c>
      <c r="K1108" t="s">
        <v>20</v>
      </c>
      <c r="L1108">
        <v>2408</v>
      </c>
      <c r="M1108">
        <v>3.67</v>
      </c>
      <c r="N1108" s="6">
        <f t="shared" si="17"/>
        <v>214105369.52000001</v>
      </c>
    </row>
    <row r="1109" spans="1:14" x14ac:dyDescent="0.35">
      <c r="A1109" t="s">
        <v>34</v>
      </c>
      <c r="B1109" t="s">
        <v>44</v>
      </c>
      <c r="C1109">
        <v>2025</v>
      </c>
      <c r="D1109" t="s">
        <v>15</v>
      </c>
      <c r="E1109">
        <v>210811.92</v>
      </c>
      <c r="F1109">
        <v>93.2</v>
      </c>
      <c r="G1109">
        <v>320</v>
      </c>
      <c r="H1109">
        <v>200</v>
      </c>
      <c r="I1109" t="s">
        <v>32</v>
      </c>
      <c r="J1109">
        <v>5</v>
      </c>
      <c r="K1109" t="s">
        <v>17</v>
      </c>
      <c r="L1109">
        <v>56039</v>
      </c>
      <c r="M1109">
        <v>3.59</v>
      </c>
      <c r="N1109" s="6">
        <f t="shared" si="17"/>
        <v>11813689184.880001</v>
      </c>
    </row>
    <row r="1110" spans="1:14" x14ac:dyDescent="0.35">
      <c r="A1110" t="s">
        <v>26</v>
      </c>
      <c r="B1110" t="s">
        <v>52</v>
      </c>
      <c r="C1110">
        <v>2025</v>
      </c>
      <c r="D1110" t="s">
        <v>20</v>
      </c>
      <c r="E1110">
        <v>106848.2</v>
      </c>
      <c r="F1110">
        <v>54.1</v>
      </c>
      <c r="G1110">
        <v>193</v>
      </c>
      <c r="H1110">
        <v>135</v>
      </c>
      <c r="I1110" t="s">
        <v>33</v>
      </c>
      <c r="J1110">
        <v>4</v>
      </c>
      <c r="K1110" t="s">
        <v>17</v>
      </c>
      <c r="L1110">
        <v>85618</v>
      </c>
      <c r="M1110">
        <v>3.33</v>
      </c>
      <c r="N1110" s="6">
        <f t="shared" si="17"/>
        <v>9148129187.6000004</v>
      </c>
    </row>
    <row r="1111" spans="1:14" x14ac:dyDescent="0.35">
      <c r="A1111" t="s">
        <v>57</v>
      </c>
      <c r="B1111" t="s">
        <v>58</v>
      </c>
      <c r="C1111">
        <v>2025</v>
      </c>
      <c r="D1111" t="s">
        <v>15</v>
      </c>
      <c r="E1111">
        <v>96527.54</v>
      </c>
      <c r="F1111">
        <v>75.2</v>
      </c>
      <c r="G1111">
        <v>286</v>
      </c>
      <c r="H1111">
        <v>188</v>
      </c>
      <c r="I1111" t="s">
        <v>33</v>
      </c>
      <c r="J1111">
        <v>3</v>
      </c>
      <c r="K1111" t="s">
        <v>20</v>
      </c>
      <c r="L1111">
        <v>67670</v>
      </c>
      <c r="M1111">
        <v>3.6</v>
      </c>
      <c r="N1111" s="6">
        <f t="shared" si="17"/>
        <v>6532018631.7999992</v>
      </c>
    </row>
    <row r="1112" spans="1:14" x14ac:dyDescent="0.35">
      <c r="A1112" t="s">
        <v>49</v>
      </c>
      <c r="B1112" t="s">
        <v>60</v>
      </c>
      <c r="C1112">
        <v>2025</v>
      </c>
      <c r="D1112" t="s">
        <v>15</v>
      </c>
      <c r="E1112">
        <v>86045.75</v>
      </c>
      <c r="F1112">
        <v>96.3</v>
      </c>
      <c r="G1112">
        <v>314</v>
      </c>
      <c r="H1112">
        <v>200</v>
      </c>
      <c r="I1112" t="s">
        <v>32</v>
      </c>
      <c r="J1112">
        <v>5</v>
      </c>
      <c r="K1112" t="s">
        <v>20</v>
      </c>
      <c r="L1112">
        <v>124864</v>
      </c>
      <c r="M1112">
        <v>3.57</v>
      </c>
      <c r="N1112" s="6">
        <f t="shared" si="17"/>
        <v>10744016528</v>
      </c>
    </row>
    <row r="1113" spans="1:14" x14ac:dyDescent="0.35">
      <c r="A1113" t="s">
        <v>29</v>
      </c>
      <c r="B1113" t="s">
        <v>31</v>
      </c>
      <c r="C1113">
        <v>2025</v>
      </c>
      <c r="D1113" t="s">
        <v>15</v>
      </c>
      <c r="E1113">
        <v>135780.6</v>
      </c>
      <c r="F1113">
        <v>105.2</v>
      </c>
      <c r="G1113">
        <v>383</v>
      </c>
      <c r="H1113">
        <v>196</v>
      </c>
      <c r="I1113" t="s">
        <v>16</v>
      </c>
      <c r="J1113">
        <v>5</v>
      </c>
      <c r="K1113" t="s">
        <v>17</v>
      </c>
      <c r="L1113">
        <v>411097</v>
      </c>
      <c r="M1113">
        <v>4.12</v>
      </c>
      <c r="N1113" s="6">
        <f t="shared" si="17"/>
        <v>55818997318.200005</v>
      </c>
    </row>
    <row r="1114" spans="1:14" x14ac:dyDescent="0.35">
      <c r="A1114" t="s">
        <v>29</v>
      </c>
      <c r="B1114" t="s">
        <v>59</v>
      </c>
      <c r="C1114">
        <v>2025</v>
      </c>
      <c r="D1114" t="s">
        <v>38</v>
      </c>
      <c r="E1114">
        <v>110771.86</v>
      </c>
      <c r="F1114">
        <v>52.9</v>
      </c>
      <c r="G1114">
        <v>177</v>
      </c>
      <c r="H1114">
        <v>151</v>
      </c>
      <c r="I1114" t="s">
        <v>21</v>
      </c>
      <c r="J1114">
        <v>4</v>
      </c>
      <c r="K1114" t="s">
        <v>17</v>
      </c>
      <c r="L1114">
        <v>179640</v>
      </c>
      <c r="M1114">
        <v>3.42</v>
      </c>
      <c r="N1114" s="6">
        <f t="shared" si="17"/>
        <v>19899056930.400002</v>
      </c>
    </row>
    <row r="1115" spans="1:14" x14ac:dyDescent="0.35">
      <c r="A1115" t="s">
        <v>57</v>
      </c>
      <c r="B1115" t="s">
        <v>62</v>
      </c>
      <c r="C1115">
        <v>2025</v>
      </c>
      <c r="D1115" t="s">
        <v>15</v>
      </c>
      <c r="E1115">
        <v>69597.509999999995</v>
      </c>
      <c r="F1115">
        <v>106.2</v>
      </c>
      <c r="G1115">
        <v>361</v>
      </c>
      <c r="H1115">
        <v>192</v>
      </c>
      <c r="I1115" t="s">
        <v>40</v>
      </c>
      <c r="J1115">
        <v>5</v>
      </c>
      <c r="K1115" t="s">
        <v>20</v>
      </c>
      <c r="L1115">
        <v>24574</v>
      </c>
      <c r="M1115">
        <v>3.79</v>
      </c>
      <c r="N1115" s="6">
        <f t="shared" si="17"/>
        <v>1710289210.7399998</v>
      </c>
    </row>
    <row r="1116" spans="1:14" x14ac:dyDescent="0.35">
      <c r="A1116" t="s">
        <v>45</v>
      </c>
      <c r="B1116" t="s">
        <v>63</v>
      </c>
      <c r="C1116">
        <v>2025</v>
      </c>
      <c r="D1116" t="s">
        <v>43</v>
      </c>
      <c r="E1116">
        <v>31434.26</v>
      </c>
      <c r="F1116">
        <v>60.6</v>
      </c>
      <c r="G1116">
        <v>229</v>
      </c>
      <c r="H1116">
        <v>136</v>
      </c>
      <c r="I1116" t="s">
        <v>32</v>
      </c>
      <c r="J1116">
        <v>4</v>
      </c>
      <c r="K1116" t="s">
        <v>47</v>
      </c>
      <c r="L1116">
        <v>242953</v>
      </c>
      <c r="M1116">
        <v>3.29</v>
      </c>
      <c r="N1116" s="6">
        <f t="shared" si="17"/>
        <v>7637047769.7799997</v>
      </c>
    </row>
    <row r="1117" spans="1:14" x14ac:dyDescent="0.35">
      <c r="A1117" t="s">
        <v>64</v>
      </c>
      <c r="B1117" t="s">
        <v>65</v>
      </c>
      <c r="C1117">
        <v>2025</v>
      </c>
      <c r="D1117" t="s">
        <v>15</v>
      </c>
      <c r="E1117">
        <v>156773.89000000001</v>
      </c>
      <c r="F1117">
        <v>81.400000000000006</v>
      </c>
      <c r="G1117">
        <v>266</v>
      </c>
      <c r="H1117">
        <v>190</v>
      </c>
      <c r="I1117" t="s">
        <v>16</v>
      </c>
      <c r="J1117">
        <v>5</v>
      </c>
      <c r="K1117" t="s">
        <v>17</v>
      </c>
      <c r="L1117">
        <v>58126</v>
      </c>
      <c r="M1117">
        <v>3.6</v>
      </c>
      <c r="N1117" s="6">
        <f t="shared" si="17"/>
        <v>9112639130.1400013</v>
      </c>
    </row>
    <row r="1118" spans="1:14" x14ac:dyDescent="0.35">
      <c r="A1118" t="s">
        <v>49</v>
      </c>
      <c r="B1118" t="s">
        <v>60</v>
      </c>
      <c r="C1118">
        <v>2025</v>
      </c>
      <c r="D1118" t="s">
        <v>43</v>
      </c>
      <c r="E1118">
        <v>69769.460000000006</v>
      </c>
      <c r="F1118">
        <v>63.2</v>
      </c>
      <c r="G1118">
        <v>212</v>
      </c>
      <c r="H1118">
        <v>133</v>
      </c>
      <c r="I1118" t="s">
        <v>32</v>
      </c>
      <c r="J1118">
        <v>4</v>
      </c>
      <c r="K1118" t="s">
        <v>20</v>
      </c>
      <c r="L1118">
        <v>50147</v>
      </c>
      <c r="M1118">
        <v>3.21</v>
      </c>
      <c r="N1118" s="6">
        <f t="shared" si="17"/>
        <v>3498729110.6200004</v>
      </c>
    </row>
    <row r="1119" spans="1:14" x14ac:dyDescent="0.35">
      <c r="A1119" t="s">
        <v>67</v>
      </c>
      <c r="B1119" t="s">
        <v>68</v>
      </c>
      <c r="C1119">
        <v>2025</v>
      </c>
      <c r="D1119" t="s">
        <v>43</v>
      </c>
      <c r="E1119">
        <v>53762.11</v>
      </c>
      <c r="F1119">
        <v>52.1</v>
      </c>
      <c r="G1119">
        <v>156</v>
      </c>
      <c r="H1119">
        <v>154</v>
      </c>
      <c r="I1119" t="s">
        <v>33</v>
      </c>
      <c r="J1119">
        <v>4</v>
      </c>
      <c r="K1119" t="s">
        <v>22</v>
      </c>
      <c r="L1119">
        <v>69650</v>
      </c>
      <c r="M1119">
        <v>3.68</v>
      </c>
      <c r="N1119" s="6">
        <f t="shared" si="17"/>
        <v>3744530961.5</v>
      </c>
    </row>
    <row r="1120" spans="1:14" x14ac:dyDescent="0.35">
      <c r="A1120" t="s">
        <v>45</v>
      </c>
      <c r="B1120" t="s">
        <v>48</v>
      </c>
      <c r="C1120">
        <v>2025</v>
      </c>
      <c r="D1120" t="s">
        <v>38</v>
      </c>
      <c r="E1120">
        <v>26682.38</v>
      </c>
      <c r="F1120">
        <v>53.9</v>
      </c>
      <c r="G1120">
        <v>199</v>
      </c>
      <c r="H1120">
        <v>137</v>
      </c>
      <c r="I1120" t="s">
        <v>16</v>
      </c>
      <c r="J1120">
        <v>4</v>
      </c>
      <c r="K1120" t="s">
        <v>47</v>
      </c>
      <c r="L1120">
        <v>158602</v>
      </c>
      <c r="M1120">
        <v>3.26</v>
      </c>
      <c r="N1120" s="6">
        <f t="shared" si="17"/>
        <v>4231878832.7600002</v>
      </c>
    </row>
    <row r="1121" spans="1:14" x14ac:dyDescent="0.35">
      <c r="A1121" t="s">
        <v>49</v>
      </c>
      <c r="B1121" t="s">
        <v>71</v>
      </c>
      <c r="C1121">
        <v>2025</v>
      </c>
      <c r="D1121" t="s">
        <v>38</v>
      </c>
      <c r="E1121">
        <v>45100.09</v>
      </c>
      <c r="F1121">
        <v>79.5</v>
      </c>
      <c r="G1121">
        <v>257</v>
      </c>
      <c r="H1121">
        <v>174</v>
      </c>
      <c r="I1121" t="s">
        <v>32</v>
      </c>
      <c r="J1121">
        <v>4</v>
      </c>
      <c r="K1121" t="s">
        <v>22</v>
      </c>
      <c r="L1121">
        <v>128526</v>
      </c>
      <c r="M1121">
        <v>3.61</v>
      </c>
      <c r="N1121" s="6">
        <f t="shared" si="17"/>
        <v>5796534167.3399992</v>
      </c>
    </row>
    <row r="1122" spans="1:14" x14ac:dyDescent="0.35">
      <c r="A1122" t="s">
        <v>73</v>
      </c>
      <c r="B1122" t="s">
        <v>74</v>
      </c>
      <c r="C1122">
        <v>2025</v>
      </c>
      <c r="D1122" t="s">
        <v>15</v>
      </c>
      <c r="E1122">
        <v>60624.73</v>
      </c>
      <c r="F1122">
        <v>82.4</v>
      </c>
      <c r="G1122">
        <v>278</v>
      </c>
      <c r="H1122">
        <v>200</v>
      </c>
      <c r="I1122" t="s">
        <v>21</v>
      </c>
      <c r="J1122">
        <v>4</v>
      </c>
      <c r="K1122" t="s">
        <v>22</v>
      </c>
      <c r="L1122">
        <v>8857</v>
      </c>
      <c r="M1122">
        <v>3.49</v>
      </c>
      <c r="N1122" s="6">
        <f t="shared" si="17"/>
        <v>536953233.61000001</v>
      </c>
    </row>
    <row r="1123" spans="1:14" x14ac:dyDescent="0.35">
      <c r="A1123" t="s">
        <v>67</v>
      </c>
      <c r="B1123" t="s">
        <v>68</v>
      </c>
      <c r="C1123">
        <v>2025</v>
      </c>
      <c r="D1123" t="s">
        <v>38</v>
      </c>
      <c r="E1123">
        <v>63332.23</v>
      </c>
      <c r="F1123">
        <v>84.4</v>
      </c>
      <c r="G1123">
        <v>310</v>
      </c>
      <c r="H1123">
        <v>162</v>
      </c>
      <c r="I1123" t="s">
        <v>33</v>
      </c>
      <c r="J1123">
        <v>5</v>
      </c>
      <c r="K1123" t="s">
        <v>22</v>
      </c>
      <c r="L1123">
        <v>62327</v>
      </c>
      <c r="M1123">
        <v>3.85</v>
      </c>
      <c r="N1123" s="6">
        <f t="shared" si="17"/>
        <v>3947307899.21</v>
      </c>
    </row>
    <row r="1124" spans="1:14" x14ac:dyDescent="0.35">
      <c r="A1124" t="s">
        <v>29</v>
      </c>
      <c r="B1124" t="s">
        <v>59</v>
      </c>
      <c r="C1124">
        <v>2025</v>
      </c>
      <c r="D1124" t="s">
        <v>38</v>
      </c>
      <c r="E1124">
        <v>73015.63</v>
      </c>
      <c r="F1124">
        <v>82.4</v>
      </c>
      <c r="G1124">
        <v>304</v>
      </c>
      <c r="H1124">
        <v>156</v>
      </c>
      <c r="I1124" t="s">
        <v>16</v>
      </c>
      <c r="J1124">
        <v>5</v>
      </c>
      <c r="K1124" t="s">
        <v>20</v>
      </c>
      <c r="L1124">
        <v>173406</v>
      </c>
      <c r="M1124">
        <v>3.75</v>
      </c>
      <c r="N1124" s="6">
        <f t="shared" si="17"/>
        <v>12661348335.780001</v>
      </c>
    </row>
    <row r="1125" spans="1:14" x14ac:dyDescent="0.35">
      <c r="A1125" t="s">
        <v>29</v>
      </c>
      <c r="B1125" t="s">
        <v>53</v>
      </c>
      <c r="C1125">
        <v>2025</v>
      </c>
      <c r="D1125" t="s">
        <v>15</v>
      </c>
      <c r="E1125">
        <v>117415.98</v>
      </c>
      <c r="F1125">
        <v>78.099999999999994</v>
      </c>
      <c r="G1125">
        <v>263</v>
      </c>
      <c r="H1125">
        <v>200</v>
      </c>
      <c r="I1125" t="s">
        <v>16</v>
      </c>
      <c r="J1125">
        <v>5</v>
      </c>
      <c r="K1125" t="s">
        <v>17</v>
      </c>
      <c r="L1125">
        <v>183531</v>
      </c>
      <c r="M1125">
        <v>3.7</v>
      </c>
      <c r="N1125" s="6">
        <f t="shared" si="17"/>
        <v>21549472225.380001</v>
      </c>
    </row>
    <row r="1126" spans="1:14" x14ac:dyDescent="0.35">
      <c r="A1126" t="s">
        <v>29</v>
      </c>
      <c r="B1126" t="s">
        <v>30</v>
      </c>
      <c r="C1126">
        <v>2025</v>
      </c>
      <c r="D1126" t="s">
        <v>43</v>
      </c>
      <c r="E1126">
        <v>71316.86</v>
      </c>
      <c r="F1126">
        <v>73.900000000000006</v>
      </c>
      <c r="G1126">
        <v>249</v>
      </c>
      <c r="H1126">
        <v>144</v>
      </c>
      <c r="I1126" t="s">
        <v>21</v>
      </c>
      <c r="J1126">
        <v>5</v>
      </c>
      <c r="K1126" t="s">
        <v>20</v>
      </c>
      <c r="L1126">
        <v>242716</v>
      </c>
      <c r="M1126">
        <v>3.7</v>
      </c>
      <c r="N1126" s="6">
        <f t="shared" si="17"/>
        <v>17309742991.759998</v>
      </c>
    </row>
    <row r="1127" spans="1:14" x14ac:dyDescent="0.35">
      <c r="A1127" t="s">
        <v>45</v>
      </c>
      <c r="B1127" t="s">
        <v>63</v>
      </c>
      <c r="C1127">
        <v>2025</v>
      </c>
      <c r="D1127" t="s">
        <v>38</v>
      </c>
      <c r="E1127">
        <v>59005.52</v>
      </c>
      <c r="F1127">
        <v>58.4</v>
      </c>
      <c r="G1127">
        <v>200</v>
      </c>
      <c r="H1127">
        <v>137</v>
      </c>
      <c r="I1127" t="s">
        <v>25</v>
      </c>
      <c r="J1127">
        <v>5</v>
      </c>
      <c r="K1127" t="s">
        <v>22</v>
      </c>
      <c r="L1127">
        <v>127516</v>
      </c>
      <c r="M1127">
        <v>3.31</v>
      </c>
      <c r="N1127" s="6">
        <f t="shared" si="17"/>
        <v>7524147888.3199997</v>
      </c>
    </row>
    <row r="1128" spans="1:14" x14ac:dyDescent="0.35">
      <c r="A1128" t="s">
        <v>34</v>
      </c>
      <c r="B1128" t="s">
        <v>78</v>
      </c>
      <c r="C1128">
        <v>2025</v>
      </c>
      <c r="D1128" t="s">
        <v>15</v>
      </c>
      <c r="E1128">
        <v>188302.14</v>
      </c>
      <c r="F1128">
        <v>78.5</v>
      </c>
      <c r="G1128">
        <v>277</v>
      </c>
      <c r="H1128">
        <v>185</v>
      </c>
      <c r="I1128" t="s">
        <v>33</v>
      </c>
      <c r="J1128">
        <v>4</v>
      </c>
      <c r="K1128" t="s">
        <v>17</v>
      </c>
      <c r="L1128">
        <v>43172</v>
      </c>
      <c r="M1128">
        <v>4</v>
      </c>
      <c r="N1128" s="6">
        <f t="shared" si="17"/>
        <v>8129379988.0800009</v>
      </c>
    </row>
    <row r="1129" spans="1:14" x14ac:dyDescent="0.35">
      <c r="A1129" t="s">
        <v>29</v>
      </c>
      <c r="B1129" t="s">
        <v>31</v>
      </c>
      <c r="C1129">
        <v>2025</v>
      </c>
      <c r="D1129" t="s">
        <v>15</v>
      </c>
      <c r="E1129">
        <v>43196.41</v>
      </c>
      <c r="F1129">
        <v>111.9</v>
      </c>
      <c r="G1129">
        <v>408</v>
      </c>
      <c r="H1129">
        <v>197</v>
      </c>
      <c r="I1129" t="s">
        <v>16</v>
      </c>
      <c r="J1129">
        <v>5</v>
      </c>
      <c r="K1129" t="s">
        <v>22</v>
      </c>
      <c r="L1129">
        <v>437912</v>
      </c>
      <c r="M1129">
        <v>4.03</v>
      </c>
      <c r="N1129" s="6">
        <f t="shared" si="17"/>
        <v>18916226295.920002</v>
      </c>
    </row>
    <row r="1130" spans="1:14" x14ac:dyDescent="0.35">
      <c r="A1130" t="s">
        <v>57</v>
      </c>
      <c r="B1130" t="s">
        <v>62</v>
      </c>
      <c r="C1130">
        <v>2025</v>
      </c>
      <c r="D1130" t="s">
        <v>20</v>
      </c>
      <c r="E1130">
        <v>45539.59</v>
      </c>
      <c r="F1130">
        <v>55.1</v>
      </c>
      <c r="G1130">
        <v>198</v>
      </c>
      <c r="H1130">
        <v>173</v>
      </c>
      <c r="I1130" t="s">
        <v>32</v>
      </c>
      <c r="J1130">
        <v>5</v>
      </c>
      <c r="K1130" t="s">
        <v>22</v>
      </c>
      <c r="L1130">
        <v>26865</v>
      </c>
      <c r="M1130">
        <v>3</v>
      </c>
      <c r="N1130" s="6">
        <f t="shared" si="17"/>
        <v>1223421085.3499999</v>
      </c>
    </row>
    <row r="1131" spans="1:14" x14ac:dyDescent="0.35">
      <c r="A1131" t="s">
        <v>23</v>
      </c>
      <c r="B1131" t="s">
        <v>82</v>
      </c>
      <c r="C1131">
        <v>2025</v>
      </c>
      <c r="D1131" t="s">
        <v>15</v>
      </c>
      <c r="E1131">
        <v>102049.38</v>
      </c>
      <c r="F1131">
        <v>116.6</v>
      </c>
      <c r="G1131">
        <v>395</v>
      </c>
      <c r="H1131">
        <v>192</v>
      </c>
      <c r="I1131" t="s">
        <v>25</v>
      </c>
      <c r="J1131">
        <v>4</v>
      </c>
      <c r="K1131" t="s">
        <v>17</v>
      </c>
      <c r="L1131">
        <v>7957</v>
      </c>
      <c r="M1131">
        <v>4.16</v>
      </c>
      <c r="N1131" s="6">
        <f t="shared" si="17"/>
        <v>812006916.66000009</v>
      </c>
    </row>
    <row r="1132" spans="1:14" x14ac:dyDescent="0.35">
      <c r="A1132" t="s">
        <v>13</v>
      </c>
      <c r="B1132" t="s">
        <v>66</v>
      </c>
      <c r="C1132">
        <v>2025</v>
      </c>
      <c r="D1132" t="s">
        <v>38</v>
      </c>
      <c r="E1132">
        <v>38889.440000000002</v>
      </c>
      <c r="F1132">
        <v>65</v>
      </c>
      <c r="G1132">
        <v>231</v>
      </c>
      <c r="H1132">
        <v>160</v>
      </c>
      <c r="I1132" t="s">
        <v>40</v>
      </c>
      <c r="J1132">
        <v>5</v>
      </c>
      <c r="K1132" t="s">
        <v>22</v>
      </c>
      <c r="L1132">
        <v>293320</v>
      </c>
      <c r="M1132">
        <v>3.41</v>
      </c>
      <c r="N1132" s="6">
        <f t="shared" si="17"/>
        <v>11407050540.800001</v>
      </c>
    </row>
    <row r="1133" spans="1:14" x14ac:dyDescent="0.35">
      <c r="A1133" t="s">
        <v>29</v>
      </c>
      <c r="B1133" t="s">
        <v>30</v>
      </c>
      <c r="C1133">
        <v>2025</v>
      </c>
      <c r="D1133" t="s">
        <v>15</v>
      </c>
      <c r="E1133">
        <v>169366.43</v>
      </c>
      <c r="F1133">
        <v>117.4</v>
      </c>
      <c r="G1133">
        <v>416</v>
      </c>
      <c r="H1133">
        <v>200</v>
      </c>
      <c r="I1133" t="s">
        <v>21</v>
      </c>
      <c r="J1133">
        <v>5</v>
      </c>
      <c r="K1133" t="s">
        <v>17</v>
      </c>
      <c r="L1133">
        <v>248754</v>
      </c>
      <c r="M1133">
        <v>4.09</v>
      </c>
      <c r="N1133" s="6">
        <f t="shared" si="17"/>
        <v>42130576928.220001</v>
      </c>
    </row>
    <row r="1134" spans="1:14" x14ac:dyDescent="0.35">
      <c r="A1134" t="s">
        <v>49</v>
      </c>
      <c r="B1134" t="s">
        <v>87</v>
      </c>
      <c r="C1134">
        <v>2025</v>
      </c>
      <c r="D1134" t="s">
        <v>15</v>
      </c>
      <c r="E1134">
        <v>57904.84</v>
      </c>
      <c r="F1134">
        <v>80.5</v>
      </c>
      <c r="G1134">
        <v>286</v>
      </c>
      <c r="H1134">
        <v>200</v>
      </c>
      <c r="I1134" t="s">
        <v>40</v>
      </c>
      <c r="J1134">
        <v>4</v>
      </c>
      <c r="K1134" t="s">
        <v>22</v>
      </c>
      <c r="L1134">
        <v>68118</v>
      </c>
      <c r="M1134">
        <v>3.73</v>
      </c>
      <c r="N1134" s="6">
        <f t="shared" si="17"/>
        <v>3944361891.1199999</v>
      </c>
    </row>
    <row r="1135" spans="1:14" x14ac:dyDescent="0.35">
      <c r="A1135" t="s">
        <v>49</v>
      </c>
      <c r="B1135" t="s">
        <v>60</v>
      </c>
      <c r="C1135">
        <v>2025</v>
      </c>
      <c r="D1135" t="s">
        <v>15</v>
      </c>
      <c r="E1135">
        <v>45837.99</v>
      </c>
      <c r="F1135">
        <v>84.4</v>
      </c>
      <c r="G1135">
        <v>306</v>
      </c>
      <c r="H1135">
        <v>192</v>
      </c>
      <c r="I1135" t="s">
        <v>40</v>
      </c>
      <c r="J1135">
        <v>5</v>
      </c>
      <c r="K1135" t="s">
        <v>22</v>
      </c>
      <c r="L1135">
        <v>96533</v>
      </c>
      <c r="M1135">
        <v>3.3</v>
      </c>
      <c r="N1135" s="6">
        <f t="shared" si="17"/>
        <v>4424878688.6700001</v>
      </c>
    </row>
    <row r="1136" spans="1:14" x14ac:dyDescent="0.35">
      <c r="A1136" t="s">
        <v>67</v>
      </c>
      <c r="B1136" t="s">
        <v>89</v>
      </c>
      <c r="C1136">
        <v>2025</v>
      </c>
      <c r="D1136" t="s">
        <v>20</v>
      </c>
      <c r="E1136">
        <v>80343.06</v>
      </c>
      <c r="F1136">
        <v>66.3</v>
      </c>
      <c r="G1136">
        <v>231</v>
      </c>
      <c r="H1136">
        <v>161</v>
      </c>
      <c r="I1136" t="s">
        <v>25</v>
      </c>
      <c r="J1136">
        <v>5</v>
      </c>
      <c r="K1136" t="s">
        <v>20</v>
      </c>
      <c r="L1136">
        <v>43236</v>
      </c>
      <c r="M1136">
        <v>3.38</v>
      </c>
      <c r="N1136" s="6">
        <f t="shared" si="17"/>
        <v>3473712542.1599998</v>
      </c>
    </row>
    <row r="1137" spans="1:14" x14ac:dyDescent="0.35">
      <c r="A1137" t="s">
        <v>45</v>
      </c>
      <c r="B1137" t="s">
        <v>63</v>
      </c>
      <c r="C1137">
        <v>2025</v>
      </c>
      <c r="D1137" t="s">
        <v>38</v>
      </c>
      <c r="E1137">
        <v>75747.87</v>
      </c>
      <c r="F1137">
        <v>69.2</v>
      </c>
      <c r="G1137">
        <v>279</v>
      </c>
      <c r="H1137">
        <v>154</v>
      </c>
      <c r="I1137" t="s">
        <v>40</v>
      </c>
      <c r="J1137">
        <v>3</v>
      </c>
      <c r="K1137" t="s">
        <v>20</v>
      </c>
      <c r="L1137">
        <v>114789</v>
      </c>
      <c r="M1137">
        <v>3.65</v>
      </c>
      <c r="N1137" s="6">
        <f t="shared" si="17"/>
        <v>8695022249.4300003</v>
      </c>
    </row>
    <row r="1138" spans="1:14" x14ac:dyDescent="0.35">
      <c r="A1138" t="s">
        <v>45</v>
      </c>
      <c r="B1138" t="s">
        <v>88</v>
      </c>
      <c r="C1138">
        <v>2025</v>
      </c>
      <c r="D1138" t="s">
        <v>28</v>
      </c>
      <c r="E1138">
        <v>61700.639999999999</v>
      </c>
      <c r="F1138">
        <v>101.3</v>
      </c>
      <c r="G1138">
        <v>351</v>
      </c>
      <c r="H1138">
        <v>175</v>
      </c>
      <c r="I1138" t="s">
        <v>21</v>
      </c>
      <c r="J1138">
        <v>5</v>
      </c>
      <c r="K1138" t="s">
        <v>22</v>
      </c>
      <c r="L1138">
        <v>190763</v>
      </c>
      <c r="M1138">
        <v>4</v>
      </c>
      <c r="N1138" s="6">
        <f t="shared" si="17"/>
        <v>11770199188.32</v>
      </c>
    </row>
    <row r="1139" spans="1:14" x14ac:dyDescent="0.35">
      <c r="A1139" t="s">
        <v>29</v>
      </c>
      <c r="B1139" t="s">
        <v>30</v>
      </c>
      <c r="C1139">
        <v>2025</v>
      </c>
      <c r="D1139" t="s">
        <v>20</v>
      </c>
      <c r="E1139">
        <v>152706.13</v>
      </c>
      <c r="F1139">
        <v>77.099999999999994</v>
      </c>
      <c r="G1139">
        <v>260</v>
      </c>
      <c r="H1139">
        <v>155</v>
      </c>
      <c r="I1139" t="s">
        <v>21</v>
      </c>
      <c r="J1139">
        <v>4</v>
      </c>
      <c r="K1139" t="s">
        <v>17</v>
      </c>
      <c r="L1139">
        <v>172494</v>
      </c>
      <c r="M1139">
        <v>3.77</v>
      </c>
      <c r="N1139" s="6">
        <f t="shared" si="17"/>
        <v>26340891188.220001</v>
      </c>
    </row>
    <row r="1140" spans="1:14" x14ac:dyDescent="0.35">
      <c r="A1140" t="s">
        <v>57</v>
      </c>
      <c r="B1140" t="s">
        <v>72</v>
      </c>
      <c r="C1140">
        <v>2025</v>
      </c>
      <c r="D1140" t="s">
        <v>38</v>
      </c>
      <c r="E1140">
        <v>57536.04</v>
      </c>
      <c r="F1140">
        <v>73.3</v>
      </c>
      <c r="G1140">
        <v>254</v>
      </c>
      <c r="H1140">
        <v>139</v>
      </c>
      <c r="I1140" t="s">
        <v>16</v>
      </c>
      <c r="J1140">
        <v>4</v>
      </c>
      <c r="K1140" t="s">
        <v>22</v>
      </c>
      <c r="L1140">
        <v>44164</v>
      </c>
      <c r="M1140">
        <v>3.54</v>
      </c>
      <c r="N1140" s="6">
        <f t="shared" si="17"/>
        <v>2541021670.5599999</v>
      </c>
    </row>
    <row r="1141" spans="1:14" x14ac:dyDescent="0.35">
      <c r="A1141" t="s">
        <v>64</v>
      </c>
      <c r="B1141" t="s">
        <v>70</v>
      </c>
      <c r="C1141">
        <v>2025</v>
      </c>
      <c r="D1141" t="s">
        <v>15</v>
      </c>
      <c r="E1141">
        <v>162822.68</v>
      </c>
      <c r="F1141">
        <v>70.599999999999994</v>
      </c>
      <c r="G1141">
        <v>255</v>
      </c>
      <c r="H1141">
        <v>200</v>
      </c>
      <c r="I1141" t="s">
        <v>16</v>
      </c>
      <c r="J1141">
        <v>5</v>
      </c>
      <c r="K1141" t="s">
        <v>17</v>
      </c>
      <c r="L1141">
        <v>48304</v>
      </c>
      <c r="M1141">
        <v>3.22</v>
      </c>
      <c r="N1141" s="6">
        <f t="shared" si="17"/>
        <v>7864986734.7199993</v>
      </c>
    </row>
    <row r="1142" spans="1:14" x14ac:dyDescent="0.35">
      <c r="A1142" t="s">
        <v>67</v>
      </c>
      <c r="B1142" t="s">
        <v>89</v>
      </c>
      <c r="C1142">
        <v>2025</v>
      </c>
      <c r="D1142" t="s">
        <v>43</v>
      </c>
      <c r="E1142">
        <v>72972.25</v>
      </c>
      <c r="F1142">
        <v>58</v>
      </c>
      <c r="G1142">
        <v>223</v>
      </c>
      <c r="H1142">
        <v>139</v>
      </c>
      <c r="I1142" t="s">
        <v>21</v>
      </c>
      <c r="J1142">
        <v>5</v>
      </c>
      <c r="K1142" t="s">
        <v>20</v>
      </c>
      <c r="L1142">
        <v>23427</v>
      </c>
      <c r="M1142">
        <v>3.35</v>
      </c>
      <c r="N1142" s="6">
        <f t="shared" si="17"/>
        <v>1709520900.75</v>
      </c>
    </row>
    <row r="1143" spans="1:14" x14ac:dyDescent="0.35">
      <c r="A1143" t="s">
        <v>49</v>
      </c>
      <c r="B1143" t="s">
        <v>90</v>
      </c>
      <c r="C1143">
        <v>2025</v>
      </c>
      <c r="D1143" t="s">
        <v>15</v>
      </c>
      <c r="E1143">
        <v>97964.98</v>
      </c>
      <c r="F1143">
        <v>106.9</v>
      </c>
      <c r="G1143">
        <v>392</v>
      </c>
      <c r="H1143">
        <v>192</v>
      </c>
      <c r="I1143" t="s">
        <v>16</v>
      </c>
      <c r="J1143">
        <v>4</v>
      </c>
      <c r="K1143" t="s">
        <v>20</v>
      </c>
      <c r="L1143">
        <v>98285</v>
      </c>
      <c r="M1143">
        <v>3.82</v>
      </c>
      <c r="N1143" s="6">
        <f t="shared" si="17"/>
        <v>9628488059.2999992</v>
      </c>
    </row>
    <row r="1144" spans="1:14" x14ac:dyDescent="0.35">
      <c r="A1144" t="s">
        <v>13</v>
      </c>
      <c r="B1144" t="s">
        <v>14</v>
      </c>
      <c r="C1144">
        <v>2025</v>
      </c>
      <c r="D1144" t="s">
        <v>43</v>
      </c>
      <c r="E1144">
        <v>60229.21</v>
      </c>
      <c r="F1144">
        <v>40.6</v>
      </c>
      <c r="G1144">
        <v>150</v>
      </c>
      <c r="H1144">
        <v>145</v>
      </c>
      <c r="I1144" t="s">
        <v>21</v>
      </c>
      <c r="J1144">
        <v>5</v>
      </c>
      <c r="K1144" t="s">
        <v>22</v>
      </c>
      <c r="L1144">
        <v>215577</v>
      </c>
      <c r="M1144">
        <v>3.2</v>
      </c>
      <c r="N1144" s="6">
        <f t="shared" si="17"/>
        <v>12984032404.17</v>
      </c>
    </row>
    <row r="1145" spans="1:14" x14ac:dyDescent="0.35">
      <c r="A1145" t="s">
        <v>45</v>
      </c>
      <c r="B1145" t="s">
        <v>63</v>
      </c>
      <c r="C1145">
        <v>2025</v>
      </c>
      <c r="D1145" t="s">
        <v>20</v>
      </c>
      <c r="E1145">
        <v>41881.699999999997</v>
      </c>
      <c r="F1145">
        <v>82.8</v>
      </c>
      <c r="G1145">
        <v>280</v>
      </c>
      <c r="H1145">
        <v>138</v>
      </c>
      <c r="I1145" t="s">
        <v>21</v>
      </c>
      <c r="J1145">
        <v>4</v>
      </c>
      <c r="K1145" t="s">
        <v>22</v>
      </c>
      <c r="L1145">
        <v>128802</v>
      </c>
      <c r="M1145">
        <v>3.46</v>
      </c>
      <c r="N1145" s="6">
        <f t="shared" si="17"/>
        <v>5394446723.3999996</v>
      </c>
    </row>
    <row r="1146" spans="1:14" x14ac:dyDescent="0.35">
      <c r="A1146" t="s">
        <v>45</v>
      </c>
      <c r="B1146" t="s">
        <v>48</v>
      </c>
      <c r="C1146">
        <v>2025</v>
      </c>
      <c r="D1146" t="s">
        <v>28</v>
      </c>
      <c r="E1146">
        <v>90653.56</v>
      </c>
      <c r="F1146">
        <v>81.3</v>
      </c>
      <c r="G1146">
        <v>304</v>
      </c>
      <c r="H1146">
        <v>164</v>
      </c>
      <c r="I1146" t="s">
        <v>25</v>
      </c>
      <c r="J1146">
        <v>5</v>
      </c>
      <c r="K1146" t="s">
        <v>20</v>
      </c>
      <c r="L1146">
        <v>227338</v>
      </c>
      <c r="M1146">
        <v>3.64</v>
      </c>
      <c r="N1146" s="6">
        <f t="shared" si="17"/>
        <v>20608999023.279999</v>
      </c>
    </row>
    <row r="1147" spans="1:14" x14ac:dyDescent="0.35">
      <c r="A1147" t="s">
        <v>45</v>
      </c>
      <c r="B1147" t="s">
        <v>77</v>
      </c>
      <c r="C1147">
        <v>2025</v>
      </c>
      <c r="D1147" t="s">
        <v>28</v>
      </c>
      <c r="E1147">
        <v>27390.16</v>
      </c>
      <c r="F1147">
        <v>86</v>
      </c>
      <c r="G1147">
        <v>278</v>
      </c>
      <c r="H1147">
        <v>187</v>
      </c>
      <c r="I1147" t="s">
        <v>33</v>
      </c>
      <c r="J1147">
        <v>4</v>
      </c>
      <c r="K1147" t="s">
        <v>47</v>
      </c>
      <c r="L1147">
        <v>146828</v>
      </c>
      <c r="M1147">
        <v>3.67</v>
      </c>
      <c r="N1147" s="6">
        <f t="shared" si="17"/>
        <v>4021642412.48</v>
      </c>
    </row>
    <row r="1148" spans="1:14" x14ac:dyDescent="0.35">
      <c r="A1148" t="s">
        <v>49</v>
      </c>
      <c r="B1148" t="s">
        <v>87</v>
      </c>
      <c r="C1148">
        <v>2025</v>
      </c>
      <c r="D1148" t="s">
        <v>28</v>
      </c>
      <c r="E1148">
        <v>94028.85</v>
      </c>
      <c r="F1148">
        <v>102.7</v>
      </c>
      <c r="G1148">
        <v>334</v>
      </c>
      <c r="H1148">
        <v>194</v>
      </c>
      <c r="I1148" t="s">
        <v>21</v>
      </c>
      <c r="J1148">
        <v>4</v>
      </c>
      <c r="K1148" t="s">
        <v>20</v>
      </c>
      <c r="L1148">
        <v>71912</v>
      </c>
      <c r="M1148">
        <v>3.59</v>
      </c>
      <c r="N1148" s="6">
        <f t="shared" si="17"/>
        <v>6761802661.2000008</v>
      </c>
    </row>
    <row r="1149" spans="1:14" x14ac:dyDescent="0.35">
      <c r="A1149" t="s">
        <v>23</v>
      </c>
      <c r="B1149" t="s">
        <v>24</v>
      </c>
      <c r="C1149">
        <v>2025</v>
      </c>
      <c r="D1149" t="s">
        <v>20</v>
      </c>
      <c r="E1149">
        <v>59620.99</v>
      </c>
      <c r="F1149">
        <v>44.8</v>
      </c>
      <c r="G1149">
        <v>150</v>
      </c>
      <c r="H1149">
        <v>142</v>
      </c>
      <c r="I1149" t="s">
        <v>33</v>
      </c>
      <c r="J1149">
        <v>5</v>
      </c>
      <c r="K1149" t="s">
        <v>22</v>
      </c>
      <c r="L1149">
        <v>21979</v>
      </c>
      <c r="M1149">
        <v>3.27</v>
      </c>
      <c r="N1149" s="6">
        <f t="shared" si="17"/>
        <v>1310409739.21</v>
      </c>
    </row>
    <row r="1150" spans="1:14" x14ac:dyDescent="0.35">
      <c r="A1150" t="s">
        <v>13</v>
      </c>
      <c r="B1150" t="s">
        <v>14</v>
      </c>
      <c r="C1150">
        <v>2025</v>
      </c>
      <c r="D1150" t="s">
        <v>15</v>
      </c>
      <c r="E1150">
        <v>78713.929999999993</v>
      </c>
      <c r="F1150">
        <v>85.5</v>
      </c>
      <c r="G1150">
        <v>300</v>
      </c>
      <c r="H1150">
        <v>200</v>
      </c>
      <c r="I1150" t="s">
        <v>16</v>
      </c>
      <c r="J1150">
        <v>4</v>
      </c>
      <c r="K1150" t="s">
        <v>20</v>
      </c>
      <c r="L1150">
        <v>216549</v>
      </c>
      <c r="M1150">
        <v>3.66</v>
      </c>
      <c r="N1150" s="6">
        <f t="shared" si="17"/>
        <v>17045422827.569998</v>
      </c>
    </row>
    <row r="1151" spans="1:14" x14ac:dyDescent="0.35">
      <c r="A1151" t="s">
        <v>18</v>
      </c>
      <c r="B1151" t="s">
        <v>93</v>
      </c>
      <c r="C1151">
        <v>2025</v>
      </c>
      <c r="D1151" t="s">
        <v>15</v>
      </c>
      <c r="E1151">
        <v>62345.64</v>
      </c>
      <c r="F1151">
        <v>105.4</v>
      </c>
      <c r="G1151">
        <v>377</v>
      </c>
      <c r="H1151">
        <v>200</v>
      </c>
      <c r="I1151" t="s">
        <v>16</v>
      </c>
      <c r="J1151">
        <v>5</v>
      </c>
      <c r="K1151" t="s">
        <v>22</v>
      </c>
      <c r="L1151">
        <v>15819</v>
      </c>
      <c r="M1151">
        <v>4.18</v>
      </c>
      <c r="N1151" s="6">
        <f t="shared" si="17"/>
        <v>986245679.15999997</v>
      </c>
    </row>
    <row r="1152" spans="1:14" x14ac:dyDescent="0.35">
      <c r="A1152" t="s">
        <v>49</v>
      </c>
      <c r="B1152" t="s">
        <v>50</v>
      </c>
      <c r="C1152">
        <v>2025</v>
      </c>
      <c r="D1152" t="s">
        <v>28</v>
      </c>
      <c r="E1152">
        <v>40497.64</v>
      </c>
      <c r="F1152">
        <v>109</v>
      </c>
      <c r="G1152">
        <v>417</v>
      </c>
      <c r="H1152">
        <v>177</v>
      </c>
      <c r="I1152" t="s">
        <v>21</v>
      </c>
      <c r="J1152">
        <v>3</v>
      </c>
      <c r="K1152" t="s">
        <v>22</v>
      </c>
      <c r="L1152">
        <v>61921</v>
      </c>
      <c r="M1152">
        <v>3.92</v>
      </c>
      <c r="N1152" s="6">
        <f t="shared" si="17"/>
        <v>2507654366.4400001</v>
      </c>
    </row>
    <row r="1153" spans="1:14" x14ac:dyDescent="0.35">
      <c r="A1153" t="s">
        <v>29</v>
      </c>
      <c r="B1153" t="s">
        <v>39</v>
      </c>
      <c r="C1153">
        <v>2025</v>
      </c>
      <c r="D1153" t="s">
        <v>43</v>
      </c>
      <c r="E1153">
        <v>67489.81</v>
      </c>
      <c r="F1153">
        <v>67.099999999999994</v>
      </c>
      <c r="G1153">
        <v>239</v>
      </c>
      <c r="H1153">
        <v>146</v>
      </c>
      <c r="I1153" t="s">
        <v>33</v>
      </c>
      <c r="J1153">
        <v>4</v>
      </c>
      <c r="K1153" t="s">
        <v>20</v>
      </c>
      <c r="L1153">
        <v>226745</v>
      </c>
      <c r="M1153">
        <v>3.61</v>
      </c>
      <c r="N1153" s="6">
        <f t="shared" si="17"/>
        <v>15302976968.449999</v>
      </c>
    </row>
    <row r="1154" spans="1:14" x14ac:dyDescent="0.35">
      <c r="A1154" t="s">
        <v>26</v>
      </c>
      <c r="B1154" t="s">
        <v>27</v>
      </c>
      <c r="C1154">
        <v>2025</v>
      </c>
      <c r="D1154" t="s">
        <v>15</v>
      </c>
      <c r="E1154">
        <v>99993.15</v>
      </c>
      <c r="F1154">
        <v>93.7</v>
      </c>
      <c r="G1154">
        <v>336</v>
      </c>
      <c r="H1154">
        <v>196</v>
      </c>
      <c r="I1154" t="s">
        <v>21</v>
      </c>
      <c r="J1154">
        <v>4</v>
      </c>
      <c r="K1154" t="s">
        <v>20</v>
      </c>
      <c r="L1154">
        <v>52100</v>
      </c>
      <c r="M1154">
        <v>3.59</v>
      </c>
      <c r="N1154" s="6">
        <f t="shared" ref="N1154:N1217" si="18">E1154*L1154</f>
        <v>5209643115</v>
      </c>
    </row>
    <row r="1155" spans="1:14" x14ac:dyDescent="0.35">
      <c r="A1155" t="s">
        <v>49</v>
      </c>
      <c r="B1155" t="s">
        <v>90</v>
      </c>
      <c r="C1155">
        <v>2025</v>
      </c>
      <c r="D1155" t="s">
        <v>38</v>
      </c>
      <c r="E1155">
        <v>51159.74</v>
      </c>
      <c r="F1155">
        <v>75.599999999999994</v>
      </c>
      <c r="G1155">
        <v>278</v>
      </c>
      <c r="H1155">
        <v>153</v>
      </c>
      <c r="I1155" t="s">
        <v>25</v>
      </c>
      <c r="J1155">
        <v>5</v>
      </c>
      <c r="K1155" t="s">
        <v>22</v>
      </c>
      <c r="L1155">
        <v>89226</v>
      </c>
      <c r="M1155">
        <v>3.67</v>
      </c>
      <c r="N1155" s="6">
        <f t="shared" si="18"/>
        <v>4564778961.2399998</v>
      </c>
    </row>
    <row r="1156" spans="1:14" x14ac:dyDescent="0.35">
      <c r="A1156" t="s">
        <v>23</v>
      </c>
      <c r="B1156" t="s">
        <v>37</v>
      </c>
      <c r="C1156">
        <v>2025</v>
      </c>
      <c r="D1156" t="s">
        <v>43</v>
      </c>
      <c r="E1156">
        <v>46970.49</v>
      </c>
      <c r="F1156">
        <v>53.9</v>
      </c>
      <c r="G1156">
        <v>191</v>
      </c>
      <c r="H1156">
        <v>174</v>
      </c>
      <c r="I1156" t="s">
        <v>21</v>
      </c>
      <c r="J1156">
        <v>4</v>
      </c>
      <c r="K1156" t="s">
        <v>22</v>
      </c>
      <c r="L1156">
        <v>6914</v>
      </c>
      <c r="M1156">
        <v>3.21</v>
      </c>
      <c r="N1156" s="6">
        <f t="shared" si="18"/>
        <v>324753967.86000001</v>
      </c>
    </row>
    <row r="1157" spans="1:14" x14ac:dyDescent="0.35">
      <c r="A1157" t="s">
        <v>13</v>
      </c>
      <c r="B1157" t="s">
        <v>14</v>
      </c>
      <c r="C1157">
        <v>2025</v>
      </c>
      <c r="D1157" t="s">
        <v>28</v>
      </c>
      <c r="E1157">
        <v>93619.57</v>
      </c>
      <c r="F1157">
        <v>83.5</v>
      </c>
      <c r="G1157">
        <v>289</v>
      </c>
      <c r="H1157">
        <v>172</v>
      </c>
      <c r="I1157" t="s">
        <v>40</v>
      </c>
      <c r="J1157">
        <v>5</v>
      </c>
      <c r="K1157" t="s">
        <v>20</v>
      </c>
      <c r="L1157">
        <v>222583</v>
      </c>
      <c r="M1157">
        <v>3.38</v>
      </c>
      <c r="N1157" s="6">
        <f t="shared" si="18"/>
        <v>20838124749.310001</v>
      </c>
    </row>
    <row r="1158" spans="1:14" x14ac:dyDescent="0.35">
      <c r="A1158" t="s">
        <v>64</v>
      </c>
      <c r="B1158" t="s">
        <v>85</v>
      </c>
      <c r="C1158">
        <v>2025</v>
      </c>
      <c r="D1158" t="s">
        <v>28</v>
      </c>
      <c r="E1158">
        <v>124852.49</v>
      </c>
      <c r="F1158">
        <v>85.3</v>
      </c>
      <c r="G1158">
        <v>324</v>
      </c>
      <c r="H1158">
        <v>158</v>
      </c>
      <c r="I1158" t="s">
        <v>40</v>
      </c>
      <c r="J1158">
        <v>3</v>
      </c>
      <c r="K1158" t="s">
        <v>17</v>
      </c>
      <c r="L1158">
        <v>51096</v>
      </c>
      <c r="M1158">
        <v>3.39</v>
      </c>
      <c r="N1158" s="6">
        <f t="shared" si="18"/>
        <v>6379462829.04</v>
      </c>
    </row>
    <row r="1159" spans="1:14" x14ac:dyDescent="0.35">
      <c r="A1159" t="s">
        <v>64</v>
      </c>
      <c r="B1159" t="s">
        <v>95</v>
      </c>
      <c r="C1159">
        <v>2025</v>
      </c>
      <c r="D1159" t="s">
        <v>43</v>
      </c>
      <c r="E1159">
        <v>97046.62</v>
      </c>
      <c r="F1159">
        <v>60</v>
      </c>
      <c r="G1159">
        <v>209</v>
      </c>
      <c r="H1159">
        <v>131</v>
      </c>
      <c r="I1159" t="s">
        <v>32</v>
      </c>
      <c r="J1159">
        <v>5</v>
      </c>
      <c r="K1159" t="s">
        <v>20</v>
      </c>
      <c r="L1159">
        <v>66065</v>
      </c>
      <c r="M1159">
        <v>3.41</v>
      </c>
      <c r="N1159" s="6">
        <f t="shared" si="18"/>
        <v>6411384950.2999992</v>
      </c>
    </row>
    <row r="1160" spans="1:14" x14ac:dyDescent="0.35">
      <c r="A1160" t="s">
        <v>49</v>
      </c>
      <c r="B1160" t="s">
        <v>50</v>
      </c>
      <c r="C1160">
        <v>2025</v>
      </c>
      <c r="D1160" t="s">
        <v>28</v>
      </c>
      <c r="E1160">
        <v>43168.2</v>
      </c>
      <c r="F1160">
        <v>97.5</v>
      </c>
      <c r="G1160">
        <v>334</v>
      </c>
      <c r="H1160">
        <v>179</v>
      </c>
      <c r="I1160" t="s">
        <v>25</v>
      </c>
      <c r="J1160">
        <v>4</v>
      </c>
      <c r="K1160" t="s">
        <v>22</v>
      </c>
      <c r="L1160">
        <v>84174</v>
      </c>
      <c r="M1160">
        <v>3.27</v>
      </c>
      <c r="N1160" s="6">
        <f t="shared" si="18"/>
        <v>3633640066.7999997</v>
      </c>
    </row>
    <row r="1161" spans="1:14" x14ac:dyDescent="0.35">
      <c r="A1161" t="s">
        <v>13</v>
      </c>
      <c r="B1161" t="s">
        <v>51</v>
      </c>
      <c r="C1161">
        <v>2025</v>
      </c>
      <c r="D1161" t="s">
        <v>20</v>
      </c>
      <c r="E1161">
        <v>67323.210000000006</v>
      </c>
      <c r="F1161">
        <v>57.6</v>
      </c>
      <c r="G1161">
        <v>187</v>
      </c>
      <c r="H1161">
        <v>172</v>
      </c>
      <c r="I1161" t="s">
        <v>25</v>
      </c>
      <c r="J1161">
        <v>5</v>
      </c>
      <c r="K1161" t="s">
        <v>20</v>
      </c>
      <c r="L1161">
        <v>295974</v>
      </c>
      <c r="M1161">
        <v>3.47</v>
      </c>
      <c r="N1161" s="6">
        <f t="shared" si="18"/>
        <v>19925919756.540001</v>
      </c>
    </row>
    <row r="1162" spans="1:14" x14ac:dyDescent="0.35">
      <c r="A1162" t="s">
        <v>73</v>
      </c>
      <c r="B1162" t="s">
        <v>74</v>
      </c>
      <c r="C1162">
        <v>2025</v>
      </c>
      <c r="D1162" t="s">
        <v>28</v>
      </c>
      <c r="E1162">
        <v>108463.22</v>
      </c>
      <c r="F1162">
        <v>80</v>
      </c>
      <c r="G1162">
        <v>263</v>
      </c>
      <c r="H1162">
        <v>200</v>
      </c>
      <c r="I1162" t="s">
        <v>21</v>
      </c>
      <c r="J1162">
        <v>3</v>
      </c>
      <c r="K1162" t="s">
        <v>17</v>
      </c>
      <c r="L1162">
        <v>18130</v>
      </c>
      <c r="M1162">
        <v>3.2</v>
      </c>
      <c r="N1162" s="6">
        <f t="shared" si="18"/>
        <v>1966438178.5999999</v>
      </c>
    </row>
    <row r="1163" spans="1:14" x14ac:dyDescent="0.35">
      <c r="A1163" t="s">
        <v>29</v>
      </c>
      <c r="B1163" t="s">
        <v>59</v>
      </c>
      <c r="C1163">
        <v>2025</v>
      </c>
      <c r="D1163" t="s">
        <v>38</v>
      </c>
      <c r="E1163">
        <v>71274.600000000006</v>
      </c>
      <c r="F1163">
        <v>49.2</v>
      </c>
      <c r="G1163">
        <v>150</v>
      </c>
      <c r="H1163">
        <v>160</v>
      </c>
      <c r="I1163" t="s">
        <v>25</v>
      </c>
      <c r="J1163">
        <v>5</v>
      </c>
      <c r="K1163" t="s">
        <v>20</v>
      </c>
      <c r="L1163">
        <v>132658</v>
      </c>
      <c r="M1163">
        <v>3.6</v>
      </c>
      <c r="N1163" s="6">
        <f t="shared" si="18"/>
        <v>9455145886.8000011</v>
      </c>
    </row>
    <row r="1164" spans="1:14" x14ac:dyDescent="0.35">
      <c r="A1164" t="s">
        <v>29</v>
      </c>
      <c r="B1164" t="s">
        <v>30</v>
      </c>
      <c r="C1164">
        <v>2025</v>
      </c>
      <c r="D1164" t="s">
        <v>43</v>
      </c>
      <c r="E1164">
        <v>132101.43</v>
      </c>
      <c r="F1164">
        <v>47.9</v>
      </c>
      <c r="G1164">
        <v>150</v>
      </c>
      <c r="H1164">
        <v>144</v>
      </c>
      <c r="I1164" t="s">
        <v>21</v>
      </c>
      <c r="J1164">
        <v>5</v>
      </c>
      <c r="K1164" t="s">
        <v>17</v>
      </c>
      <c r="L1164">
        <v>220080</v>
      </c>
      <c r="M1164">
        <v>3.43</v>
      </c>
      <c r="N1164" s="6">
        <f t="shared" si="18"/>
        <v>29072882714.399998</v>
      </c>
    </row>
    <row r="1165" spans="1:14" x14ac:dyDescent="0.35">
      <c r="A1165" t="s">
        <v>64</v>
      </c>
      <c r="B1165" t="s">
        <v>95</v>
      </c>
      <c r="C1165">
        <v>2025</v>
      </c>
      <c r="D1165" t="s">
        <v>20</v>
      </c>
      <c r="E1165">
        <v>71335.77</v>
      </c>
      <c r="F1165">
        <v>45.4</v>
      </c>
      <c r="G1165">
        <v>168</v>
      </c>
      <c r="H1165">
        <v>143</v>
      </c>
      <c r="I1165" t="s">
        <v>32</v>
      </c>
      <c r="J1165">
        <v>4</v>
      </c>
      <c r="K1165" t="s">
        <v>20</v>
      </c>
      <c r="L1165">
        <v>26069</v>
      </c>
      <c r="M1165">
        <v>3.19</v>
      </c>
      <c r="N1165" s="6">
        <f t="shared" si="18"/>
        <v>1859652188.1300001</v>
      </c>
    </row>
    <row r="1166" spans="1:14" x14ac:dyDescent="0.35">
      <c r="A1166" t="s">
        <v>45</v>
      </c>
      <c r="B1166" t="s">
        <v>77</v>
      </c>
      <c r="C1166">
        <v>2025</v>
      </c>
      <c r="D1166" t="s">
        <v>38</v>
      </c>
      <c r="E1166">
        <v>62107.839999999997</v>
      </c>
      <c r="F1166">
        <v>82.5</v>
      </c>
      <c r="G1166">
        <v>291</v>
      </c>
      <c r="H1166">
        <v>142</v>
      </c>
      <c r="I1166" t="s">
        <v>16</v>
      </c>
      <c r="J1166">
        <v>4</v>
      </c>
      <c r="K1166" t="s">
        <v>22</v>
      </c>
      <c r="L1166">
        <v>129397</v>
      </c>
      <c r="M1166">
        <v>3.55</v>
      </c>
      <c r="N1166" s="6">
        <f t="shared" si="18"/>
        <v>8036568172.4799995</v>
      </c>
    </row>
    <row r="1167" spans="1:14" x14ac:dyDescent="0.35">
      <c r="A1167" t="s">
        <v>67</v>
      </c>
      <c r="B1167" t="s">
        <v>68</v>
      </c>
      <c r="C1167">
        <v>2025</v>
      </c>
      <c r="D1167" t="s">
        <v>28</v>
      </c>
      <c r="E1167">
        <v>70111.179999999993</v>
      </c>
      <c r="F1167">
        <v>75.599999999999994</v>
      </c>
      <c r="G1167">
        <v>262</v>
      </c>
      <c r="H1167">
        <v>166</v>
      </c>
      <c r="I1167" t="s">
        <v>33</v>
      </c>
      <c r="J1167">
        <v>3</v>
      </c>
      <c r="K1167" t="s">
        <v>20</v>
      </c>
      <c r="L1167">
        <v>79614</v>
      </c>
      <c r="M1167">
        <v>3.53</v>
      </c>
      <c r="N1167" s="6">
        <f t="shared" si="18"/>
        <v>5581831484.5199995</v>
      </c>
    </row>
    <row r="1168" spans="1:14" x14ac:dyDescent="0.35">
      <c r="A1168" t="s">
        <v>67</v>
      </c>
      <c r="B1168" t="s">
        <v>86</v>
      </c>
      <c r="C1168">
        <v>2025</v>
      </c>
      <c r="D1168" t="s">
        <v>20</v>
      </c>
      <c r="E1168">
        <v>138510.75</v>
      </c>
      <c r="F1168">
        <v>62.7</v>
      </c>
      <c r="G1168">
        <v>204</v>
      </c>
      <c r="H1168">
        <v>133</v>
      </c>
      <c r="I1168" t="s">
        <v>33</v>
      </c>
      <c r="J1168">
        <v>4</v>
      </c>
      <c r="K1168" t="s">
        <v>17</v>
      </c>
      <c r="L1168">
        <v>58972</v>
      </c>
      <c r="M1168">
        <v>3.24</v>
      </c>
      <c r="N1168" s="6">
        <f t="shared" si="18"/>
        <v>8168255949</v>
      </c>
    </row>
    <row r="1169" spans="1:14" x14ac:dyDescent="0.35">
      <c r="A1169" t="s">
        <v>67</v>
      </c>
      <c r="B1169" t="s">
        <v>68</v>
      </c>
      <c r="C1169">
        <v>2025</v>
      </c>
      <c r="D1169" t="s">
        <v>38</v>
      </c>
      <c r="E1169">
        <v>104530.78</v>
      </c>
      <c r="F1169">
        <v>61.3</v>
      </c>
      <c r="G1169">
        <v>194</v>
      </c>
      <c r="H1169">
        <v>135</v>
      </c>
      <c r="I1169" t="s">
        <v>21</v>
      </c>
      <c r="J1169">
        <v>5</v>
      </c>
      <c r="K1169" t="s">
        <v>17</v>
      </c>
      <c r="L1169">
        <v>52472</v>
      </c>
      <c r="M1169">
        <v>3.51</v>
      </c>
      <c r="N1169" s="6">
        <f t="shared" si="18"/>
        <v>5484939088.1599998</v>
      </c>
    </row>
    <row r="1170" spans="1:14" x14ac:dyDescent="0.35">
      <c r="A1170" t="s">
        <v>67</v>
      </c>
      <c r="B1170" t="s">
        <v>86</v>
      </c>
      <c r="C1170">
        <v>2025</v>
      </c>
      <c r="D1170" t="s">
        <v>28</v>
      </c>
      <c r="E1170">
        <v>97248.51</v>
      </c>
      <c r="F1170">
        <v>90.6</v>
      </c>
      <c r="G1170">
        <v>304</v>
      </c>
      <c r="H1170">
        <v>168</v>
      </c>
      <c r="I1170" t="s">
        <v>25</v>
      </c>
      <c r="J1170">
        <v>5</v>
      </c>
      <c r="K1170" t="s">
        <v>20</v>
      </c>
      <c r="L1170">
        <v>46587</v>
      </c>
      <c r="M1170">
        <v>3.19</v>
      </c>
      <c r="N1170" s="6">
        <f t="shared" si="18"/>
        <v>4530516335.3699999</v>
      </c>
    </row>
    <row r="1171" spans="1:14" x14ac:dyDescent="0.35">
      <c r="A1171" t="s">
        <v>64</v>
      </c>
      <c r="B1171" t="s">
        <v>85</v>
      </c>
      <c r="C1171">
        <v>2025</v>
      </c>
      <c r="D1171" t="s">
        <v>43</v>
      </c>
      <c r="E1171">
        <v>55554.9</v>
      </c>
      <c r="F1171">
        <v>41.7</v>
      </c>
      <c r="G1171">
        <v>151</v>
      </c>
      <c r="H1171">
        <v>173</v>
      </c>
      <c r="I1171" t="s">
        <v>25</v>
      </c>
      <c r="J1171">
        <v>5</v>
      </c>
      <c r="K1171" t="s">
        <v>22</v>
      </c>
      <c r="L1171">
        <v>69514</v>
      </c>
      <c r="M1171">
        <v>3.1</v>
      </c>
      <c r="N1171" s="6">
        <f t="shared" si="18"/>
        <v>3861843318.5999999</v>
      </c>
    </row>
    <row r="1172" spans="1:14" x14ac:dyDescent="0.35">
      <c r="A1172" t="s">
        <v>29</v>
      </c>
      <c r="B1172" t="s">
        <v>31</v>
      </c>
      <c r="C1172">
        <v>2025</v>
      </c>
      <c r="D1172" t="s">
        <v>38</v>
      </c>
      <c r="E1172">
        <v>42292.45</v>
      </c>
      <c r="F1172">
        <v>67.3</v>
      </c>
      <c r="G1172">
        <v>240</v>
      </c>
      <c r="H1172">
        <v>159</v>
      </c>
      <c r="I1172" t="s">
        <v>16</v>
      </c>
      <c r="J1172">
        <v>4</v>
      </c>
      <c r="K1172" t="s">
        <v>22</v>
      </c>
      <c r="L1172">
        <v>472726</v>
      </c>
      <c r="M1172">
        <v>3.66</v>
      </c>
      <c r="N1172" s="6">
        <f t="shared" si="18"/>
        <v>19992740718.699997</v>
      </c>
    </row>
    <row r="1173" spans="1:14" x14ac:dyDescent="0.35">
      <c r="A1173" t="s">
        <v>26</v>
      </c>
      <c r="B1173" t="s">
        <v>61</v>
      </c>
      <c r="C1173">
        <v>2025</v>
      </c>
      <c r="D1173" t="s">
        <v>43</v>
      </c>
      <c r="E1173">
        <v>77483.58</v>
      </c>
      <c r="F1173">
        <v>46.2</v>
      </c>
      <c r="G1173">
        <v>176</v>
      </c>
      <c r="H1173">
        <v>133</v>
      </c>
      <c r="I1173" t="s">
        <v>21</v>
      </c>
      <c r="J1173">
        <v>3</v>
      </c>
      <c r="K1173" t="s">
        <v>20</v>
      </c>
      <c r="L1173">
        <v>116585</v>
      </c>
      <c r="M1173">
        <v>3.02</v>
      </c>
      <c r="N1173" s="6">
        <f t="shared" si="18"/>
        <v>9033423174.3000011</v>
      </c>
    </row>
    <row r="1174" spans="1:14" x14ac:dyDescent="0.35">
      <c r="A1174" t="s">
        <v>29</v>
      </c>
      <c r="B1174" t="s">
        <v>59</v>
      </c>
      <c r="C1174">
        <v>2025</v>
      </c>
      <c r="D1174" t="s">
        <v>20</v>
      </c>
      <c r="E1174">
        <v>112066.22</v>
      </c>
      <c r="F1174">
        <v>43.2</v>
      </c>
      <c r="G1174">
        <v>167</v>
      </c>
      <c r="H1174">
        <v>134</v>
      </c>
      <c r="I1174" t="s">
        <v>25</v>
      </c>
      <c r="J1174">
        <v>4</v>
      </c>
      <c r="K1174" t="s">
        <v>17</v>
      </c>
      <c r="L1174">
        <v>245565</v>
      </c>
      <c r="M1174">
        <v>3.75</v>
      </c>
      <c r="N1174" s="6">
        <f t="shared" si="18"/>
        <v>27519541314.299999</v>
      </c>
    </row>
    <row r="1175" spans="1:14" x14ac:dyDescent="0.35">
      <c r="A1175" t="s">
        <v>45</v>
      </c>
      <c r="B1175" t="s">
        <v>46</v>
      </c>
      <c r="C1175">
        <v>2025</v>
      </c>
      <c r="D1175" t="s">
        <v>38</v>
      </c>
      <c r="E1175">
        <v>67469.58</v>
      </c>
      <c r="F1175">
        <v>57.5</v>
      </c>
      <c r="G1175">
        <v>191</v>
      </c>
      <c r="H1175">
        <v>138</v>
      </c>
      <c r="I1175" t="s">
        <v>32</v>
      </c>
      <c r="J1175">
        <v>4</v>
      </c>
      <c r="K1175" t="s">
        <v>20</v>
      </c>
      <c r="L1175">
        <v>179136</v>
      </c>
      <c r="M1175">
        <v>3.46</v>
      </c>
      <c r="N1175" s="6">
        <f t="shared" si="18"/>
        <v>12086230682.880001</v>
      </c>
    </row>
    <row r="1176" spans="1:14" x14ac:dyDescent="0.35">
      <c r="A1176" t="s">
        <v>45</v>
      </c>
      <c r="B1176" t="s">
        <v>46</v>
      </c>
      <c r="C1176">
        <v>2025</v>
      </c>
      <c r="D1176" t="s">
        <v>28</v>
      </c>
      <c r="E1176">
        <v>48990.53</v>
      </c>
      <c r="F1176">
        <v>99.3</v>
      </c>
      <c r="G1176">
        <v>357</v>
      </c>
      <c r="H1176">
        <v>156</v>
      </c>
      <c r="I1176" t="s">
        <v>21</v>
      </c>
      <c r="J1176">
        <v>4</v>
      </c>
      <c r="K1176" t="s">
        <v>22</v>
      </c>
      <c r="L1176">
        <v>211809</v>
      </c>
      <c r="M1176">
        <v>3.67</v>
      </c>
      <c r="N1176" s="6">
        <f t="shared" si="18"/>
        <v>10376635168.77</v>
      </c>
    </row>
    <row r="1177" spans="1:14" x14ac:dyDescent="0.35">
      <c r="A1177" t="s">
        <v>34</v>
      </c>
      <c r="B1177" t="s">
        <v>84</v>
      </c>
      <c r="C1177">
        <v>2025</v>
      </c>
      <c r="D1177" t="s">
        <v>28</v>
      </c>
      <c r="E1177">
        <v>122338.76</v>
      </c>
      <c r="F1177">
        <v>85.1</v>
      </c>
      <c r="G1177">
        <v>270</v>
      </c>
      <c r="H1177">
        <v>193</v>
      </c>
      <c r="I1177" t="s">
        <v>32</v>
      </c>
      <c r="J1177">
        <v>3</v>
      </c>
      <c r="K1177" t="s">
        <v>17</v>
      </c>
      <c r="L1177">
        <v>52641</v>
      </c>
      <c r="M1177">
        <v>4.0599999999999996</v>
      </c>
      <c r="N1177" s="6">
        <f t="shared" si="18"/>
        <v>6440034665.1599998</v>
      </c>
    </row>
    <row r="1178" spans="1:14" x14ac:dyDescent="0.35">
      <c r="A1178" t="s">
        <v>45</v>
      </c>
      <c r="B1178" t="s">
        <v>46</v>
      </c>
      <c r="C1178">
        <v>2025</v>
      </c>
      <c r="D1178" t="s">
        <v>28</v>
      </c>
      <c r="E1178">
        <v>24414.35</v>
      </c>
      <c r="F1178">
        <v>86.4</v>
      </c>
      <c r="G1178">
        <v>281</v>
      </c>
      <c r="H1178">
        <v>175</v>
      </c>
      <c r="I1178" t="s">
        <v>40</v>
      </c>
      <c r="J1178">
        <v>5</v>
      </c>
      <c r="K1178" t="s">
        <v>47</v>
      </c>
      <c r="L1178">
        <v>228388</v>
      </c>
      <c r="M1178">
        <v>3.55</v>
      </c>
      <c r="N1178" s="6">
        <f t="shared" si="18"/>
        <v>5575944567.7999992</v>
      </c>
    </row>
    <row r="1179" spans="1:14" x14ac:dyDescent="0.35">
      <c r="A1179" t="s">
        <v>13</v>
      </c>
      <c r="B1179" t="s">
        <v>14</v>
      </c>
      <c r="C1179">
        <v>2025</v>
      </c>
      <c r="D1179" t="s">
        <v>28</v>
      </c>
      <c r="E1179">
        <v>52579.97</v>
      </c>
      <c r="F1179">
        <v>94.8</v>
      </c>
      <c r="G1179">
        <v>325</v>
      </c>
      <c r="H1179">
        <v>171</v>
      </c>
      <c r="I1179" t="s">
        <v>32</v>
      </c>
      <c r="J1179">
        <v>3</v>
      </c>
      <c r="K1179" t="s">
        <v>22</v>
      </c>
      <c r="L1179">
        <v>238272</v>
      </c>
      <c r="M1179">
        <v>3.57</v>
      </c>
      <c r="N1179" s="6">
        <f t="shared" si="18"/>
        <v>12528334611.84</v>
      </c>
    </row>
    <row r="1180" spans="1:14" x14ac:dyDescent="0.35">
      <c r="A1180" t="s">
        <v>67</v>
      </c>
      <c r="B1180" t="s">
        <v>98</v>
      </c>
      <c r="C1180">
        <v>2025</v>
      </c>
      <c r="D1180" t="s">
        <v>38</v>
      </c>
      <c r="E1180">
        <v>81941.39</v>
      </c>
      <c r="F1180">
        <v>40.200000000000003</v>
      </c>
      <c r="G1180">
        <v>150</v>
      </c>
      <c r="H1180">
        <v>166</v>
      </c>
      <c r="I1180" t="s">
        <v>33</v>
      </c>
      <c r="J1180">
        <v>5</v>
      </c>
      <c r="K1180" t="s">
        <v>20</v>
      </c>
      <c r="L1180">
        <v>77358</v>
      </c>
      <c r="M1180">
        <v>3</v>
      </c>
      <c r="N1180" s="6">
        <f t="shared" si="18"/>
        <v>6338822047.6199999</v>
      </c>
    </row>
    <row r="1181" spans="1:14" x14ac:dyDescent="0.35">
      <c r="A1181" t="s">
        <v>57</v>
      </c>
      <c r="B1181" t="s">
        <v>58</v>
      </c>
      <c r="C1181">
        <v>2025</v>
      </c>
      <c r="D1181" t="s">
        <v>43</v>
      </c>
      <c r="E1181">
        <v>56042.09</v>
      </c>
      <c r="F1181">
        <v>79.5</v>
      </c>
      <c r="G1181">
        <v>293</v>
      </c>
      <c r="H1181">
        <v>157</v>
      </c>
      <c r="I1181" t="s">
        <v>21</v>
      </c>
      <c r="J1181">
        <v>3</v>
      </c>
      <c r="K1181" t="s">
        <v>22</v>
      </c>
      <c r="L1181">
        <v>69874</v>
      </c>
      <c r="M1181">
        <v>3.35</v>
      </c>
      <c r="N1181" s="6">
        <f t="shared" si="18"/>
        <v>3915884996.6599998</v>
      </c>
    </row>
    <row r="1182" spans="1:14" x14ac:dyDescent="0.35">
      <c r="A1182" t="s">
        <v>49</v>
      </c>
      <c r="B1182" t="s">
        <v>87</v>
      </c>
      <c r="C1182">
        <v>2025</v>
      </c>
      <c r="D1182" t="s">
        <v>38</v>
      </c>
      <c r="E1182">
        <v>61128.92</v>
      </c>
      <c r="F1182">
        <v>46.1</v>
      </c>
      <c r="G1182">
        <v>180</v>
      </c>
      <c r="H1182">
        <v>153</v>
      </c>
      <c r="I1182" t="s">
        <v>25</v>
      </c>
      <c r="J1182">
        <v>5</v>
      </c>
      <c r="K1182" t="s">
        <v>22</v>
      </c>
      <c r="L1182">
        <v>110095</v>
      </c>
      <c r="M1182">
        <v>3.32</v>
      </c>
      <c r="N1182" s="6">
        <f t="shared" si="18"/>
        <v>6729988447.3999996</v>
      </c>
    </row>
    <row r="1183" spans="1:14" x14ac:dyDescent="0.35">
      <c r="A1183" t="s">
        <v>23</v>
      </c>
      <c r="B1183" t="s">
        <v>83</v>
      </c>
      <c r="C1183">
        <v>2025</v>
      </c>
      <c r="D1183" t="s">
        <v>43</v>
      </c>
      <c r="E1183">
        <v>32070.17</v>
      </c>
      <c r="F1183">
        <v>44.1</v>
      </c>
      <c r="G1183">
        <v>158</v>
      </c>
      <c r="H1183">
        <v>161</v>
      </c>
      <c r="I1183" t="s">
        <v>21</v>
      </c>
      <c r="J1183">
        <v>4</v>
      </c>
      <c r="K1183" t="s">
        <v>47</v>
      </c>
      <c r="L1183">
        <v>1331</v>
      </c>
      <c r="M1183">
        <v>3.29</v>
      </c>
      <c r="N1183" s="6">
        <f t="shared" si="18"/>
        <v>42685396.269999996</v>
      </c>
    </row>
    <row r="1184" spans="1:14" x14ac:dyDescent="0.35">
      <c r="A1184" t="s">
        <v>64</v>
      </c>
      <c r="B1184" t="s">
        <v>95</v>
      </c>
      <c r="C1184">
        <v>2025</v>
      </c>
      <c r="D1184" t="s">
        <v>15</v>
      </c>
      <c r="E1184">
        <v>132666.57999999999</v>
      </c>
      <c r="F1184">
        <v>82</v>
      </c>
      <c r="G1184">
        <v>299</v>
      </c>
      <c r="H1184">
        <v>194</v>
      </c>
      <c r="I1184" t="s">
        <v>25</v>
      </c>
      <c r="J1184">
        <v>5</v>
      </c>
      <c r="K1184" t="s">
        <v>17</v>
      </c>
      <c r="L1184">
        <v>71584</v>
      </c>
      <c r="M1184">
        <v>3.74</v>
      </c>
      <c r="N1184" s="6">
        <f t="shared" si="18"/>
        <v>9496804462.7199993</v>
      </c>
    </row>
    <row r="1185" spans="1:14" x14ac:dyDescent="0.35">
      <c r="A1185" t="s">
        <v>45</v>
      </c>
      <c r="B1185" t="s">
        <v>54</v>
      </c>
      <c r="C1185">
        <v>2025</v>
      </c>
      <c r="D1185" t="s">
        <v>28</v>
      </c>
      <c r="E1185">
        <v>48600.01</v>
      </c>
      <c r="F1185">
        <v>81.400000000000006</v>
      </c>
      <c r="G1185">
        <v>288</v>
      </c>
      <c r="H1185">
        <v>167</v>
      </c>
      <c r="I1185" t="s">
        <v>40</v>
      </c>
      <c r="J1185">
        <v>4</v>
      </c>
      <c r="K1185" t="s">
        <v>22</v>
      </c>
      <c r="L1185">
        <v>222634</v>
      </c>
      <c r="M1185">
        <v>3.67</v>
      </c>
      <c r="N1185" s="6">
        <f t="shared" si="18"/>
        <v>10820014626.34</v>
      </c>
    </row>
    <row r="1186" spans="1:14" x14ac:dyDescent="0.35">
      <c r="A1186" t="s">
        <v>29</v>
      </c>
      <c r="B1186" t="s">
        <v>53</v>
      </c>
      <c r="C1186">
        <v>2025</v>
      </c>
      <c r="D1186" t="s">
        <v>15</v>
      </c>
      <c r="E1186">
        <v>116077.71</v>
      </c>
      <c r="F1186">
        <v>118.6</v>
      </c>
      <c r="G1186">
        <v>428</v>
      </c>
      <c r="H1186">
        <v>189</v>
      </c>
      <c r="I1186" t="s">
        <v>16</v>
      </c>
      <c r="J1186">
        <v>5</v>
      </c>
      <c r="K1186" t="s">
        <v>17</v>
      </c>
      <c r="L1186">
        <v>150657</v>
      </c>
      <c r="M1186">
        <v>4.24</v>
      </c>
      <c r="N1186" s="6">
        <f t="shared" si="18"/>
        <v>17487919555.470001</v>
      </c>
    </row>
    <row r="1187" spans="1:14" x14ac:dyDescent="0.35">
      <c r="A1187" t="s">
        <v>26</v>
      </c>
      <c r="B1187" t="s">
        <v>61</v>
      </c>
      <c r="C1187">
        <v>2025</v>
      </c>
      <c r="D1187" t="s">
        <v>28</v>
      </c>
      <c r="E1187">
        <v>56772.77</v>
      </c>
      <c r="F1187">
        <v>100.2</v>
      </c>
      <c r="G1187">
        <v>356</v>
      </c>
      <c r="H1187">
        <v>167</v>
      </c>
      <c r="I1187" t="s">
        <v>21</v>
      </c>
      <c r="J1187">
        <v>4</v>
      </c>
      <c r="K1187" t="s">
        <v>22</v>
      </c>
      <c r="L1187">
        <v>99235</v>
      </c>
      <c r="M1187">
        <v>3.69</v>
      </c>
      <c r="N1187" s="6">
        <f t="shared" si="18"/>
        <v>5633845830.9499998</v>
      </c>
    </row>
    <row r="1188" spans="1:14" x14ac:dyDescent="0.35">
      <c r="A1188" t="s">
        <v>73</v>
      </c>
      <c r="B1188" t="s">
        <v>91</v>
      </c>
      <c r="C1188">
        <v>2025</v>
      </c>
      <c r="D1188" t="s">
        <v>20</v>
      </c>
      <c r="E1188">
        <v>87478.76</v>
      </c>
      <c r="F1188">
        <v>48.6</v>
      </c>
      <c r="G1188">
        <v>172</v>
      </c>
      <c r="H1188">
        <v>164</v>
      </c>
      <c r="I1188" t="s">
        <v>21</v>
      </c>
      <c r="J1188">
        <v>4</v>
      </c>
      <c r="K1188" t="s">
        <v>20</v>
      </c>
      <c r="L1188">
        <v>16505</v>
      </c>
      <c r="M1188">
        <v>3.43</v>
      </c>
      <c r="N1188" s="6">
        <f t="shared" si="18"/>
        <v>1443836933.8</v>
      </c>
    </row>
    <row r="1189" spans="1:14" x14ac:dyDescent="0.35">
      <c r="A1189" t="s">
        <v>23</v>
      </c>
      <c r="B1189" t="s">
        <v>82</v>
      </c>
      <c r="C1189">
        <v>2025</v>
      </c>
      <c r="D1189" t="s">
        <v>28</v>
      </c>
      <c r="E1189">
        <v>68470.14</v>
      </c>
      <c r="F1189">
        <v>87.2</v>
      </c>
      <c r="G1189">
        <v>293</v>
      </c>
      <c r="H1189">
        <v>157</v>
      </c>
      <c r="I1189" t="s">
        <v>25</v>
      </c>
      <c r="J1189">
        <v>4</v>
      </c>
      <c r="K1189" t="s">
        <v>20</v>
      </c>
      <c r="L1189">
        <v>14899</v>
      </c>
      <c r="M1189">
        <v>3.33</v>
      </c>
      <c r="N1189" s="6">
        <f t="shared" si="18"/>
        <v>1020136615.86</v>
      </c>
    </row>
    <row r="1190" spans="1:14" x14ac:dyDescent="0.35">
      <c r="A1190" t="s">
        <v>26</v>
      </c>
      <c r="B1190" t="s">
        <v>61</v>
      </c>
      <c r="C1190">
        <v>2025</v>
      </c>
      <c r="D1190" t="s">
        <v>20</v>
      </c>
      <c r="E1190">
        <v>89987.27</v>
      </c>
      <c r="F1190">
        <v>70.400000000000006</v>
      </c>
      <c r="G1190">
        <v>245</v>
      </c>
      <c r="H1190">
        <v>174</v>
      </c>
      <c r="I1190" t="s">
        <v>21</v>
      </c>
      <c r="J1190">
        <v>4</v>
      </c>
      <c r="K1190" t="s">
        <v>20</v>
      </c>
      <c r="L1190">
        <v>123485</v>
      </c>
      <c r="M1190">
        <v>3.47</v>
      </c>
      <c r="N1190" s="6">
        <f t="shared" si="18"/>
        <v>11112078035.950001</v>
      </c>
    </row>
    <row r="1191" spans="1:14" x14ac:dyDescent="0.35">
      <c r="A1191" t="s">
        <v>102</v>
      </c>
      <c r="B1191" t="s">
        <v>103</v>
      </c>
      <c r="C1191">
        <v>2025</v>
      </c>
      <c r="D1191" t="s">
        <v>15</v>
      </c>
      <c r="E1191">
        <v>106316.66</v>
      </c>
      <c r="F1191">
        <v>104.3</v>
      </c>
      <c r="G1191">
        <v>367</v>
      </c>
      <c r="H1191">
        <v>193</v>
      </c>
      <c r="I1191" t="s">
        <v>25</v>
      </c>
      <c r="J1191">
        <v>5</v>
      </c>
      <c r="K1191" t="s">
        <v>17</v>
      </c>
      <c r="L1191">
        <v>8684</v>
      </c>
      <c r="M1191">
        <v>3.86</v>
      </c>
      <c r="N1191" s="6">
        <f t="shared" si="18"/>
        <v>923253875.44000006</v>
      </c>
    </row>
    <row r="1192" spans="1:14" x14ac:dyDescent="0.35">
      <c r="A1192" t="s">
        <v>29</v>
      </c>
      <c r="B1192" t="s">
        <v>31</v>
      </c>
      <c r="C1192">
        <v>2025</v>
      </c>
      <c r="D1192" t="s">
        <v>20</v>
      </c>
      <c r="E1192">
        <v>83799.48</v>
      </c>
      <c r="F1192">
        <v>74.599999999999994</v>
      </c>
      <c r="G1192">
        <v>276</v>
      </c>
      <c r="H1192">
        <v>153</v>
      </c>
      <c r="I1192" t="s">
        <v>16</v>
      </c>
      <c r="J1192">
        <v>5</v>
      </c>
      <c r="K1192" t="s">
        <v>20</v>
      </c>
      <c r="L1192">
        <v>427228</v>
      </c>
      <c r="M1192">
        <v>4.1500000000000004</v>
      </c>
      <c r="N1192" s="6">
        <f t="shared" si="18"/>
        <v>35801484241.439995</v>
      </c>
    </row>
    <row r="1193" spans="1:14" x14ac:dyDescent="0.35">
      <c r="A1193" t="s">
        <v>23</v>
      </c>
      <c r="B1193" t="s">
        <v>83</v>
      </c>
      <c r="C1193">
        <v>2025</v>
      </c>
      <c r="D1193" t="s">
        <v>15</v>
      </c>
      <c r="E1193">
        <v>101369.89</v>
      </c>
      <c r="F1193">
        <v>89.3</v>
      </c>
      <c r="G1193">
        <v>325</v>
      </c>
      <c r="H1193">
        <v>195</v>
      </c>
      <c r="I1193" t="s">
        <v>21</v>
      </c>
      <c r="J1193">
        <v>3</v>
      </c>
      <c r="K1193" t="s">
        <v>17</v>
      </c>
      <c r="L1193">
        <v>27681</v>
      </c>
      <c r="M1193">
        <v>3.35</v>
      </c>
      <c r="N1193" s="6">
        <f t="shared" si="18"/>
        <v>2806019925.0900002</v>
      </c>
    </row>
    <row r="1194" spans="1:14" x14ac:dyDescent="0.35">
      <c r="A1194" t="s">
        <v>23</v>
      </c>
      <c r="B1194" t="s">
        <v>37</v>
      </c>
      <c r="C1194">
        <v>2025</v>
      </c>
      <c r="D1194" t="s">
        <v>38</v>
      </c>
      <c r="E1194">
        <v>61000.06</v>
      </c>
      <c r="F1194">
        <v>63.4</v>
      </c>
      <c r="G1194">
        <v>250</v>
      </c>
      <c r="H1194">
        <v>151</v>
      </c>
      <c r="I1194" t="s">
        <v>16</v>
      </c>
      <c r="J1194">
        <v>4</v>
      </c>
      <c r="K1194" t="s">
        <v>22</v>
      </c>
      <c r="L1194">
        <v>3536</v>
      </c>
      <c r="M1194">
        <v>3.69</v>
      </c>
      <c r="N1194" s="6">
        <f t="shared" si="18"/>
        <v>215696212.16</v>
      </c>
    </row>
    <row r="1195" spans="1:14" x14ac:dyDescent="0.35">
      <c r="A1195" t="s">
        <v>23</v>
      </c>
      <c r="B1195" t="s">
        <v>99</v>
      </c>
      <c r="C1195">
        <v>2025</v>
      </c>
      <c r="D1195" t="s">
        <v>20</v>
      </c>
      <c r="E1195">
        <v>56307.41</v>
      </c>
      <c r="F1195">
        <v>55</v>
      </c>
      <c r="G1195">
        <v>193</v>
      </c>
      <c r="H1195">
        <v>155</v>
      </c>
      <c r="I1195" t="s">
        <v>40</v>
      </c>
      <c r="J1195">
        <v>4</v>
      </c>
      <c r="K1195" t="s">
        <v>22</v>
      </c>
      <c r="L1195">
        <v>25746</v>
      </c>
      <c r="M1195">
        <v>3.34</v>
      </c>
      <c r="N1195" s="6">
        <f t="shared" si="18"/>
        <v>1449690577.8600001</v>
      </c>
    </row>
    <row r="1196" spans="1:14" x14ac:dyDescent="0.35">
      <c r="A1196" t="s">
        <v>57</v>
      </c>
      <c r="B1196" t="s">
        <v>79</v>
      </c>
      <c r="C1196">
        <v>2025</v>
      </c>
      <c r="D1196" t="s">
        <v>28</v>
      </c>
      <c r="E1196">
        <v>92751.53</v>
      </c>
      <c r="F1196">
        <v>76.2</v>
      </c>
      <c r="G1196">
        <v>247</v>
      </c>
      <c r="H1196">
        <v>178</v>
      </c>
      <c r="I1196" t="s">
        <v>16</v>
      </c>
      <c r="J1196">
        <v>4</v>
      </c>
      <c r="K1196" t="s">
        <v>20</v>
      </c>
      <c r="L1196">
        <v>70352</v>
      </c>
      <c r="M1196">
        <v>3.3</v>
      </c>
      <c r="N1196" s="6">
        <f t="shared" si="18"/>
        <v>6525255638.5599995</v>
      </c>
    </row>
    <row r="1197" spans="1:14" x14ac:dyDescent="0.35">
      <c r="A1197" t="s">
        <v>49</v>
      </c>
      <c r="B1197" t="s">
        <v>60</v>
      </c>
      <c r="C1197">
        <v>2025</v>
      </c>
      <c r="D1197" t="s">
        <v>28</v>
      </c>
      <c r="E1197">
        <v>37714.46</v>
      </c>
      <c r="F1197">
        <v>105.8</v>
      </c>
      <c r="G1197">
        <v>359</v>
      </c>
      <c r="H1197">
        <v>170</v>
      </c>
      <c r="I1197" t="s">
        <v>16</v>
      </c>
      <c r="J1197">
        <v>4</v>
      </c>
      <c r="K1197" t="s">
        <v>22</v>
      </c>
      <c r="L1197">
        <v>77052</v>
      </c>
      <c r="M1197">
        <v>3.86</v>
      </c>
      <c r="N1197" s="6">
        <f t="shared" si="18"/>
        <v>2905974571.9200001</v>
      </c>
    </row>
    <row r="1198" spans="1:14" x14ac:dyDescent="0.35">
      <c r="A1198" t="s">
        <v>64</v>
      </c>
      <c r="B1198" t="s">
        <v>65</v>
      </c>
      <c r="C1198">
        <v>2025</v>
      </c>
      <c r="D1198" t="s">
        <v>20</v>
      </c>
      <c r="E1198">
        <v>150512.16</v>
      </c>
      <c r="F1198">
        <v>44.6</v>
      </c>
      <c r="G1198">
        <v>150</v>
      </c>
      <c r="H1198">
        <v>170</v>
      </c>
      <c r="I1198" t="s">
        <v>32</v>
      </c>
      <c r="J1198">
        <v>4</v>
      </c>
      <c r="K1198" t="s">
        <v>17</v>
      </c>
      <c r="L1198">
        <v>47379</v>
      </c>
      <c r="M1198">
        <v>3.31</v>
      </c>
      <c r="N1198" s="6">
        <f t="shared" si="18"/>
        <v>7131115628.6400003</v>
      </c>
    </row>
    <row r="1199" spans="1:14" x14ac:dyDescent="0.35">
      <c r="A1199" t="s">
        <v>57</v>
      </c>
      <c r="B1199" t="s">
        <v>72</v>
      </c>
      <c r="C1199">
        <v>2025</v>
      </c>
      <c r="D1199" t="s">
        <v>28</v>
      </c>
      <c r="E1199">
        <v>66474.899999999994</v>
      </c>
      <c r="F1199">
        <v>78.5</v>
      </c>
      <c r="G1199">
        <v>273</v>
      </c>
      <c r="H1199">
        <v>168</v>
      </c>
      <c r="I1199" t="s">
        <v>16</v>
      </c>
      <c r="J1199">
        <v>4</v>
      </c>
      <c r="K1199" t="s">
        <v>20</v>
      </c>
      <c r="L1199">
        <v>43803</v>
      </c>
      <c r="M1199">
        <v>3.47</v>
      </c>
      <c r="N1199" s="6">
        <f t="shared" si="18"/>
        <v>2911800044.6999998</v>
      </c>
    </row>
    <row r="1200" spans="1:14" x14ac:dyDescent="0.35">
      <c r="A1200" t="s">
        <v>45</v>
      </c>
      <c r="B1200" t="s">
        <v>77</v>
      </c>
      <c r="C1200">
        <v>2025</v>
      </c>
      <c r="D1200" t="s">
        <v>38</v>
      </c>
      <c r="E1200">
        <v>42876.18</v>
      </c>
      <c r="F1200">
        <v>78.3</v>
      </c>
      <c r="G1200">
        <v>263</v>
      </c>
      <c r="H1200">
        <v>161</v>
      </c>
      <c r="I1200" t="s">
        <v>21</v>
      </c>
      <c r="J1200">
        <v>5</v>
      </c>
      <c r="K1200" t="s">
        <v>22</v>
      </c>
      <c r="L1200">
        <v>158327</v>
      </c>
      <c r="M1200">
        <v>3.29</v>
      </c>
      <c r="N1200" s="6">
        <f t="shared" si="18"/>
        <v>6788456950.8599997</v>
      </c>
    </row>
    <row r="1201" spans="1:14" x14ac:dyDescent="0.35">
      <c r="A1201" t="s">
        <v>26</v>
      </c>
      <c r="B1201" t="s">
        <v>96</v>
      </c>
      <c r="C1201">
        <v>2025</v>
      </c>
      <c r="D1201" t="s">
        <v>15</v>
      </c>
      <c r="E1201">
        <v>117331.76</v>
      </c>
      <c r="F1201">
        <v>116.3</v>
      </c>
      <c r="G1201">
        <v>411</v>
      </c>
      <c r="H1201">
        <v>200</v>
      </c>
      <c r="I1201" t="s">
        <v>33</v>
      </c>
      <c r="J1201">
        <v>4</v>
      </c>
      <c r="K1201" t="s">
        <v>17</v>
      </c>
      <c r="L1201">
        <v>108933</v>
      </c>
      <c r="M1201">
        <v>3.59</v>
      </c>
      <c r="N1201" s="6">
        <f t="shared" si="18"/>
        <v>12781300612.08</v>
      </c>
    </row>
    <row r="1202" spans="1:14" x14ac:dyDescent="0.35">
      <c r="A1202" t="s">
        <v>26</v>
      </c>
      <c r="B1202" t="s">
        <v>96</v>
      </c>
      <c r="C1202">
        <v>2025</v>
      </c>
      <c r="D1202" t="s">
        <v>38</v>
      </c>
      <c r="E1202">
        <v>74609.83</v>
      </c>
      <c r="F1202">
        <v>44.7</v>
      </c>
      <c r="G1202">
        <v>153</v>
      </c>
      <c r="H1202">
        <v>165</v>
      </c>
      <c r="I1202" t="s">
        <v>16</v>
      </c>
      <c r="J1202">
        <v>5</v>
      </c>
      <c r="K1202" t="s">
        <v>20</v>
      </c>
      <c r="L1202">
        <v>84247</v>
      </c>
      <c r="M1202">
        <v>3.42</v>
      </c>
      <c r="N1202" s="6">
        <f t="shared" si="18"/>
        <v>6285654348.0100002</v>
      </c>
    </row>
    <row r="1203" spans="1:14" x14ac:dyDescent="0.35">
      <c r="A1203" t="s">
        <v>29</v>
      </c>
      <c r="B1203" t="s">
        <v>53</v>
      </c>
      <c r="C1203">
        <v>2025</v>
      </c>
      <c r="D1203" t="s">
        <v>38</v>
      </c>
      <c r="E1203">
        <v>87113.04</v>
      </c>
      <c r="F1203">
        <v>47.4</v>
      </c>
      <c r="G1203">
        <v>150</v>
      </c>
      <c r="H1203">
        <v>176</v>
      </c>
      <c r="I1203" t="s">
        <v>16</v>
      </c>
      <c r="J1203">
        <v>4</v>
      </c>
      <c r="K1203" t="s">
        <v>20</v>
      </c>
      <c r="L1203">
        <v>217680</v>
      </c>
      <c r="M1203">
        <v>3.55</v>
      </c>
      <c r="N1203" s="6">
        <f t="shared" si="18"/>
        <v>18962766547.199997</v>
      </c>
    </row>
    <row r="1204" spans="1:14" x14ac:dyDescent="0.35">
      <c r="A1204" t="s">
        <v>29</v>
      </c>
      <c r="B1204" t="s">
        <v>53</v>
      </c>
      <c r="C1204">
        <v>2025</v>
      </c>
      <c r="D1204" t="s">
        <v>15</v>
      </c>
      <c r="E1204">
        <v>166572.78</v>
      </c>
      <c r="F1204">
        <v>117.8</v>
      </c>
      <c r="G1204">
        <v>398</v>
      </c>
      <c r="H1204">
        <v>200</v>
      </c>
      <c r="I1204" t="s">
        <v>16</v>
      </c>
      <c r="J1204">
        <v>5</v>
      </c>
      <c r="K1204" t="s">
        <v>17</v>
      </c>
      <c r="L1204">
        <v>229037</v>
      </c>
      <c r="M1204">
        <v>4.3499999999999996</v>
      </c>
      <c r="N1204" s="6">
        <f t="shared" si="18"/>
        <v>38151329812.860001</v>
      </c>
    </row>
    <row r="1205" spans="1:14" x14ac:dyDescent="0.35">
      <c r="A1205" t="s">
        <v>57</v>
      </c>
      <c r="B1205" t="s">
        <v>62</v>
      </c>
      <c r="C1205">
        <v>2025</v>
      </c>
      <c r="D1205" t="s">
        <v>43</v>
      </c>
      <c r="E1205">
        <v>49970.16</v>
      </c>
      <c r="F1205">
        <v>77.5</v>
      </c>
      <c r="G1205">
        <v>267</v>
      </c>
      <c r="H1205">
        <v>181</v>
      </c>
      <c r="I1205" t="s">
        <v>16</v>
      </c>
      <c r="J1205">
        <v>4</v>
      </c>
      <c r="K1205" t="s">
        <v>22</v>
      </c>
      <c r="L1205">
        <v>35218</v>
      </c>
      <c r="M1205">
        <v>3.57</v>
      </c>
      <c r="N1205" s="6">
        <f t="shared" si="18"/>
        <v>1759849094.8800001</v>
      </c>
    </row>
    <row r="1206" spans="1:14" x14ac:dyDescent="0.35">
      <c r="A1206" t="s">
        <v>64</v>
      </c>
      <c r="B1206" t="s">
        <v>97</v>
      </c>
      <c r="C1206">
        <v>2025</v>
      </c>
      <c r="D1206" t="s">
        <v>38</v>
      </c>
      <c r="E1206">
        <v>85729.44</v>
      </c>
      <c r="F1206">
        <v>59.9</v>
      </c>
      <c r="G1206">
        <v>191</v>
      </c>
      <c r="H1206">
        <v>168</v>
      </c>
      <c r="I1206" t="s">
        <v>16</v>
      </c>
      <c r="J1206">
        <v>5</v>
      </c>
      <c r="K1206" t="s">
        <v>20</v>
      </c>
      <c r="L1206">
        <v>29338</v>
      </c>
      <c r="M1206">
        <v>3.48</v>
      </c>
      <c r="N1206" s="6">
        <f t="shared" si="18"/>
        <v>2515130310.7200003</v>
      </c>
    </row>
    <row r="1207" spans="1:14" x14ac:dyDescent="0.35">
      <c r="A1207" t="s">
        <v>23</v>
      </c>
      <c r="B1207" t="s">
        <v>37</v>
      </c>
      <c r="C1207">
        <v>2025</v>
      </c>
      <c r="D1207" t="s">
        <v>20</v>
      </c>
      <c r="E1207">
        <v>80896.009999999995</v>
      </c>
      <c r="F1207">
        <v>64.400000000000006</v>
      </c>
      <c r="G1207">
        <v>194</v>
      </c>
      <c r="H1207">
        <v>148</v>
      </c>
      <c r="I1207" t="s">
        <v>32</v>
      </c>
      <c r="J1207">
        <v>4</v>
      </c>
      <c r="K1207" t="s">
        <v>20</v>
      </c>
      <c r="L1207">
        <v>11404</v>
      </c>
      <c r="M1207">
        <v>3.35</v>
      </c>
      <c r="N1207" s="6">
        <f t="shared" si="18"/>
        <v>922538098.03999996</v>
      </c>
    </row>
    <row r="1208" spans="1:14" x14ac:dyDescent="0.35">
      <c r="A1208" t="s">
        <v>13</v>
      </c>
      <c r="B1208" t="s">
        <v>14</v>
      </c>
      <c r="C1208">
        <v>2025</v>
      </c>
      <c r="D1208" t="s">
        <v>28</v>
      </c>
      <c r="E1208">
        <v>66045.149999999994</v>
      </c>
      <c r="F1208">
        <v>82.5</v>
      </c>
      <c r="G1208">
        <v>269</v>
      </c>
      <c r="H1208">
        <v>163</v>
      </c>
      <c r="I1208" t="s">
        <v>32</v>
      </c>
      <c r="J1208">
        <v>4</v>
      </c>
      <c r="K1208" t="s">
        <v>20</v>
      </c>
      <c r="L1208">
        <v>228215</v>
      </c>
      <c r="M1208">
        <v>3.37</v>
      </c>
      <c r="N1208" s="6">
        <f t="shared" si="18"/>
        <v>15072493907.249998</v>
      </c>
    </row>
    <row r="1209" spans="1:14" x14ac:dyDescent="0.35">
      <c r="A1209" t="s">
        <v>23</v>
      </c>
      <c r="B1209" t="s">
        <v>37</v>
      </c>
      <c r="C1209">
        <v>2025</v>
      </c>
      <c r="D1209" t="s">
        <v>43</v>
      </c>
      <c r="E1209">
        <v>70614.100000000006</v>
      </c>
      <c r="F1209">
        <v>41.9</v>
      </c>
      <c r="G1209">
        <v>187</v>
      </c>
      <c r="H1209">
        <v>173</v>
      </c>
      <c r="I1209" t="s">
        <v>32</v>
      </c>
      <c r="J1209">
        <v>4</v>
      </c>
      <c r="K1209" t="s">
        <v>20</v>
      </c>
      <c r="L1209">
        <v>27643</v>
      </c>
      <c r="M1209">
        <v>3.38</v>
      </c>
      <c r="N1209" s="6">
        <f t="shared" si="18"/>
        <v>1951985566.3000002</v>
      </c>
    </row>
    <row r="1210" spans="1:14" x14ac:dyDescent="0.35">
      <c r="A1210" t="s">
        <v>13</v>
      </c>
      <c r="B1210" t="s">
        <v>51</v>
      </c>
      <c r="C1210">
        <v>2025</v>
      </c>
      <c r="D1210" t="s">
        <v>15</v>
      </c>
      <c r="E1210">
        <v>80549.5</v>
      </c>
      <c r="F1210">
        <v>119.7</v>
      </c>
      <c r="G1210">
        <v>447</v>
      </c>
      <c r="H1210">
        <v>192</v>
      </c>
      <c r="I1210" t="s">
        <v>16</v>
      </c>
      <c r="J1210">
        <v>5</v>
      </c>
      <c r="K1210" t="s">
        <v>20</v>
      </c>
      <c r="L1210">
        <v>291709</v>
      </c>
      <c r="M1210">
        <v>3.7</v>
      </c>
      <c r="N1210" s="6">
        <f t="shared" si="18"/>
        <v>23497014095.5</v>
      </c>
    </row>
    <row r="1211" spans="1:14" x14ac:dyDescent="0.35">
      <c r="A1211" t="s">
        <v>26</v>
      </c>
      <c r="B1211" t="s">
        <v>52</v>
      </c>
      <c r="C1211">
        <v>2025</v>
      </c>
      <c r="D1211" t="s">
        <v>38</v>
      </c>
      <c r="E1211">
        <v>41416.019999999997</v>
      </c>
      <c r="F1211">
        <v>60.8</v>
      </c>
      <c r="G1211">
        <v>228</v>
      </c>
      <c r="H1211">
        <v>160</v>
      </c>
      <c r="I1211" t="s">
        <v>32</v>
      </c>
      <c r="J1211">
        <v>5</v>
      </c>
      <c r="K1211" t="s">
        <v>22</v>
      </c>
      <c r="L1211">
        <v>137512</v>
      </c>
      <c r="M1211">
        <v>3.35</v>
      </c>
      <c r="N1211" s="6">
        <f t="shared" si="18"/>
        <v>5695199742.2399998</v>
      </c>
    </row>
    <row r="1212" spans="1:14" x14ac:dyDescent="0.35">
      <c r="A1212" t="s">
        <v>64</v>
      </c>
      <c r="B1212" t="s">
        <v>70</v>
      </c>
      <c r="C1212">
        <v>2025</v>
      </c>
      <c r="D1212" t="s">
        <v>15</v>
      </c>
      <c r="E1212">
        <v>97630.54</v>
      </c>
      <c r="F1212">
        <v>108</v>
      </c>
      <c r="G1212">
        <v>374</v>
      </c>
      <c r="H1212">
        <v>200</v>
      </c>
      <c r="I1212" t="s">
        <v>16</v>
      </c>
      <c r="J1212">
        <v>4</v>
      </c>
      <c r="K1212" t="s">
        <v>20</v>
      </c>
      <c r="L1212">
        <v>50895</v>
      </c>
      <c r="M1212">
        <v>3.63</v>
      </c>
      <c r="N1212" s="6">
        <f t="shared" si="18"/>
        <v>4968906333.2999992</v>
      </c>
    </row>
    <row r="1213" spans="1:14" x14ac:dyDescent="0.35">
      <c r="A1213" t="s">
        <v>18</v>
      </c>
      <c r="B1213" t="s">
        <v>93</v>
      </c>
      <c r="C1213">
        <v>2025</v>
      </c>
      <c r="D1213" t="s">
        <v>28</v>
      </c>
      <c r="E1213">
        <v>77617.509999999995</v>
      </c>
      <c r="F1213">
        <v>84.5</v>
      </c>
      <c r="G1213">
        <v>295</v>
      </c>
      <c r="H1213">
        <v>180</v>
      </c>
      <c r="I1213" t="s">
        <v>33</v>
      </c>
      <c r="J1213">
        <v>5</v>
      </c>
      <c r="K1213" t="s">
        <v>20</v>
      </c>
      <c r="L1213">
        <v>15856</v>
      </c>
      <c r="M1213">
        <v>3.46</v>
      </c>
      <c r="N1213" s="6">
        <f t="shared" si="18"/>
        <v>1230703238.5599999</v>
      </c>
    </row>
    <row r="1214" spans="1:14" x14ac:dyDescent="0.35">
      <c r="A1214" t="s">
        <v>23</v>
      </c>
      <c r="B1214" t="s">
        <v>24</v>
      </c>
      <c r="C1214">
        <v>2025</v>
      </c>
      <c r="D1214" t="s">
        <v>15</v>
      </c>
      <c r="E1214">
        <v>53614.17</v>
      </c>
      <c r="F1214">
        <v>77.3</v>
      </c>
      <c r="G1214">
        <v>266</v>
      </c>
      <c r="H1214">
        <v>192</v>
      </c>
      <c r="I1214" t="s">
        <v>16</v>
      </c>
      <c r="J1214">
        <v>5</v>
      </c>
      <c r="K1214" t="s">
        <v>22</v>
      </c>
      <c r="L1214">
        <v>7236</v>
      </c>
      <c r="M1214">
        <v>3.24</v>
      </c>
      <c r="N1214" s="6">
        <f t="shared" si="18"/>
        <v>387952134.12</v>
      </c>
    </row>
    <row r="1215" spans="1:14" x14ac:dyDescent="0.35">
      <c r="A1215" t="s">
        <v>26</v>
      </c>
      <c r="B1215" t="s">
        <v>61</v>
      </c>
      <c r="C1215">
        <v>2025</v>
      </c>
      <c r="D1215" t="s">
        <v>20</v>
      </c>
      <c r="E1215">
        <v>62151.7</v>
      </c>
      <c r="F1215">
        <v>74</v>
      </c>
      <c r="G1215">
        <v>246</v>
      </c>
      <c r="H1215">
        <v>129</v>
      </c>
      <c r="I1215" t="s">
        <v>21</v>
      </c>
      <c r="J1215">
        <v>5</v>
      </c>
      <c r="K1215" t="s">
        <v>22</v>
      </c>
      <c r="L1215">
        <v>58624</v>
      </c>
      <c r="M1215">
        <v>3.74</v>
      </c>
      <c r="N1215" s="6">
        <f t="shared" si="18"/>
        <v>3643581260.7999997</v>
      </c>
    </row>
    <row r="1216" spans="1:14" x14ac:dyDescent="0.35">
      <c r="A1216" t="s">
        <v>13</v>
      </c>
      <c r="B1216" t="s">
        <v>14</v>
      </c>
      <c r="C1216">
        <v>2025</v>
      </c>
      <c r="D1216" t="s">
        <v>15</v>
      </c>
      <c r="E1216">
        <v>57462.19</v>
      </c>
      <c r="F1216">
        <v>76.2</v>
      </c>
      <c r="G1216">
        <v>259</v>
      </c>
      <c r="H1216">
        <v>183</v>
      </c>
      <c r="I1216" t="s">
        <v>32</v>
      </c>
      <c r="J1216">
        <v>4</v>
      </c>
      <c r="K1216" t="s">
        <v>22</v>
      </c>
      <c r="L1216">
        <v>298599</v>
      </c>
      <c r="M1216">
        <v>3.42</v>
      </c>
      <c r="N1216" s="6">
        <f t="shared" si="18"/>
        <v>17158152471.810001</v>
      </c>
    </row>
    <row r="1217" spans="1:14" x14ac:dyDescent="0.35">
      <c r="A1217" t="s">
        <v>13</v>
      </c>
      <c r="B1217" t="s">
        <v>66</v>
      </c>
      <c r="C1217">
        <v>2025</v>
      </c>
      <c r="D1217" t="s">
        <v>15</v>
      </c>
      <c r="E1217">
        <v>88158.61</v>
      </c>
      <c r="F1217">
        <v>99.8</v>
      </c>
      <c r="G1217">
        <v>333</v>
      </c>
      <c r="H1217">
        <v>200</v>
      </c>
      <c r="I1217" t="s">
        <v>32</v>
      </c>
      <c r="J1217">
        <v>5</v>
      </c>
      <c r="K1217" t="s">
        <v>20</v>
      </c>
      <c r="L1217">
        <v>265949</v>
      </c>
      <c r="M1217">
        <v>3.68</v>
      </c>
      <c r="N1217" s="6">
        <f t="shared" si="18"/>
        <v>23445694170.889999</v>
      </c>
    </row>
    <row r="1218" spans="1:14" x14ac:dyDescent="0.35">
      <c r="A1218" t="s">
        <v>29</v>
      </c>
      <c r="B1218" t="s">
        <v>53</v>
      </c>
      <c r="C1218">
        <v>2025</v>
      </c>
      <c r="D1218" t="s">
        <v>38</v>
      </c>
      <c r="E1218">
        <v>29689.54</v>
      </c>
      <c r="F1218">
        <v>58.1</v>
      </c>
      <c r="G1218">
        <v>216</v>
      </c>
      <c r="H1218">
        <v>170</v>
      </c>
      <c r="I1218" t="s">
        <v>16</v>
      </c>
      <c r="J1218">
        <v>5</v>
      </c>
      <c r="K1218" t="s">
        <v>47</v>
      </c>
      <c r="L1218">
        <v>210522</v>
      </c>
      <c r="M1218">
        <v>3.78</v>
      </c>
      <c r="N1218" s="6">
        <f t="shared" ref="N1218:N1281" si="19">E1218*L1218</f>
        <v>6250301339.8800001</v>
      </c>
    </row>
    <row r="1219" spans="1:14" x14ac:dyDescent="0.35">
      <c r="A1219" t="s">
        <v>29</v>
      </c>
      <c r="B1219" t="s">
        <v>39</v>
      </c>
      <c r="C1219">
        <v>2025</v>
      </c>
      <c r="D1219" t="s">
        <v>28</v>
      </c>
      <c r="E1219">
        <v>129183.24</v>
      </c>
      <c r="F1219">
        <v>87.9</v>
      </c>
      <c r="G1219">
        <v>337</v>
      </c>
      <c r="H1219">
        <v>169</v>
      </c>
      <c r="I1219" t="s">
        <v>32</v>
      </c>
      <c r="J1219">
        <v>5</v>
      </c>
      <c r="K1219" t="s">
        <v>17</v>
      </c>
      <c r="L1219">
        <v>207546</v>
      </c>
      <c r="M1219">
        <v>3.74</v>
      </c>
      <c r="N1219" s="6">
        <f t="shared" si="19"/>
        <v>26811464729.040001</v>
      </c>
    </row>
    <row r="1220" spans="1:14" x14ac:dyDescent="0.35">
      <c r="A1220" t="s">
        <v>29</v>
      </c>
      <c r="B1220" t="s">
        <v>53</v>
      </c>
      <c r="C1220">
        <v>2025</v>
      </c>
      <c r="D1220" t="s">
        <v>28</v>
      </c>
      <c r="E1220">
        <v>132226.95000000001</v>
      </c>
      <c r="F1220">
        <v>87.5</v>
      </c>
      <c r="G1220">
        <v>319</v>
      </c>
      <c r="H1220">
        <v>176</v>
      </c>
      <c r="I1220" t="s">
        <v>16</v>
      </c>
      <c r="J1220">
        <v>5</v>
      </c>
      <c r="K1220" t="s">
        <v>17</v>
      </c>
      <c r="L1220">
        <v>133735</v>
      </c>
      <c r="M1220">
        <v>3.85</v>
      </c>
      <c r="N1220" s="6">
        <f t="shared" si="19"/>
        <v>17683371158.25</v>
      </c>
    </row>
    <row r="1221" spans="1:14" x14ac:dyDescent="0.35">
      <c r="A1221" t="s">
        <v>29</v>
      </c>
      <c r="B1221" t="s">
        <v>39</v>
      </c>
      <c r="C1221">
        <v>2025</v>
      </c>
      <c r="D1221" t="s">
        <v>20</v>
      </c>
      <c r="E1221">
        <v>162032.44</v>
      </c>
      <c r="F1221">
        <v>61.2</v>
      </c>
      <c r="G1221">
        <v>193</v>
      </c>
      <c r="H1221">
        <v>132</v>
      </c>
      <c r="I1221" t="s">
        <v>40</v>
      </c>
      <c r="J1221">
        <v>5</v>
      </c>
      <c r="K1221" t="s">
        <v>17</v>
      </c>
      <c r="L1221">
        <v>210253</v>
      </c>
      <c r="M1221">
        <v>3.9</v>
      </c>
      <c r="N1221" s="6">
        <f t="shared" si="19"/>
        <v>34067806607.32</v>
      </c>
    </row>
    <row r="1222" spans="1:14" x14ac:dyDescent="0.35">
      <c r="A1222" t="s">
        <v>49</v>
      </c>
      <c r="B1222" t="s">
        <v>50</v>
      </c>
      <c r="C1222">
        <v>2025</v>
      </c>
      <c r="D1222" t="s">
        <v>20</v>
      </c>
      <c r="E1222">
        <v>51036.86</v>
      </c>
      <c r="F1222">
        <v>52.8</v>
      </c>
      <c r="G1222">
        <v>234</v>
      </c>
      <c r="H1222">
        <v>142</v>
      </c>
      <c r="I1222" t="s">
        <v>33</v>
      </c>
      <c r="J1222">
        <v>5</v>
      </c>
      <c r="K1222" t="s">
        <v>22</v>
      </c>
      <c r="L1222">
        <v>55671</v>
      </c>
      <c r="M1222">
        <v>3.38</v>
      </c>
      <c r="N1222" s="6">
        <f t="shared" si="19"/>
        <v>2841273033.0599999</v>
      </c>
    </row>
    <row r="1223" spans="1:14" x14ac:dyDescent="0.35">
      <c r="A1223" t="s">
        <v>29</v>
      </c>
      <c r="B1223" t="s">
        <v>39</v>
      </c>
      <c r="C1223">
        <v>2025</v>
      </c>
      <c r="D1223" t="s">
        <v>38</v>
      </c>
      <c r="E1223">
        <v>54018.19</v>
      </c>
      <c r="F1223">
        <v>40.6</v>
      </c>
      <c r="G1223">
        <v>150</v>
      </c>
      <c r="H1223">
        <v>145</v>
      </c>
      <c r="I1223" t="s">
        <v>33</v>
      </c>
      <c r="J1223">
        <v>4</v>
      </c>
      <c r="K1223" t="s">
        <v>22</v>
      </c>
      <c r="L1223">
        <v>101221</v>
      </c>
      <c r="M1223">
        <v>3.6</v>
      </c>
      <c r="N1223" s="6">
        <f t="shared" si="19"/>
        <v>5467775209.9899998</v>
      </c>
    </row>
    <row r="1224" spans="1:14" x14ac:dyDescent="0.35">
      <c r="A1224" t="s">
        <v>13</v>
      </c>
      <c r="B1224" t="s">
        <v>55</v>
      </c>
      <c r="C1224">
        <v>2025</v>
      </c>
      <c r="D1224" t="s">
        <v>38</v>
      </c>
      <c r="E1224">
        <v>78662.149999999994</v>
      </c>
      <c r="F1224">
        <v>41.4</v>
      </c>
      <c r="G1224">
        <v>150</v>
      </c>
      <c r="H1224">
        <v>134</v>
      </c>
      <c r="I1224" t="s">
        <v>25</v>
      </c>
      <c r="J1224">
        <v>4</v>
      </c>
      <c r="K1224" t="s">
        <v>20</v>
      </c>
      <c r="L1224">
        <v>237990</v>
      </c>
      <c r="M1224">
        <v>3.28</v>
      </c>
      <c r="N1224" s="6">
        <f t="shared" si="19"/>
        <v>18720805078.5</v>
      </c>
    </row>
    <row r="1225" spans="1:14" x14ac:dyDescent="0.35">
      <c r="A1225" t="s">
        <v>26</v>
      </c>
      <c r="B1225" t="s">
        <v>61</v>
      </c>
      <c r="C1225">
        <v>2025</v>
      </c>
      <c r="D1225" t="s">
        <v>20</v>
      </c>
      <c r="E1225">
        <v>103512.45</v>
      </c>
      <c r="F1225">
        <v>63</v>
      </c>
      <c r="G1225">
        <v>213</v>
      </c>
      <c r="H1225">
        <v>124</v>
      </c>
      <c r="I1225" t="s">
        <v>21</v>
      </c>
      <c r="J1225">
        <v>5</v>
      </c>
      <c r="K1225" t="s">
        <v>17</v>
      </c>
      <c r="L1225">
        <v>50563</v>
      </c>
      <c r="M1225">
        <v>3.44</v>
      </c>
      <c r="N1225" s="6">
        <f t="shared" si="19"/>
        <v>5233900009.3499994</v>
      </c>
    </row>
    <row r="1226" spans="1:14" x14ac:dyDescent="0.35">
      <c r="A1226" t="s">
        <v>49</v>
      </c>
      <c r="B1226" t="s">
        <v>60</v>
      </c>
      <c r="C1226">
        <v>2025</v>
      </c>
      <c r="D1226" t="s">
        <v>43</v>
      </c>
      <c r="E1226">
        <v>39399.56</v>
      </c>
      <c r="F1226">
        <v>70.900000000000006</v>
      </c>
      <c r="G1226">
        <v>268</v>
      </c>
      <c r="H1226">
        <v>159</v>
      </c>
      <c r="I1226" t="s">
        <v>21</v>
      </c>
      <c r="J1226">
        <v>4</v>
      </c>
      <c r="K1226" t="s">
        <v>22</v>
      </c>
      <c r="L1226">
        <v>101021</v>
      </c>
      <c r="M1226">
        <v>3.33</v>
      </c>
      <c r="N1226" s="6">
        <f t="shared" si="19"/>
        <v>3980182950.7599998</v>
      </c>
    </row>
    <row r="1227" spans="1:14" x14ac:dyDescent="0.35">
      <c r="A1227" t="s">
        <v>64</v>
      </c>
      <c r="B1227" t="s">
        <v>65</v>
      </c>
      <c r="C1227">
        <v>2025</v>
      </c>
      <c r="D1227" t="s">
        <v>15</v>
      </c>
      <c r="E1227">
        <v>113646.11</v>
      </c>
      <c r="F1227">
        <v>73.599999999999994</v>
      </c>
      <c r="G1227">
        <v>279</v>
      </c>
      <c r="H1227">
        <v>199</v>
      </c>
      <c r="I1227" t="s">
        <v>16</v>
      </c>
      <c r="J1227">
        <v>5</v>
      </c>
      <c r="K1227" t="s">
        <v>17</v>
      </c>
      <c r="L1227">
        <v>68048</v>
      </c>
      <c r="M1227">
        <v>3.7</v>
      </c>
      <c r="N1227" s="6">
        <f t="shared" si="19"/>
        <v>7733390493.2799997</v>
      </c>
    </row>
    <row r="1228" spans="1:14" x14ac:dyDescent="0.35">
      <c r="A1228" t="s">
        <v>29</v>
      </c>
      <c r="B1228" t="s">
        <v>30</v>
      </c>
      <c r="C1228">
        <v>2025</v>
      </c>
      <c r="D1228" t="s">
        <v>38</v>
      </c>
      <c r="E1228">
        <v>42979.12</v>
      </c>
      <c r="F1228">
        <v>62.8</v>
      </c>
      <c r="G1228">
        <v>229</v>
      </c>
      <c r="H1228">
        <v>133</v>
      </c>
      <c r="I1228" t="s">
        <v>21</v>
      </c>
      <c r="J1228">
        <v>4</v>
      </c>
      <c r="K1228" t="s">
        <v>22</v>
      </c>
      <c r="L1228">
        <v>207769</v>
      </c>
      <c r="M1228">
        <v>3.71</v>
      </c>
      <c r="N1228" s="6">
        <f t="shared" si="19"/>
        <v>8929728783.2800007</v>
      </c>
    </row>
    <row r="1229" spans="1:14" x14ac:dyDescent="0.35">
      <c r="A1229" t="s">
        <v>13</v>
      </c>
      <c r="B1229" t="s">
        <v>55</v>
      </c>
      <c r="C1229">
        <v>2025</v>
      </c>
      <c r="D1229" t="s">
        <v>15</v>
      </c>
      <c r="E1229">
        <v>97402.81</v>
      </c>
      <c r="F1229">
        <v>71.7</v>
      </c>
      <c r="G1229">
        <v>258</v>
      </c>
      <c r="H1229">
        <v>200</v>
      </c>
      <c r="I1229" t="s">
        <v>16</v>
      </c>
      <c r="J1229">
        <v>4</v>
      </c>
      <c r="K1229" t="s">
        <v>20</v>
      </c>
      <c r="L1229">
        <v>255988</v>
      </c>
      <c r="M1229">
        <v>3.58</v>
      </c>
      <c r="N1229" s="6">
        <f t="shared" si="19"/>
        <v>24933950526.279999</v>
      </c>
    </row>
    <row r="1230" spans="1:14" x14ac:dyDescent="0.35">
      <c r="A1230" t="s">
        <v>64</v>
      </c>
      <c r="B1230" t="s">
        <v>65</v>
      </c>
      <c r="C1230">
        <v>2025</v>
      </c>
      <c r="D1230" t="s">
        <v>43</v>
      </c>
      <c r="E1230">
        <v>85706.08</v>
      </c>
      <c r="F1230">
        <v>45.1</v>
      </c>
      <c r="G1230">
        <v>150</v>
      </c>
      <c r="H1230">
        <v>135</v>
      </c>
      <c r="I1230" t="s">
        <v>32</v>
      </c>
      <c r="J1230">
        <v>4</v>
      </c>
      <c r="K1230" t="s">
        <v>20</v>
      </c>
      <c r="L1230">
        <v>78799</v>
      </c>
      <c r="M1230">
        <v>3.26</v>
      </c>
      <c r="N1230" s="6">
        <f t="shared" si="19"/>
        <v>6753553397.9200001</v>
      </c>
    </row>
    <row r="1231" spans="1:14" x14ac:dyDescent="0.35">
      <c r="A1231" t="s">
        <v>13</v>
      </c>
      <c r="B1231" t="s">
        <v>66</v>
      </c>
      <c r="C1231">
        <v>2025</v>
      </c>
      <c r="D1231" t="s">
        <v>15</v>
      </c>
      <c r="E1231">
        <v>58313.43</v>
      </c>
      <c r="F1231">
        <v>71.5</v>
      </c>
      <c r="G1231">
        <v>260</v>
      </c>
      <c r="H1231">
        <v>193</v>
      </c>
      <c r="I1231" t="s">
        <v>16</v>
      </c>
      <c r="J1231">
        <v>3</v>
      </c>
      <c r="K1231" t="s">
        <v>22</v>
      </c>
      <c r="L1231">
        <v>263694</v>
      </c>
      <c r="M1231">
        <v>3.21</v>
      </c>
      <c r="N1231" s="6">
        <f t="shared" si="19"/>
        <v>15376901610.42</v>
      </c>
    </row>
    <row r="1232" spans="1:14" x14ac:dyDescent="0.35">
      <c r="A1232" t="s">
        <v>67</v>
      </c>
      <c r="B1232" t="s">
        <v>89</v>
      </c>
      <c r="C1232">
        <v>2025</v>
      </c>
      <c r="D1232" t="s">
        <v>43</v>
      </c>
      <c r="E1232">
        <v>91038.75</v>
      </c>
      <c r="F1232">
        <v>55.9</v>
      </c>
      <c r="G1232">
        <v>192</v>
      </c>
      <c r="H1232">
        <v>149</v>
      </c>
      <c r="I1232" t="s">
        <v>16</v>
      </c>
      <c r="J1232">
        <v>5</v>
      </c>
      <c r="K1232" t="s">
        <v>20</v>
      </c>
      <c r="L1232">
        <v>26577</v>
      </c>
      <c r="M1232">
        <v>3.76</v>
      </c>
      <c r="N1232" s="6">
        <f t="shared" si="19"/>
        <v>2419536858.75</v>
      </c>
    </row>
    <row r="1233" spans="1:14" x14ac:dyDescent="0.35">
      <c r="A1233" t="s">
        <v>29</v>
      </c>
      <c r="B1233" t="s">
        <v>30</v>
      </c>
      <c r="C1233">
        <v>2025</v>
      </c>
      <c r="D1233" t="s">
        <v>38</v>
      </c>
      <c r="E1233">
        <v>69626.259999999995</v>
      </c>
      <c r="F1233">
        <v>76.8</v>
      </c>
      <c r="G1233">
        <v>249</v>
      </c>
      <c r="H1233">
        <v>158</v>
      </c>
      <c r="I1233" t="s">
        <v>40</v>
      </c>
      <c r="J1233">
        <v>5</v>
      </c>
      <c r="K1233" t="s">
        <v>20</v>
      </c>
      <c r="L1233">
        <v>189686</v>
      </c>
      <c r="M1233">
        <v>3.74</v>
      </c>
      <c r="N1233" s="6">
        <f t="shared" si="19"/>
        <v>13207126754.359999</v>
      </c>
    </row>
    <row r="1234" spans="1:14" x14ac:dyDescent="0.35">
      <c r="A1234" t="s">
        <v>64</v>
      </c>
      <c r="B1234" t="s">
        <v>65</v>
      </c>
      <c r="C1234">
        <v>2025</v>
      </c>
      <c r="D1234" t="s">
        <v>38</v>
      </c>
      <c r="E1234">
        <v>66273.55</v>
      </c>
      <c r="F1234">
        <v>72.400000000000006</v>
      </c>
      <c r="G1234">
        <v>246</v>
      </c>
      <c r="H1234">
        <v>154</v>
      </c>
      <c r="I1234" t="s">
        <v>16</v>
      </c>
      <c r="J1234">
        <v>5</v>
      </c>
      <c r="K1234" t="s">
        <v>20</v>
      </c>
      <c r="L1234">
        <v>30088</v>
      </c>
      <c r="M1234">
        <v>3.19</v>
      </c>
      <c r="N1234" s="6">
        <f t="shared" si="19"/>
        <v>1994038572.4000001</v>
      </c>
    </row>
    <row r="1235" spans="1:14" x14ac:dyDescent="0.35">
      <c r="A1235" t="s">
        <v>34</v>
      </c>
      <c r="B1235" t="s">
        <v>84</v>
      </c>
      <c r="C1235">
        <v>2025</v>
      </c>
      <c r="D1235" t="s">
        <v>38</v>
      </c>
      <c r="E1235">
        <v>127213.62</v>
      </c>
      <c r="F1235">
        <v>61.6</v>
      </c>
      <c r="G1235">
        <v>214</v>
      </c>
      <c r="H1235">
        <v>146</v>
      </c>
      <c r="I1235" t="s">
        <v>40</v>
      </c>
      <c r="J1235">
        <v>4</v>
      </c>
      <c r="K1235" t="s">
        <v>17</v>
      </c>
      <c r="L1235">
        <v>74928</v>
      </c>
      <c r="M1235">
        <v>3.82</v>
      </c>
      <c r="N1235" s="6">
        <f t="shared" si="19"/>
        <v>9531862119.3599987</v>
      </c>
    </row>
    <row r="1236" spans="1:14" x14ac:dyDescent="0.35">
      <c r="A1236" t="s">
        <v>29</v>
      </c>
      <c r="B1236" t="s">
        <v>39</v>
      </c>
      <c r="C1236">
        <v>2025</v>
      </c>
      <c r="D1236" t="s">
        <v>28</v>
      </c>
      <c r="E1236">
        <v>137829.03</v>
      </c>
      <c r="F1236">
        <v>95.3</v>
      </c>
      <c r="G1236">
        <v>323</v>
      </c>
      <c r="H1236">
        <v>187</v>
      </c>
      <c r="I1236" t="s">
        <v>25</v>
      </c>
      <c r="J1236">
        <v>3</v>
      </c>
      <c r="K1236" t="s">
        <v>17</v>
      </c>
      <c r="L1236">
        <v>239713</v>
      </c>
      <c r="M1236">
        <v>3.88</v>
      </c>
      <c r="N1236" s="6">
        <f t="shared" si="19"/>
        <v>33039410268.389999</v>
      </c>
    </row>
    <row r="1237" spans="1:14" x14ac:dyDescent="0.35">
      <c r="A1237" t="s">
        <v>23</v>
      </c>
      <c r="B1237" t="s">
        <v>99</v>
      </c>
      <c r="C1237">
        <v>2025</v>
      </c>
      <c r="D1237" t="s">
        <v>43</v>
      </c>
      <c r="E1237">
        <v>70239.009999999995</v>
      </c>
      <c r="F1237">
        <v>40.5</v>
      </c>
      <c r="G1237">
        <v>150</v>
      </c>
      <c r="H1237">
        <v>184</v>
      </c>
      <c r="I1237" t="s">
        <v>25</v>
      </c>
      <c r="J1237">
        <v>5</v>
      </c>
      <c r="K1237" t="s">
        <v>20</v>
      </c>
      <c r="L1237">
        <v>23483</v>
      </c>
      <c r="M1237">
        <v>3.13</v>
      </c>
      <c r="N1237" s="6">
        <f t="shared" si="19"/>
        <v>1649422671.8299999</v>
      </c>
    </row>
    <row r="1238" spans="1:14" x14ac:dyDescent="0.35">
      <c r="A1238" t="s">
        <v>23</v>
      </c>
      <c r="B1238" t="s">
        <v>37</v>
      </c>
      <c r="C1238">
        <v>2025</v>
      </c>
      <c r="D1238" t="s">
        <v>28</v>
      </c>
      <c r="E1238">
        <v>44798.27</v>
      </c>
      <c r="F1238">
        <v>109.1</v>
      </c>
      <c r="G1238">
        <v>375</v>
      </c>
      <c r="H1238">
        <v>168</v>
      </c>
      <c r="I1238" t="s">
        <v>32</v>
      </c>
      <c r="J1238">
        <v>4</v>
      </c>
      <c r="K1238" t="s">
        <v>22</v>
      </c>
      <c r="L1238">
        <v>19461</v>
      </c>
      <c r="M1238">
        <v>3.6</v>
      </c>
      <c r="N1238" s="6">
        <f t="shared" si="19"/>
        <v>871819132.46999991</v>
      </c>
    </row>
    <row r="1239" spans="1:14" x14ac:dyDescent="0.35">
      <c r="A1239" t="s">
        <v>102</v>
      </c>
      <c r="B1239" t="s">
        <v>103</v>
      </c>
      <c r="C1239">
        <v>2025</v>
      </c>
      <c r="D1239" t="s">
        <v>43</v>
      </c>
      <c r="E1239">
        <v>55877.09</v>
      </c>
      <c r="F1239">
        <v>51.9</v>
      </c>
      <c r="G1239">
        <v>192</v>
      </c>
      <c r="H1239">
        <v>166</v>
      </c>
      <c r="I1239" t="s">
        <v>25</v>
      </c>
      <c r="J1239">
        <v>5</v>
      </c>
      <c r="K1239" t="s">
        <v>22</v>
      </c>
      <c r="L1239">
        <v>15994</v>
      </c>
      <c r="M1239">
        <v>3.31</v>
      </c>
      <c r="N1239" s="6">
        <f t="shared" si="19"/>
        <v>893698177.45999992</v>
      </c>
    </row>
    <row r="1240" spans="1:14" x14ac:dyDescent="0.35">
      <c r="A1240" t="s">
        <v>45</v>
      </c>
      <c r="B1240" t="s">
        <v>77</v>
      </c>
      <c r="C1240">
        <v>2025</v>
      </c>
      <c r="D1240" t="s">
        <v>43</v>
      </c>
      <c r="E1240">
        <v>22600.22</v>
      </c>
      <c r="F1240">
        <v>66.900000000000006</v>
      </c>
      <c r="G1240">
        <v>206</v>
      </c>
      <c r="H1240">
        <v>146</v>
      </c>
      <c r="I1240" t="s">
        <v>32</v>
      </c>
      <c r="J1240">
        <v>5</v>
      </c>
      <c r="K1240" t="s">
        <v>47</v>
      </c>
      <c r="L1240">
        <v>131689</v>
      </c>
      <c r="M1240">
        <v>3.16</v>
      </c>
      <c r="N1240" s="6">
        <f t="shared" si="19"/>
        <v>2976200371.5799999</v>
      </c>
    </row>
    <row r="1241" spans="1:14" x14ac:dyDescent="0.35">
      <c r="A1241" t="s">
        <v>23</v>
      </c>
      <c r="B1241" t="s">
        <v>37</v>
      </c>
      <c r="C1241">
        <v>2025</v>
      </c>
      <c r="D1241" t="s">
        <v>43</v>
      </c>
      <c r="E1241">
        <v>35979.300000000003</v>
      </c>
      <c r="F1241">
        <v>56.1</v>
      </c>
      <c r="G1241">
        <v>209</v>
      </c>
      <c r="H1241">
        <v>124</v>
      </c>
      <c r="I1241" t="s">
        <v>21</v>
      </c>
      <c r="J1241">
        <v>4</v>
      </c>
      <c r="K1241" t="s">
        <v>22</v>
      </c>
      <c r="L1241">
        <v>25503</v>
      </c>
      <c r="M1241">
        <v>3.61</v>
      </c>
      <c r="N1241" s="6">
        <f t="shared" si="19"/>
        <v>917580087.9000001</v>
      </c>
    </row>
    <row r="1242" spans="1:14" x14ac:dyDescent="0.35">
      <c r="A1242" t="s">
        <v>23</v>
      </c>
      <c r="B1242" t="s">
        <v>83</v>
      </c>
      <c r="C1242">
        <v>2025</v>
      </c>
      <c r="D1242" t="s">
        <v>15</v>
      </c>
      <c r="E1242">
        <v>57051.32</v>
      </c>
      <c r="F1242">
        <v>98.6</v>
      </c>
      <c r="G1242">
        <v>344</v>
      </c>
      <c r="H1242">
        <v>200</v>
      </c>
      <c r="I1242" t="s">
        <v>21</v>
      </c>
      <c r="J1242">
        <v>4</v>
      </c>
      <c r="K1242" t="s">
        <v>22</v>
      </c>
      <c r="L1242">
        <v>13660</v>
      </c>
      <c r="M1242">
        <v>3.69</v>
      </c>
      <c r="N1242" s="6">
        <f t="shared" si="19"/>
        <v>779321031.20000005</v>
      </c>
    </row>
    <row r="1243" spans="1:14" x14ac:dyDescent="0.35">
      <c r="A1243" t="s">
        <v>29</v>
      </c>
      <c r="B1243" t="s">
        <v>31</v>
      </c>
      <c r="C1243">
        <v>2025</v>
      </c>
      <c r="D1243" t="s">
        <v>38</v>
      </c>
      <c r="E1243">
        <v>109970.08</v>
      </c>
      <c r="F1243">
        <v>60</v>
      </c>
      <c r="G1243">
        <v>194</v>
      </c>
      <c r="H1243">
        <v>165</v>
      </c>
      <c r="I1243" t="s">
        <v>33</v>
      </c>
      <c r="J1243">
        <v>4</v>
      </c>
      <c r="K1243" t="s">
        <v>17</v>
      </c>
      <c r="L1243">
        <v>456748</v>
      </c>
      <c r="M1243">
        <v>3.5</v>
      </c>
      <c r="N1243" s="6">
        <f t="shared" si="19"/>
        <v>50228614099.840004</v>
      </c>
    </row>
    <row r="1244" spans="1:14" x14ac:dyDescent="0.35">
      <c r="A1244" t="s">
        <v>49</v>
      </c>
      <c r="B1244" t="s">
        <v>90</v>
      </c>
      <c r="C1244">
        <v>2025</v>
      </c>
      <c r="D1244" t="s">
        <v>43</v>
      </c>
      <c r="E1244">
        <v>65007.57</v>
      </c>
      <c r="F1244">
        <v>44.2</v>
      </c>
      <c r="G1244">
        <v>150</v>
      </c>
      <c r="H1244">
        <v>174</v>
      </c>
      <c r="I1244" t="s">
        <v>32</v>
      </c>
      <c r="J1244">
        <v>4</v>
      </c>
      <c r="K1244" t="s">
        <v>20</v>
      </c>
      <c r="L1244">
        <v>138781</v>
      </c>
      <c r="M1244">
        <v>3.03</v>
      </c>
      <c r="N1244" s="6">
        <f t="shared" si="19"/>
        <v>9021815572.1700001</v>
      </c>
    </row>
    <row r="1245" spans="1:14" x14ac:dyDescent="0.35">
      <c r="A1245" t="s">
        <v>67</v>
      </c>
      <c r="B1245" t="s">
        <v>89</v>
      </c>
      <c r="C1245">
        <v>2025</v>
      </c>
      <c r="D1245" t="s">
        <v>38</v>
      </c>
      <c r="E1245">
        <v>79195.78</v>
      </c>
      <c r="F1245">
        <v>74.7</v>
      </c>
      <c r="G1245">
        <v>275</v>
      </c>
      <c r="H1245">
        <v>162</v>
      </c>
      <c r="I1245" t="s">
        <v>40</v>
      </c>
      <c r="J1245">
        <v>4</v>
      </c>
      <c r="K1245" t="s">
        <v>20</v>
      </c>
      <c r="L1245">
        <v>62967</v>
      </c>
      <c r="M1245">
        <v>3.57</v>
      </c>
      <c r="N1245" s="6">
        <f t="shared" si="19"/>
        <v>4986720679.2600002</v>
      </c>
    </row>
    <row r="1246" spans="1:14" x14ac:dyDescent="0.35">
      <c r="A1246" t="s">
        <v>67</v>
      </c>
      <c r="B1246" t="s">
        <v>89</v>
      </c>
      <c r="C1246">
        <v>2025</v>
      </c>
      <c r="D1246" t="s">
        <v>38</v>
      </c>
      <c r="E1246">
        <v>84380.71</v>
      </c>
      <c r="F1246">
        <v>80</v>
      </c>
      <c r="G1246">
        <v>275</v>
      </c>
      <c r="H1246">
        <v>165</v>
      </c>
      <c r="I1246" t="s">
        <v>21</v>
      </c>
      <c r="J1246">
        <v>4</v>
      </c>
      <c r="K1246" t="s">
        <v>20</v>
      </c>
      <c r="L1246">
        <v>37226</v>
      </c>
      <c r="M1246">
        <v>3.53</v>
      </c>
      <c r="N1246" s="6">
        <f t="shared" si="19"/>
        <v>3141156310.46</v>
      </c>
    </row>
    <row r="1247" spans="1:14" x14ac:dyDescent="0.35">
      <c r="A1247" t="s">
        <v>29</v>
      </c>
      <c r="B1247" t="s">
        <v>59</v>
      </c>
      <c r="C1247">
        <v>2025</v>
      </c>
      <c r="D1247" t="s">
        <v>43</v>
      </c>
      <c r="E1247">
        <v>76635.5</v>
      </c>
      <c r="F1247">
        <v>45.2</v>
      </c>
      <c r="G1247">
        <v>150</v>
      </c>
      <c r="H1247">
        <v>175</v>
      </c>
      <c r="I1247" t="s">
        <v>21</v>
      </c>
      <c r="J1247">
        <v>5</v>
      </c>
      <c r="K1247" t="s">
        <v>20</v>
      </c>
      <c r="L1247">
        <v>167458</v>
      </c>
      <c r="M1247">
        <v>3.59</v>
      </c>
      <c r="N1247" s="6">
        <f t="shared" si="19"/>
        <v>12833227559</v>
      </c>
    </row>
    <row r="1248" spans="1:14" x14ac:dyDescent="0.35">
      <c r="A1248" t="s">
        <v>26</v>
      </c>
      <c r="B1248" t="s">
        <v>52</v>
      </c>
      <c r="C1248">
        <v>2025</v>
      </c>
      <c r="D1248" t="s">
        <v>38</v>
      </c>
      <c r="E1248">
        <v>41302.85</v>
      </c>
      <c r="F1248">
        <v>54.4</v>
      </c>
      <c r="G1248">
        <v>210</v>
      </c>
      <c r="H1248">
        <v>128</v>
      </c>
      <c r="I1248" t="s">
        <v>16</v>
      </c>
      <c r="J1248">
        <v>5</v>
      </c>
      <c r="K1248" t="s">
        <v>22</v>
      </c>
      <c r="L1248">
        <v>124417</v>
      </c>
      <c r="M1248">
        <v>3.31</v>
      </c>
      <c r="N1248" s="6">
        <f t="shared" si="19"/>
        <v>5138776688.4499998</v>
      </c>
    </row>
    <row r="1249" spans="1:14" x14ac:dyDescent="0.35">
      <c r="A1249" t="s">
        <v>45</v>
      </c>
      <c r="B1249" t="s">
        <v>77</v>
      </c>
      <c r="C1249">
        <v>2025</v>
      </c>
      <c r="D1249" t="s">
        <v>15</v>
      </c>
      <c r="E1249">
        <v>53327.95</v>
      </c>
      <c r="F1249">
        <v>101.5</v>
      </c>
      <c r="G1249">
        <v>344</v>
      </c>
      <c r="H1249">
        <v>186</v>
      </c>
      <c r="I1249" t="s">
        <v>40</v>
      </c>
      <c r="J1249">
        <v>4</v>
      </c>
      <c r="K1249" t="s">
        <v>22</v>
      </c>
      <c r="L1249">
        <v>120007</v>
      </c>
      <c r="M1249">
        <v>3.46</v>
      </c>
      <c r="N1249" s="6">
        <f t="shared" si="19"/>
        <v>6399727295.6499996</v>
      </c>
    </row>
    <row r="1250" spans="1:14" x14ac:dyDescent="0.35">
      <c r="A1250" t="s">
        <v>23</v>
      </c>
      <c r="B1250" t="s">
        <v>99</v>
      </c>
      <c r="C1250">
        <v>2025</v>
      </c>
      <c r="D1250" t="s">
        <v>15</v>
      </c>
      <c r="E1250">
        <v>50051.199999999997</v>
      </c>
      <c r="F1250">
        <v>92.1</v>
      </c>
      <c r="G1250">
        <v>286</v>
      </c>
      <c r="H1250">
        <v>199</v>
      </c>
      <c r="I1250" t="s">
        <v>40</v>
      </c>
      <c r="J1250">
        <v>5</v>
      </c>
      <c r="K1250" t="s">
        <v>22</v>
      </c>
      <c r="L1250">
        <v>17861</v>
      </c>
      <c r="M1250">
        <v>3.54</v>
      </c>
      <c r="N1250" s="6">
        <f t="shared" si="19"/>
        <v>893964483.19999993</v>
      </c>
    </row>
    <row r="1251" spans="1:14" x14ac:dyDescent="0.35">
      <c r="A1251" t="s">
        <v>29</v>
      </c>
      <c r="B1251" t="s">
        <v>53</v>
      </c>
      <c r="C1251">
        <v>2025</v>
      </c>
      <c r="D1251" t="s">
        <v>38</v>
      </c>
      <c r="E1251">
        <v>69446.789999999994</v>
      </c>
      <c r="F1251">
        <v>55.6</v>
      </c>
      <c r="G1251">
        <v>196</v>
      </c>
      <c r="H1251">
        <v>155</v>
      </c>
      <c r="I1251" t="s">
        <v>16</v>
      </c>
      <c r="J1251">
        <v>4</v>
      </c>
      <c r="K1251" t="s">
        <v>20</v>
      </c>
      <c r="L1251">
        <v>214270</v>
      </c>
      <c r="M1251">
        <v>3.74</v>
      </c>
      <c r="N1251" s="6">
        <f t="shared" si="19"/>
        <v>14880363693.299999</v>
      </c>
    </row>
    <row r="1252" spans="1:14" x14ac:dyDescent="0.35">
      <c r="A1252" t="s">
        <v>13</v>
      </c>
      <c r="B1252" t="s">
        <v>56</v>
      </c>
      <c r="C1252">
        <v>2025</v>
      </c>
      <c r="D1252" t="s">
        <v>20</v>
      </c>
      <c r="E1252">
        <v>89383.1</v>
      </c>
      <c r="F1252">
        <v>57.7</v>
      </c>
      <c r="G1252">
        <v>217</v>
      </c>
      <c r="H1252">
        <v>143</v>
      </c>
      <c r="I1252" t="s">
        <v>16</v>
      </c>
      <c r="J1252">
        <v>4</v>
      </c>
      <c r="K1252" t="s">
        <v>20</v>
      </c>
      <c r="L1252">
        <v>222817</v>
      </c>
      <c r="M1252">
        <v>3.39</v>
      </c>
      <c r="N1252" s="6">
        <f t="shared" si="19"/>
        <v>19916074192.700001</v>
      </c>
    </row>
    <row r="1253" spans="1:14" x14ac:dyDescent="0.35">
      <c r="A1253" t="s">
        <v>45</v>
      </c>
      <c r="B1253" t="s">
        <v>69</v>
      </c>
      <c r="C1253">
        <v>2025</v>
      </c>
      <c r="D1253" t="s">
        <v>15</v>
      </c>
      <c r="E1253">
        <v>92829.9</v>
      </c>
      <c r="F1253">
        <v>82.3</v>
      </c>
      <c r="G1253">
        <v>285</v>
      </c>
      <c r="H1253">
        <v>200</v>
      </c>
      <c r="I1253" t="s">
        <v>21</v>
      </c>
      <c r="J1253">
        <v>5</v>
      </c>
      <c r="K1253" t="s">
        <v>20</v>
      </c>
      <c r="L1253">
        <v>235698</v>
      </c>
      <c r="M1253">
        <v>3.58</v>
      </c>
      <c r="N1253" s="6">
        <f t="shared" si="19"/>
        <v>21879821770.199997</v>
      </c>
    </row>
    <row r="1254" spans="1:14" x14ac:dyDescent="0.35">
      <c r="A1254" t="s">
        <v>29</v>
      </c>
      <c r="B1254" t="s">
        <v>53</v>
      </c>
      <c r="C1254">
        <v>2025</v>
      </c>
      <c r="D1254" t="s">
        <v>20</v>
      </c>
      <c r="E1254">
        <v>35991.9</v>
      </c>
      <c r="F1254">
        <v>60.6</v>
      </c>
      <c r="G1254">
        <v>218</v>
      </c>
      <c r="H1254">
        <v>151</v>
      </c>
      <c r="I1254" t="s">
        <v>16</v>
      </c>
      <c r="J1254">
        <v>4</v>
      </c>
      <c r="K1254" t="s">
        <v>22</v>
      </c>
      <c r="L1254">
        <v>169730</v>
      </c>
      <c r="M1254">
        <v>3.71</v>
      </c>
      <c r="N1254" s="6">
        <f t="shared" si="19"/>
        <v>6108905187</v>
      </c>
    </row>
    <row r="1255" spans="1:14" x14ac:dyDescent="0.35">
      <c r="A1255" t="s">
        <v>29</v>
      </c>
      <c r="B1255" t="s">
        <v>30</v>
      </c>
      <c r="C1255">
        <v>2025</v>
      </c>
      <c r="D1255" t="s">
        <v>38</v>
      </c>
      <c r="E1255">
        <v>88596.07</v>
      </c>
      <c r="F1255">
        <v>45.9</v>
      </c>
      <c r="G1255">
        <v>179</v>
      </c>
      <c r="H1255">
        <v>178</v>
      </c>
      <c r="I1255" t="s">
        <v>25</v>
      </c>
      <c r="J1255">
        <v>5</v>
      </c>
      <c r="K1255" t="s">
        <v>20</v>
      </c>
      <c r="L1255">
        <v>124700</v>
      </c>
      <c r="M1255">
        <v>3.61</v>
      </c>
      <c r="N1255" s="6">
        <f t="shared" si="19"/>
        <v>11047929929</v>
      </c>
    </row>
    <row r="1256" spans="1:14" x14ac:dyDescent="0.35">
      <c r="A1256" t="s">
        <v>29</v>
      </c>
      <c r="B1256" t="s">
        <v>39</v>
      </c>
      <c r="C1256">
        <v>2025</v>
      </c>
      <c r="D1256" t="s">
        <v>38</v>
      </c>
      <c r="E1256">
        <v>43016.55</v>
      </c>
      <c r="F1256">
        <v>44.3</v>
      </c>
      <c r="G1256">
        <v>159</v>
      </c>
      <c r="H1256">
        <v>163</v>
      </c>
      <c r="I1256" t="s">
        <v>21</v>
      </c>
      <c r="J1256">
        <v>5</v>
      </c>
      <c r="K1256" t="s">
        <v>22</v>
      </c>
      <c r="L1256">
        <v>118264</v>
      </c>
      <c r="M1256">
        <v>3.47</v>
      </c>
      <c r="N1256" s="6">
        <f t="shared" si="19"/>
        <v>5087309269.2000008</v>
      </c>
    </row>
    <row r="1257" spans="1:14" x14ac:dyDescent="0.35">
      <c r="A1257" t="s">
        <v>13</v>
      </c>
      <c r="B1257" t="s">
        <v>51</v>
      </c>
      <c r="C1257">
        <v>2025</v>
      </c>
      <c r="D1257" t="s">
        <v>15</v>
      </c>
      <c r="E1257">
        <v>66259.17</v>
      </c>
      <c r="F1257">
        <v>77.599999999999994</v>
      </c>
      <c r="G1257">
        <v>256</v>
      </c>
      <c r="H1257">
        <v>200</v>
      </c>
      <c r="I1257" t="s">
        <v>40</v>
      </c>
      <c r="J1257">
        <v>4</v>
      </c>
      <c r="K1257" t="s">
        <v>20</v>
      </c>
      <c r="L1257">
        <v>296982</v>
      </c>
      <c r="M1257">
        <v>3.45</v>
      </c>
      <c r="N1257" s="6">
        <f t="shared" si="19"/>
        <v>19677780824.939999</v>
      </c>
    </row>
    <row r="1258" spans="1:14" x14ac:dyDescent="0.35">
      <c r="A1258" t="s">
        <v>23</v>
      </c>
      <c r="B1258" t="s">
        <v>24</v>
      </c>
      <c r="C1258">
        <v>2025</v>
      </c>
      <c r="D1258" t="s">
        <v>20</v>
      </c>
      <c r="E1258">
        <v>93152</v>
      </c>
      <c r="F1258">
        <v>60.9</v>
      </c>
      <c r="G1258">
        <v>214</v>
      </c>
      <c r="H1258">
        <v>145</v>
      </c>
      <c r="I1258" t="s">
        <v>40</v>
      </c>
      <c r="J1258">
        <v>5</v>
      </c>
      <c r="K1258" t="s">
        <v>20</v>
      </c>
      <c r="L1258">
        <v>20002</v>
      </c>
      <c r="M1258">
        <v>3.74</v>
      </c>
      <c r="N1258" s="6">
        <f t="shared" si="19"/>
        <v>1863226304</v>
      </c>
    </row>
    <row r="1259" spans="1:14" x14ac:dyDescent="0.35">
      <c r="A1259" t="s">
        <v>67</v>
      </c>
      <c r="B1259" t="s">
        <v>68</v>
      </c>
      <c r="C1259">
        <v>2025</v>
      </c>
      <c r="D1259" t="s">
        <v>43</v>
      </c>
      <c r="E1259">
        <v>109816.18</v>
      </c>
      <c r="F1259">
        <v>60.8</v>
      </c>
      <c r="G1259">
        <v>222</v>
      </c>
      <c r="H1259">
        <v>139</v>
      </c>
      <c r="I1259" t="s">
        <v>40</v>
      </c>
      <c r="J1259">
        <v>5</v>
      </c>
      <c r="K1259" t="s">
        <v>17</v>
      </c>
      <c r="L1259">
        <v>73358</v>
      </c>
      <c r="M1259">
        <v>3.54</v>
      </c>
      <c r="N1259" s="6">
        <f t="shared" si="19"/>
        <v>8055895332.4399996</v>
      </c>
    </row>
    <row r="1260" spans="1:14" x14ac:dyDescent="0.35">
      <c r="A1260" t="s">
        <v>49</v>
      </c>
      <c r="B1260" t="s">
        <v>60</v>
      </c>
      <c r="C1260">
        <v>2025</v>
      </c>
      <c r="D1260" t="s">
        <v>43</v>
      </c>
      <c r="E1260">
        <v>63640</v>
      </c>
      <c r="F1260">
        <v>40.299999999999997</v>
      </c>
      <c r="G1260">
        <v>150</v>
      </c>
      <c r="H1260">
        <v>131</v>
      </c>
      <c r="I1260" t="s">
        <v>16</v>
      </c>
      <c r="J1260">
        <v>4</v>
      </c>
      <c r="K1260" t="s">
        <v>22</v>
      </c>
      <c r="L1260">
        <v>139571</v>
      </c>
      <c r="M1260">
        <v>3.2</v>
      </c>
      <c r="N1260" s="6">
        <f t="shared" si="19"/>
        <v>8882298440</v>
      </c>
    </row>
    <row r="1261" spans="1:14" x14ac:dyDescent="0.35">
      <c r="A1261" t="s">
        <v>29</v>
      </c>
      <c r="B1261" t="s">
        <v>31</v>
      </c>
      <c r="C1261">
        <v>2025</v>
      </c>
      <c r="D1261" t="s">
        <v>28</v>
      </c>
      <c r="E1261">
        <v>161112.44</v>
      </c>
      <c r="F1261">
        <v>98.8</v>
      </c>
      <c r="G1261">
        <v>371</v>
      </c>
      <c r="H1261">
        <v>163</v>
      </c>
      <c r="I1261" t="s">
        <v>33</v>
      </c>
      <c r="J1261">
        <v>4</v>
      </c>
      <c r="K1261" t="s">
        <v>17</v>
      </c>
      <c r="L1261">
        <v>404800</v>
      </c>
      <c r="M1261">
        <v>4.22</v>
      </c>
      <c r="N1261" s="6">
        <f t="shared" si="19"/>
        <v>65218315712</v>
      </c>
    </row>
    <row r="1262" spans="1:14" x14ac:dyDescent="0.35">
      <c r="A1262" t="s">
        <v>49</v>
      </c>
      <c r="B1262" t="s">
        <v>60</v>
      </c>
      <c r="C1262">
        <v>2025</v>
      </c>
      <c r="D1262" t="s">
        <v>20</v>
      </c>
      <c r="E1262">
        <v>44861.53</v>
      </c>
      <c r="F1262">
        <v>84.1</v>
      </c>
      <c r="G1262">
        <v>305</v>
      </c>
      <c r="H1262">
        <v>172</v>
      </c>
      <c r="I1262" t="s">
        <v>33</v>
      </c>
      <c r="J1262">
        <v>4</v>
      </c>
      <c r="K1262" t="s">
        <v>22</v>
      </c>
      <c r="L1262">
        <v>98434</v>
      </c>
      <c r="M1262">
        <v>3.53</v>
      </c>
      <c r="N1262" s="6">
        <f t="shared" si="19"/>
        <v>4415899844.0199995</v>
      </c>
    </row>
    <row r="1263" spans="1:14" x14ac:dyDescent="0.35">
      <c r="A1263" t="s">
        <v>29</v>
      </c>
      <c r="B1263" t="s">
        <v>30</v>
      </c>
      <c r="C1263">
        <v>2025</v>
      </c>
      <c r="D1263" t="s">
        <v>15</v>
      </c>
      <c r="E1263">
        <v>42441.37</v>
      </c>
      <c r="F1263">
        <v>104.2</v>
      </c>
      <c r="G1263">
        <v>372</v>
      </c>
      <c r="H1263">
        <v>200</v>
      </c>
      <c r="I1263" t="s">
        <v>16</v>
      </c>
      <c r="J1263">
        <v>5</v>
      </c>
      <c r="K1263" t="s">
        <v>22</v>
      </c>
      <c r="L1263">
        <v>230471</v>
      </c>
      <c r="M1263">
        <v>4.32</v>
      </c>
      <c r="N1263" s="6">
        <f t="shared" si="19"/>
        <v>9781504985.2700005</v>
      </c>
    </row>
    <row r="1264" spans="1:14" x14ac:dyDescent="0.35">
      <c r="A1264" t="s">
        <v>13</v>
      </c>
      <c r="B1264" t="s">
        <v>51</v>
      </c>
      <c r="C1264">
        <v>2025</v>
      </c>
      <c r="D1264" t="s">
        <v>28</v>
      </c>
      <c r="E1264">
        <v>47485.93</v>
      </c>
      <c r="F1264">
        <v>104.7</v>
      </c>
      <c r="G1264">
        <v>349</v>
      </c>
      <c r="H1264">
        <v>166</v>
      </c>
      <c r="I1264" t="s">
        <v>40</v>
      </c>
      <c r="J1264">
        <v>4</v>
      </c>
      <c r="K1264" t="s">
        <v>22</v>
      </c>
      <c r="L1264">
        <v>243761</v>
      </c>
      <c r="M1264">
        <v>3.63</v>
      </c>
      <c r="N1264" s="6">
        <f t="shared" si="19"/>
        <v>11575217782.73</v>
      </c>
    </row>
    <row r="1265" spans="1:14" x14ac:dyDescent="0.35">
      <c r="A1265" t="s">
        <v>45</v>
      </c>
      <c r="B1265" t="s">
        <v>77</v>
      </c>
      <c r="C1265">
        <v>2025</v>
      </c>
      <c r="D1265" t="s">
        <v>15</v>
      </c>
      <c r="E1265">
        <v>53346.09</v>
      </c>
      <c r="F1265">
        <v>111</v>
      </c>
      <c r="G1265">
        <v>410</v>
      </c>
      <c r="H1265">
        <v>189</v>
      </c>
      <c r="I1265" t="s">
        <v>21</v>
      </c>
      <c r="J1265">
        <v>5</v>
      </c>
      <c r="K1265" t="s">
        <v>22</v>
      </c>
      <c r="L1265">
        <v>141126</v>
      </c>
      <c r="M1265">
        <v>4.1900000000000004</v>
      </c>
      <c r="N1265" s="6">
        <f t="shared" si="19"/>
        <v>7528520297.3399992</v>
      </c>
    </row>
    <row r="1266" spans="1:14" x14ac:dyDescent="0.35">
      <c r="A1266" t="s">
        <v>34</v>
      </c>
      <c r="B1266" t="s">
        <v>78</v>
      </c>
      <c r="C1266">
        <v>2025</v>
      </c>
      <c r="D1266" t="s">
        <v>28</v>
      </c>
      <c r="E1266">
        <v>162751.1</v>
      </c>
      <c r="F1266">
        <v>96.3</v>
      </c>
      <c r="G1266">
        <v>344</v>
      </c>
      <c r="H1266">
        <v>185</v>
      </c>
      <c r="I1266" t="s">
        <v>40</v>
      </c>
      <c r="J1266">
        <v>5</v>
      </c>
      <c r="K1266" t="s">
        <v>17</v>
      </c>
      <c r="L1266">
        <v>68195</v>
      </c>
      <c r="M1266">
        <v>4.28</v>
      </c>
      <c r="N1266" s="6">
        <f t="shared" si="19"/>
        <v>11098811264.5</v>
      </c>
    </row>
    <row r="1267" spans="1:14" x14ac:dyDescent="0.35">
      <c r="A1267" t="s">
        <v>49</v>
      </c>
      <c r="B1267" t="s">
        <v>90</v>
      </c>
      <c r="C1267">
        <v>2025</v>
      </c>
      <c r="D1267" t="s">
        <v>43</v>
      </c>
      <c r="E1267">
        <v>41853.99</v>
      </c>
      <c r="F1267">
        <v>80.099999999999994</v>
      </c>
      <c r="G1267">
        <v>318</v>
      </c>
      <c r="H1267">
        <v>157</v>
      </c>
      <c r="I1267" t="s">
        <v>32</v>
      </c>
      <c r="J1267">
        <v>4</v>
      </c>
      <c r="K1267" t="s">
        <v>22</v>
      </c>
      <c r="L1267">
        <v>111448</v>
      </c>
      <c r="M1267">
        <v>3.65</v>
      </c>
      <c r="N1267" s="6">
        <f t="shared" si="19"/>
        <v>4664543477.5199995</v>
      </c>
    </row>
    <row r="1268" spans="1:14" x14ac:dyDescent="0.35">
      <c r="A1268" t="s">
        <v>102</v>
      </c>
      <c r="B1268" t="s">
        <v>103</v>
      </c>
      <c r="C1268">
        <v>2025</v>
      </c>
      <c r="D1268" t="s">
        <v>20</v>
      </c>
      <c r="E1268">
        <v>96813.71</v>
      </c>
      <c r="F1268">
        <v>40.6</v>
      </c>
      <c r="G1268">
        <v>150</v>
      </c>
      <c r="H1268">
        <v>123</v>
      </c>
      <c r="I1268" t="s">
        <v>25</v>
      </c>
      <c r="J1268">
        <v>5</v>
      </c>
      <c r="K1268" t="s">
        <v>20</v>
      </c>
      <c r="L1268">
        <v>10606</v>
      </c>
      <c r="M1268">
        <v>3.2</v>
      </c>
      <c r="N1268" s="6">
        <f t="shared" si="19"/>
        <v>1026806208.2600001</v>
      </c>
    </row>
    <row r="1269" spans="1:14" x14ac:dyDescent="0.35">
      <c r="A1269" t="s">
        <v>29</v>
      </c>
      <c r="B1269" t="s">
        <v>31</v>
      </c>
      <c r="C1269">
        <v>2025</v>
      </c>
      <c r="D1269" t="s">
        <v>20</v>
      </c>
      <c r="E1269">
        <v>129623.74</v>
      </c>
      <c r="F1269">
        <v>54.6</v>
      </c>
      <c r="G1269">
        <v>210</v>
      </c>
      <c r="H1269">
        <v>132</v>
      </c>
      <c r="I1269" t="s">
        <v>16</v>
      </c>
      <c r="J1269">
        <v>5</v>
      </c>
      <c r="K1269" t="s">
        <v>17</v>
      </c>
      <c r="L1269">
        <v>481115</v>
      </c>
      <c r="M1269">
        <v>3.49</v>
      </c>
      <c r="N1269" s="6">
        <f t="shared" si="19"/>
        <v>62363925670.100006</v>
      </c>
    </row>
    <row r="1270" spans="1:14" x14ac:dyDescent="0.35">
      <c r="A1270" t="s">
        <v>41</v>
      </c>
      <c r="B1270" t="s">
        <v>92</v>
      </c>
      <c r="C1270">
        <v>2025</v>
      </c>
      <c r="D1270" t="s">
        <v>20</v>
      </c>
      <c r="E1270">
        <v>141027</v>
      </c>
      <c r="F1270">
        <v>54.1</v>
      </c>
      <c r="G1270">
        <v>190</v>
      </c>
      <c r="H1270">
        <v>168</v>
      </c>
      <c r="I1270" t="s">
        <v>40</v>
      </c>
      <c r="J1270">
        <v>5</v>
      </c>
      <c r="K1270" t="s">
        <v>17</v>
      </c>
      <c r="L1270">
        <v>11123</v>
      </c>
      <c r="M1270">
        <v>3.38</v>
      </c>
      <c r="N1270" s="6">
        <f t="shared" si="19"/>
        <v>1568643321</v>
      </c>
    </row>
    <row r="1271" spans="1:14" x14ac:dyDescent="0.35">
      <c r="A1271" t="s">
        <v>64</v>
      </c>
      <c r="B1271" t="s">
        <v>97</v>
      </c>
      <c r="C1271">
        <v>2025</v>
      </c>
      <c r="D1271" t="s">
        <v>20</v>
      </c>
      <c r="E1271">
        <v>113836.67</v>
      </c>
      <c r="F1271">
        <v>71.5</v>
      </c>
      <c r="G1271">
        <v>253</v>
      </c>
      <c r="H1271">
        <v>152</v>
      </c>
      <c r="I1271" t="s">
        <v>21</v>
      </c>
      <c r="J1271">
        <v>4</v>
      </c>
      <c r="K1271" t="s">
        <v>17</v>
      </c>
      <c r="L1271">
        <v>42535</v>
      </c>
      <c r="M1271">
        <v>3.47</v>
      </c>
      <c r="N1271" s="6">
        <f t="shared" si="19"/>
        <v>4842042758.4499998</v>
      </c>
    </row>
    <row r="1272" spans="1:14" x14ac:dyDescent="0.35">
      <c r="A1272" t="s">
        <v>23</v>
      </c>
      <c r="B1272" t="s">
        <v>99</v>
      </c>
      <c r="C1272">
        <v>2025</v>
      </c>
      <c r="D1272" t="s">
        <v>43</v>
      </c>
      <c r="E1272">
        <v>51177.18</v>
      </c>
      <c r="F1272">
        <v>46.9</v>
      </c>
      <c r="G1272">
        <v>150</v>
      </c>
      <c r="H1272">
        <v>140</v>
      </c>
      <c r="I1272" t="s">
        <v>25</v>
      </c>
      <c r="J1272">
        <v>4</v>
      </c>
      <c r="K1272" t="s">
        <v>22</v>
      </c>
      <c r="L1272">
        <v>14323</v>
      </c>
      <c r="M1272">
        <v>3.34</v>
      </c>
      <c r="N1272" s="6">
        <f t="shared" si="19"/>
        <v>733010749.13999999</v>
      </c>
    </row>
    <row r="1273" spans="1:14" x14ac:dyDescent="0.35">
      <c r="A1273" t="s">
        <v>26</v>
      </c>
      <c r="B1273" t="s">
        <v>36</v>
      </c>
      <c r="C1273">
        <v>2025</v>
      </c>
      <c r="D1273" t="s">
        <v>15</v>
      </c>
      <c r="E1273">
        <v>56005.31</v>
      </c>
      <c r="F1273">
        <v>102.7</v>
      </c>
      <c r="G1273">
        <v>361</v>
      </c>
      <c r="H1273">
        <v>184</v>
      </c>
      <c r="I1273" t="s">
        <v>40</v>
      </c>
      <c r="J1273">
        <v>5</v>
      </c>
      <c r="K1273" t="s">
        <v>22</v>
      </c>
      <c r="L1273">
        <v>96451</v>
      </c>
      <c r="M1273">
        <v>3.9</v>
      </c>
      <c r="N1273" s="6">
        <f t="shared" si="19"/>
        <v>5401768154.8099995</v>
      </c>
    </row>
    <row r="1274" spans="1:14" x14ac:dyDescent="0.35">
      <c r="A1274" t="s">
        <v>13</v>
      </c>
      <c r="B1274" t="s">
        <v>66</v>
      </c>
      <c r="C1274">
        <v>2025</v>
      </c>
      <c r="D1274" t="s">
        <v>15</v>
      </c>
      <c r="E1274">
        <v>88484.86</v>
      </c>
      <c r="F1274">
        <v>105.9</v>
      </c>
      <c r="G1274">
        <v>381</v>
      </c>
      <c r="H1274">
        <v>196</v>
      </c>
      <c r="I1274" t="s">
        <v>33</v>
      </c>
      <c r="J1274">
        <v>3</v>
      </c>
      <c r="K1274" t="s">
        <v>20</v>
      </c>
      <c r="L1274">
        <v>285530</v>
      </c>
      <c r="M1274">
        <v>3.65</v>
      </c>
      <c r="N1274" s="6">
        <f t="shared" si="19"/>
        <v>25265082075.799999</v>
      </c>
    </row>
    <row r="1275" spans="1:14" x14ac:dyDescent="0.35">
      <c r="A1275" t="s">
        <v>45</v>
      </c>
      <c r="B1275" t="s">
        <v>69</v>
      </c>
      <c r="C1275">
        <v>2025</v>
      </c>
      <c r="D1275" t="s">
        <v>20</v>
      </c>
      <c r="E1275">
        <v>104281.84</v>
      </c>
      <c r="F1275">
        <v>69.7</v>
      </c>
      <c r="G1275">
        <v>233</v>
      </c>
      <c r="H1275">
        <v>170</v>
      </c>
      <c r="I1275" t="s">
        <v>25</v>
      </c>
      <c r="J1275">
        <v>4</v>
      </c>
      <c r="K1275" t="s">
        <v>17</v>
      </c>
      <c r="L1275">
        <v>164080</v>
      </c>
      <c r="M1275">
        <v>3.52</v>
      </c>
      <c r="N1275" s="6">
        <f t="shared" si="19"/>
        <v>17110564307.199999</v>
      </c>
    </row>
    <row r="1276" spans="1:14" x14ac:dyDescent="0.35">
      <c r="A1276" t="s">
        <v>45</v>
      </c>
      <c r="B1276" t="s">
        <v>69</v>
      </c>
      <c r="C1276">
        <v>2025</v>
      </c>
      <c r="D1276" t="s">
        <v>43</v>
      </c>
      <c r="E1276">
        <v>86288.72</v>
      </c>
      <c r="F1276">
        <v>81.900000000000006</v>
      </c>
      <c r="G1276">
        <v>311</v>
      </c>
      <c r="H1276">
        <v>174</v>
      </c>
      <c r="I1276" t="s">
        <v>25</v>
      </c>
      <c r="J1276">
        <v>4</v>
      </c>
      <c r="K1276" t="s">
        <v>20</v>
      </c>
      <c r="L1276">
        <v>120560</v>
      </c>
      <c r="M1276">
        <v>3.71</v>
      </c>
      <c r="N1276" s="6">
        <f t="shared" si="19"/>
        <v>10402968083.200001</v>
      </c>
    </row>
    <row r="1277" spans="1:14" x14ac:dyDescent="0.35">
      <c r="A1277" t="s">
        <v>26</v>
      </c>
      <c r="B1277" t="s">
        <v>52</v>
      </c>
      <c r="C1277">
        <v>2025</v>
      </c>
      <c r="D1277" t="s">
        <v>38</v>
      </c>
      <c r="E1277">
        <v>58803.16</v>
      </c>
      <c r="F1277">
        <v>70.099999999999994</v>
      </c>
      <c r="G1277">
        <v>248</v>
      </c>
      <c r="H1277">
        <v>153</v>
      </c>
      <c r="I1277" t="s">
        <v>16</v>
      </c>
      <c r="J1277">
        <v>4</v>
      </c>
      <c r="K1277" t="s">
        <v>22</v>
      </c>
      <c r="L1277">
        <v>111130</v>
      </c>
      <c r="M1277">
        <v>3.52</v>
      </c>
      <c r="N1277" s="6">
        <f t="shared" si="19"/>
        <v>6534795170.8000002</v>
      </c>
    </row>
    <row r="1278" spans="1:14" x14ac:dyDescent="0.35">
      <c r="A1278" t="s">
        <v>45</v>
      </c>
      <c r="B1278" t="s">
        <v>88</v>
      </c>
      <c r="C1278">
        <v>2025</v>
      </c>
      <c r="D1278" t="s">
        <v>15</v>
      </c>
      <c r="E1278">
        <v>122517.87</v>
      </c>
      <c r="F1278">
        <v>73.599999999999994</v>
      </c>
      <c r="G1278">
        <v>252</v>
      </c>
      <c r="H1278">
        <v>200</v>
      </c>
      <c r="I1278" t="s">
        <v>32</v>
      </c>
      <c r="J1278">
        <v>4</v>
      </c>
      <c r="K1278" t="s">
        <v>17</v>
      </c>
      <c r="L1278">
        <v>150780</v>
      </c>
      <c r="M1278">
        <v>3.44</v>
      </c>
      <c r="N1278" s="6">
        <f t="shared" si="19"/>
        <v>18473244438.599998</v>
      </c>
    </row>
    <row r="1279" spans="1:14" x14ac:dyDescent="0.35">
      <c r="A1279" t="s">
        <v>29</v>
      </c>
      <c r="B1279" t="s">
        <v>30</v>
      </c>
      <c r="C1279">
        <v>2025</v>
      </c>
      <c r="D1279" t="s">
        <v>38</v>
      </c>
      <c r="E1279">
        <v>90298.51</v>
      </c>
      <c r="F1279">
        <v>49.3</v>
      </c>
      <c r="G1279">
        <v>183</v>
      </c>
      <c r="H1279">
        <v>157</v>
      </c>
      <c r="I1279" t="s">
        <v>40</v>
      </c>
      <c r="J1279">
        <v>3</v>
      </c>
      <c r="K1279" t="s">
        <v>20</v>
      </c>
      <c r="L1279">
        <v>163915</v>
      </c>
      <c r="M1279">
        <v>3.66</v>
      </c>
      <c r="N1279" s="6">
        <f t="shared" si="19"/>
        <v>14801280266.65</v>
      </c>
    </row>
    <row r="1280" spans="1:14" x14ac:dyDescent="0.35">
      <c r="A1280" t="s">
        <v>67</v>
      </c>
      <c r="B1280" t="s">
        <v>98</v>
      </c>
      <c r="C1280">
        <v>2025</v>
      </c>
      <c r="D1280" t="s">
        <v>38</v>
      </c>
      <c r="E1280">
        <v>79689.05</v>
      </c>
      <c r="F1280">
        <v>81.7</v>
      </c>
      <c r="G1280">
        <v>278</v>
      </c>
      <c r="H1280">
        <v>148</v>
      </c>
      <c r="I1280" t="s">
        <v>25</v>
      </c>
      <c r="J1280">
        <v>4</v>
      </c>
      <c r="K1280" t="s">
        <v>20</v>
      </c>
      <c r="L1280">
        <v>66705</v>
      </c>
      <c r="M1280">
        <v>3.5</v>
      </c>
      <c r="N1280" s="6">
        <f t="shared" si="19"/>
        <v>5315658080.25</v>
      </c>
    </row>
    <row r="1281" spans="1:14" x14ac:dyDescent="0.35">
      <c r="A1281" t="s">
        <v>18</v>
      </c>
      <c r="B1281" t="s">
        <v>93</v>
      </c>
      <c r="C1281">
        <v>2025</v>
      </c>
      <c r="D1281" t="s">
        <v>28</v>
      </c>
      <c r="E1281">
        <v>72608.92</v>
      </c>
      <c r="F1281">
        <v>97.1</v>
      </c>
      <c r="G1281">
        <v>334</v>
      </c>
      <c r="H1281">
        <v>156</v>
      </c>
      <c r="I1281" t="s">
        <v>40</v>
      </c>
      <c r="J1281">
        <v>4</v>
      </c>
      <c r="K1281" t="s">
        <v>20</v>
      </c>
      <c r="L1281">
        <v>13954</v>
      </c>
      <c r="M1281">
        <v>3.57</v>
      </c>
      <c r="N1281" s="6">
        <f t="shared" si="19"/>
        <v>1013184869.6799999</v>
      </c>
    </row>
    <row r="1282" spans="1:14" x14ac:dyDescent="0.35">
      <c r="A1282" t="s">
        <v>23</v>
      </c>
      <c r="B1282" t="s">
        <v>83</v>
      </c>
      <c r="C1282">
        <v>2025</v>
      </c>
      <c r="D1282" t="s">
        <v>20</v>
      </c>
      <c r="E1282">
        <v>91034.7</v>
      </c>
      <c r="F1282">
        <v>47.9</v>
      </c>
      <c r="G1282">
        <v>164</v>
      </c>
      <c r="H1282">
        <v>169</v>
      </c>
      <c r="I1282" t="s">
        <v>21</v>
      </c>
      <c r="J1282">
        <v>4</v>
      </c>
      <c r="K1282" t="s">
        <v>20</v>
      </c>
      <c r="L1282">
        <v>12825</v>
      </c>
      <c r="M1282">
        <v>3.46</v>
      </c>
      <c r="N1282" s="6">
        <f t="shared" ref="N1282:N1345" si="20">E1282*L1282</f>
        <v>1167520027.5</v>
      </c>
    </row>
    <row r="1283" spans="1:14" x14ac:dyDescent="0.35">
      <c r="A1283" t="s">
        <v>75</v>
      </c>
      <c r="B1283" t="s">
        <v>76</v>
      </c>
      <c r="C1283">
        <v>2025</v>
      </c>
      <c r="D1283" t="s">
        <v>38</v>
      </c>
      <c r="E1283">
        <v>70880.73</v>
      </c>
      <c r="F1283">
        <v>80.900000000000006</v>
      </c>
      <c r="G1283">
        <v>285</v>
      </c>
      <c r="H1283">
        <v>148</v>
      </c>
      <c r="I1283" t="s">
        <v>16</v>
      </c>
      <c r="J1283">
        <v>5</v>
      </c>
      <c r="K1283" t="s">
        <v>20</v>
      </c>
      <c r="L1283">
        <v>11173</v>
      </c>
      <c r="M1283">
        <v>3.44</v>
      </c>
      <c r="N1283" s="6">
        <f t="shared" si="20"/>
        <v>791950396.28999996</v>
      </c>
    </row>
    <row r="1284" spans="1:14" x14ac:dyDescent="0.35">
      <c r="A1284" t="s">
        <v>29</v>
      </c>
      <c r="B1284" t="s">
        <v>53</v>
      </c>
      <c r="C1284">
        <v>2025</v>
      </c>
      <c r="D1284" t="s">
        <v>20</v>
      </c>
      <c r="E1284">
        <v>124865.93</v>
      </c>
      <c r="F1284">
        <v>64.900000000000006</v>
      </c>
      <c r="G1284">
        <v>241</v>
      </c>
      <c r="H1284">
        <v>124</v>
      </c>
      <c r="I1284" t="s">
        <v>16</v>
      </c>
      <c r="J1284">
        <v>4</v>
      </c>
      <c r="K1284" t="s">
        <v>17</v>
      </c>
      <c r="L1284">
        <v>223231</v>
      </c>
      <c r="M1284">
        <v>3.65</v>
      </c>
      <c r="N1284" s="6">
        <f t="shared" si="20"/>
        <v>27873946419.829998</v>
      </c>
    </row>
    <row r="1285" spans="1:14" x14ac:dyDescent="0.35">
      <c r="A1285" t="s">
        <v>34</v>
      </c>
      <c r="B1285" t="s">
        <v>44</v>
      </c>
      <c r="C1285">
        <v>2025</v>
      </c>
      <c r="D1285" t="s">
        <v>43</v>
      </c>
      <c r="E1285">
        <v>139106.45000000001</v>
      </c>
      <c r="F1285">
        <v>61.4</v>
      </c>
      <c r="G1285">
        <v>208</v>
      </c>
      <c r="H1285">
        <v>150</v>
      </c>
      <c r="I1285" t="s">
        <v>33</v>
      </c>
      <c r="J1285">
        <v>5</v>
      </c>
      <c r="K1285" t="s">
        <v>17</v>
      </c>
      <c r="L1285">
        <v>49644</v>
      </c>
      <c r="M1285">
        <v>3.35</v>
      </c>
      <c r="N1285" s="6">
        <f t="shared" si="20"/>
        <v>6905800603.8000002</v>
      </c>
    </row>
    <row r="1286" spans="1:14" x14ac:dyDescent="0.35">
      <c r="A1286" t="s">
        <v>49</v>
      </c>
      <c r="B1286" t="s">
        <v>90</v>
      </c>
      <c r="C1286">
        <v>2025</v>
      </c>
      <c r="D1286" t="s">
        <v>43</v>
      </c>
      <c r="E1286">
        <v>60050.99</v>
      </c>
      <c r="F1286">
        <v>47.8</v>
      </c>
      <c r="G1286">
        <v>165</v>
      </c>
      <c r="H1286">
        <v>133</v>
      </c>
      <c r="I1286" t="s">
        <v>32</v>
      </c>
      <c r="J1286">
        <v>4</v>
      </c>
      <c r="K1286" t="s">
        <v>22</v>
      </c>
      <c r="L1286">
        <v>138281</v>
      </c>
      <c r="M1286">
        <v>3.21</v>
      </c>
      <c r="N1286" s="6">
        <f t="shared" si="20"/>
        <v>8303910948.1899996</v>
      </c>
    </row>
    <row r="1287" spans="1:14" x14ac:dyDescent="0.35">
      <c r="A1287" t="s">
        <v>34</v>
      </c>
      <c r="B1287" t="s">
        <v>106</v>
      </c>
      <c r="C1287">
        <v>2025</v>
      </c>
      <c r="D1287" t="s">
        <v>43</v>
      </c>
      <c r="E1287">
        <v>103044.63</v>
      </c>
      <c r="F1287">
        <v>78.900000000000006</v>
      </c>
      <c r="G1287">
        <v>264</v>
      </c>
      <c r="H1287">
        <v>132</v>
      </c>
      <c r="I1287" t="s">
        <v>25</v>
      </c>
      <c r="J1287">
        <v>5</v>
      </c>
      <c r="K1287" t="s">
        <v>17</v>
      </c>
      <c r="L1287">
        <v>75663</v>
      </c>
      <c r="M1287">
        <v>3.56</v>
      </c>
      <c r="N1287" s="6">
        <f t="shared" si="20"/>
        <v>7796665839.6900005</v>
      </c>
    </row>
    <row r="1288" spans="1:14" x14ac:dyDescent="0.35">
      <c r="A1288" t="s">
        <v>45</v>
      </c>
      <c r="B1288" t="s">
        <v>88</v>
      </c>
      <c r="C1288">
        <v>2025</v>
      </c>
      <c r="D1288" t="s">
        <v>43</v>
      </c>
      <c r="E1288">
        <v>36623.25</v>
      </c>
      <c r="F1288">
        <v>43.3</v>
      </c>
      <c r="G1288">
        <v>164</v>
      </c>
      <c r="H1288">
        <v>139</v>
      </c>
      <c r="I1288" t="s">
        <v>16</v>
      </c>
      <c r="J1288">
        <v>5</v>
      </c>
      <c r="K1288" t="s">
        <v>22</v>
      </c>
      <c r="L1288">
        <v>185983</v>
      </c>
      <c r="M1288">
        <v>3.42</v>
      </c>
      <c r="N1288" s="6">
        <f t="shared" si="20"/>
        <v>6811301904.75</v>
      </c>
    </row>
    <row r="1289" spans="1:14" x14ac:dyDescent="0.35">
      <c r="A1289" t="s">
        <v>13</v>
      </c>
      <c r="B1289" t="s">
        <v>55</v>
      </c>
      <c r="C1289">
        <v>2025</v>
      </c>
      <c r="D1289" t="s">
        <v>38</v>
      </c>
      <c r="E1289">
        <v>30097.01</v>
      </c>
      <c r="F1289">
        <v>74.3</v>
      </c>
      <c r="G1289">
        <v>267</v>
      </c>
      <c r="H1289">
        <v>127</v>
      </c>
      <c r="I1289" t="s">
        <v>33</v>
      </c>
      <c r="J1289">
        <v>5</v>
      </c>
      <c r="K1289" t="s">
        <v>47</v>
      </c>
      <c r="L1289">
        <v>289031</v>
      </c>
      <c r="M1289">
        <v>3.27</v>
      </c>
      <c r="N1289" s="6">
        <f t="shared" si="20"/>
        <v>8698968897.3099995</v>
      </c>
    </row>
    <row r="1290" spans="1:14" x14ac:dyDescent="0.35">
      <c r="A1290" t="s">
        <v>13</v>
      </c>
      <c r="B1290" t="s">
        <v>66</v>
      </c>
      <c r="C1290">
        <v>2025</v>
      </c>
      <c r="D1290" t="s">
        <v>20</v>
      </c>
      <c r="E1290">
        <v>94110.75</v>
      </c>
      <c r="F1290">
        <v>60.5</v>
      </c>
      <c r="G1290">
        <v>194</v>
      </c>
      <c r="H1290">
        <v>149</v>
      </c>
      <c r="I1290" t="s">
        <v>25</v>
      </c>
      <c r="J1290">
        <v>5</v>
      </c>
      <c r="K1290" t="s">
        <v>20</v>
      </c>
      <c r="L1290">
        <v>225387</v>
      </c>
      <c r="M1290">
        <v>3.43</v>
      </c>
      <c r="N1290" s="6">
        <f t="shared" si="20"/>
        <v>21211339610.25</v>
      </c>
    </row>
    <row r="1291" spans="1:14" x14ac:dyDescent="0.35">
      <c r="A1291" t="s">
        <v>29</v>
      </c>
      <c r="B1291" t="s">
        <v>53</v>
      </c>
      <c r="C1291">
        <v>2025</v>
      </c>
      <c r="D1291" t="s">
        <v>43</v>
      </c>
      <c r="E1291">
        <v>125305.65</v>
      </c>
      <c r="F1291">
        <v>42</v>
      </c>
      <c r="G1291">
        <v>158</v>
      </c>
      <c r="H1291">
        <v>136</v>
      </c>
      <c r="I1291" t="s">
        <v>16</v>
      </c>
      <c r="J1291">
        <v>4</v>
      </c>
      <c r="K1291" t="s">
        <v>17</v>
      </c>
      <c r="L1291">
        <v>199754</v>
      </c>
      <c r="M1291">
        <v>3.28</v>
      </c>
      <c r="N1291" s="6">
        <f t="shared" si="20"/>
        <v>25030304810.099998</v>
      </c>
    </row>
    <row r="1292" spans="1:14" x14ac:dyDescent="0.35">
      <c r="A1292" t="s">
        <v>57</v>
      </c>
      <c r="B1292" t="s">
        <v>79</v>
      </c>
      <c r="C1292">
        <v>2025</v>
      </c>
      <c r="D1292" t="s">
        <v>43</v>
      </c>
      <c r="E1292">
        <v>65329.39</v>
      </c>
      <c r="F1292">
        <v>49.5</v>
      </c>
      <c r="G1292">
        <v>157</v>
      </c>
      <c r="H1292">
        <v>165</v>
      </c>
      <c r="I1292" t="s">
        <v>33</v>
      </c>
      <c r="J1292">
        <v>4</v>
      </c>
      <c r="K1292" t="s">
        <v>20</v>
      </c>
      <c r="L1292">
        <v>24686</v>
      </c>
      <c r="M1292">
        <v>3.21</v>
      </c>
      <c r="N1292" s="6">
        <f t="shared" si="20"/>
        <v>1612721321.54</v>
      </c>
    </row>
    <row r="1293" spans="1:14" x14ac:dyDescent="0.35">
      <c r="A1293" t="s">
        <v>29</v>
      </c>
      <c r="B1293" t="s">
        <v>39</v>
      </c>
      <c r="C1293">
        <v>2025</v>
      </c>
      <c r="D1293" t="s">
        <v>38</v>
      </c>
      <c r="E1293">
        <v>101976.23</v>
      </c>
      <c r="F1293">
        <v>83.7</v>
      </c>
      <c r="G1293">
        <v>284</v>
      </c>
      <c r="H1293">
        <v>139</v>
      </c>
      <c r="I1293" t="s">
        <v>32</v>
      </c>
      <c r="J1293">
        <v>5</v>
      </c>
      <c r="K1293" t="s">
        <v>17</v>
      </c>
      <c r="L1293">
        <v>160905</v>
      </c>
      <c r="M1293">
        <v>3.89</v>
      </c>
      <c r="N1293" s="6">
        <f t="shared" si="20"/>
        <v>16408485288.15</v>
      </c>
    </row>
    <row r="1294" spans="1:14" x14ac:dyDescent="0.35">
      <c r="A1294" t="s">
        <v>23</v>
      </c>
      <c r="B1294" t="s">
        <v>83</v>
      </c>
      <c r="C1294">
        <v>2025</v>
      </c>
      <c r="D1294" t="s">
        <v>15</v>
      </c>
      <c r="E1294">
        <v>83117.350000000006</v>
      </c>
      <c r="F1294">
        <v>106.5</v>
      </c>
      <c r="G1294">
        <v>362</v>
      </c>
      <c r="H1294">
        <v>200</v>
      </c>
      <c r="I1294" t="s">
        <v>21</v>
      </c>
      <c r="J1294">
        <v>3</v>
      </c>
      <c r="K1294" t="s">
        <v>20</v>
      </c>
      <c r="L1294">
        <v>17250</v>
      </c>
      <c r="M1294">
        <v>3.59</v>
      </c>
      <c r="N1294" s="6">
        <f t="shared" si="20"/>
        <v>1433774287.5</v>
      </c>
    </row>
    <row r="1295" spans="1:14" x14ac:dyDescent="0.35">
      <c r="A1295" t="s">
        <v>64</v>
      </c>
      <c r="B1295" t="s">
        <v>65</v>
      </c>
      <c r="C1295">
        <v>2025</v>
      </c>
      <c r="D1295" t="s">
        <v>20</v>
      </c>
      <c r="E1295">
        <v>107462.71</v>
      </c>
      <c r="F1295">
        <v>63</v>
      </c>
      <c r="G1295">
        <v>242</v>
      </c>
      <c r="H1295">
        <v>175</v>
      </c>
      <c r="I1295" t="s">
        <v>40</v>
      </c>
      <c r="J1295">
        <v>5</v>
      </c>
      <c r="K1295" t="s">
        <v>17</v>
      </c>
      <c r="L1295">
        <v>59946</v>
      </c>
      <c r="M1295">
        <v>3.37</v>
      </c>
      <c r="N1295" s="6">
        <f t="shared" si="20"/>
        <v>6441959613.6600008</v>
      </c>
    </row>
    <row r="1296" spans="1:14" x14ac:dyDescent="0.35">
      <c r="A1296" t="s">
        <v>45</v>
      </c>
      <c r="B1296" t="s">
        <v>88</v>
      </c>
      <c r="C1296">
        <v>2025</v>
      </c>
      <c r="D1296" t="s">
        <v>38</v>
      </c>
      <c r="E1296">
        <v>43868.55</v>
      </c>
      <c r="F1296">
        <v>77.3</v>
      </c>
      <c r="G1296">
        <v>290</v>
      </c>
      <c r="H1296">
        <v>165</v>
      </c>
      <c r="I1296" t="s">
        <v>33</v>
      </c>
      <c r="J1296">
        <v>5</v>
      </c>
      <c r="K1296" t="s">
        <v>22</v>
      </c>
      <c r="L1296">
        <v>211394</v>
      </c>
      <c r="M1296">
        <v>3.74</v>
      </c>
      <c r="N1296" s="6">
        <f t="shared" si="20"/>
        <v>9273548258.7000008</v>
      </c>
    </row>
    <row r="1297" spans="1:14" x14ac:dyDescent="0.35">
      <c r="A1297" t="s">
        <v>13</v>
      </c>
      <c r="B1297" t="s">
        <v>56</v>
      </c>
      <c r="C1297">
        <v>2025</v>
      </c>
      <c r="D1297" t="s">
        <v>28</v>
      </c>
      <c r="E1297">
        <v>98049.57</v>
      </c>
      <c r="F1297">
        <v>79.3</v>
      </c>
      <c r="G1297">
        <v>271</v>
      </c>
      <c r="H1297">
        <v>178</v>
      </c>
      <c r="I1297" t="s">
        <v>16</v>
      </c>
      <c r="J1297">
        <v>4</v>
      </c>
      <c r="K1297" t="s">
        <v>20</v>
      </c>
      <c r="L1297">
        <v>232457</v>
      </c>
      <c r="M1297">
        <v>3.53</v>
      </c>
      <c r="N1297" s="6">
        <f t="shared" si="20"/>
        <v>22792308893.490002</v>
      </c>
    </row>
    <row r="1298" spans="1:14" x14ac:dyDescent="0.35">
      <c r="A1298" t="s">
        <v>67</v>
      </c>
      <c r="B1298" t="s">
        <v>86</v>
      </c>
      <c r="C1298">
        <v>2025</v>
      </c>
      <c r="D1298" t="s">
        <v>38</v>
      </c>
      <c r="E1298">
        <v>91070.12</v>
      </c>
      <c r="F1298">
        <v>66.400000000000006</v>
      </c>
      <c r="G1298">
        <v>224</v>
      </c>
      <c r="H1298">
        <v>152</v>
      </c>
      <c r="I1298" t="s">
        <v>40</v>
      </c>
      <c r="J1298">
        <v>3</v>
      </c>
      <c r="K1298" t="s">
        <v>20</v>
      </c>
      <c r="L1298">
        <v>69627</v>
      </c>
      <c r="M1298">
        <v>3.71</v>
      </c>
      <c r="N1298" s="6">
        <f t="shared" si="20"/>
        <v>6340939245.2399998</v>
      </c>
    </row>
    <row r="1299" spans="1:14" x14ac:dyDescent="0.35">
      <c r="A1299" t="s">
        <v>57</v>
      </c>
      <c r="B1299" t="s">
        <v>58</v>
      </c>
      <c r="C1299">
        <v>2025</v>
      </c>
      <c r="D1299" t="s">
        <v>38</v>
      </c>
      <c r="E1299">
        <v>31921.1</v>
      </c>
      <c r="F1299">
        <v>77.2</v>
      </c>
      <c r="G1299">
        <v>284</v>
      </c>
      <c r="H1299">
        <v>172</v>
      </c>
      <c r="I1299" t="s">
        <v>33</v>
      </c>
      <c r="J1299">
        <v>5</v>
      </c>
      <c r="K1299" t="s">
        <v>47</v>
      </c>
      <c r="L1299">
        <v>21264</v>
      </c>
      <c r="M1299">
        <v>3.57</v>
      </c>
      <c r="N1299" s="6">
        <f t="shared" si="20"/>
        <v>678770270.39999998</v>
      </c>
    </row>
    <row r="1300" spans="1:14" x14ac:dyDescent="0.35">
      <c r="A1300" t="s">
        <v>64</v>
      </c>
      <c r="B1300" t="s">
        <v>65</v>
      </c>
      <c r="C1300">
        <v>2025</v>
      </c>
      <c r="D1300" t="s">
        <v>43</v>
      </c>
      <c r="E1300">
        <v>56108.72</v>
      </c>
      <c r="F1300">
        <v>78.400000000000006</v>
      </c>
      <c r="G1300">
        <v>280</v>
      </c>
      <c r="H1300">
        <v>178</v>
      </c>
      <c r="I1300" t="s">
        <v>32</v>
      </c>
      <c r="J1300">
        <v>5</v>
      </c>
      <c r="K1300" t="s">
        <v>22</v>
      </c>
      <c r="L1300">
        <v>32771</v>
      </c>
      <c r="M1300">
        <v>3.55</v>
      </c>
      <c r="N1300" s="6">
        <f t="shared" si="20"/>
        <v>1838738863.1200001</v>
      </c>
    </row>
    <row r="1301" spans="1:14" x14ac:dyDescent="0.35">
      <c r="A1301" t="s">
        <v>75</v>
      </c>
      <c r="B1301" t="s">
        <v>113</v>
      </c>
      <c r="C1301">
        <v>2025</v>
      </c>
      <c r="D1301" t="s">
        <v>43</v>
      </c>
      <c r="E1301">
        <v>78693.27</v>
      </c>
      <c r="F1301">
        <v>63.6</v>
      </c>
      <c r="G1301">
        <v>243</v>
      </c>
      <c r="H1301">
        <v>171</v>
      </c>
      <c r="I1301" t="s">
        <v>16</v>
      </c>
      <c r="J1301">
        <v>4</v>
      </c>
      <c r="K1301" t="s">
        <v>20</v>
      </c>
      <c r="L1301">
        <v>14022</v>
      </c>
      <c r="M1301">
        <v>3.14</v>
      </c>
      <c r="N1301" s="6">
        <f t="shared" si="20"/>
        <v>1103437031.9400001</v>
      </c>
    </row>
    <row r="1302" spans="1:14" x14ac:dyDescent="0.35">
      <c r="A1302" t="s">
        <v>49</v>
      </c>
      <c r="B1302" t="s">
        <v>60</v>
      </c>
      <c r="C1302">
        <v>2025</v>
      </c>
      <c r="D1302" t="s">
        <v>43</v>
      </c>
      <c r="E1302">
        <v>46340.480000000003</v>
      </c>
      <c r="F1302">
        <v>70.599999999999994</v>
      </c>
      <c r="G1302">
        <v>240</v>
      </c>
      <c r="H1302">
        <v>133</v>
      </c>
      <c r="I1302" t="s">
        <v>40</v>
      </c>
      <c r="J1302">
        <v>3</v>
      </c>
      <c r="K1302" t="s">
        <v>22</v>
      </c>
      <c r="L1302">
        <v>91894</v>
      </c>
      <c r="M1302">
        <v>3.21</v>
      </c>
      <c r="N1302" s="6">
        <f t="shared" si="20"/>
        <v>4258412069.1200004</v>
      </c>
    </row>
    <row r="1303" spans="1:14" x14ac:dyDescent="0.35">
      <c r="A1303" t="s">
        <v>49</v>
      </c>
      <c r="B1303" t="s">
        <v>60</v>
      </c>
      <c r="C1303">
        <v>2025</v>
      </c>
      <c r="D1303" t="s">
        <v>43</v>
      </c>
      <c r="E1303">
        <v>70402.19</v>
      </c>
      <c r="F1303">
        <v>49.9</v>
      </c>
      <c r="G1303">
        <v>170</v>
      </c>
      <c r="H1303">
        <v>148</v>
      </c>
      <c r="I1303" t="s">
        <v>40</v>
      </c>
      <c r="J1303">
        <v>5</v>
      </c>
      <c r="K1303" t="s">
        <v>20</v>
      </c>
      <c r="L1303">
        <v>69074</v>
      </c>
      <c r="M1303">
        <v>3.3</v>
      </c>
      <c r="N1303" s="6">
        <f t="shared" si="20"/>
        <v>4862960872.0600004</v>
      </c>
    </row>
    <row r="1304" spans="1:14" x14ac:dyDescent="0.35">
      <c r="A1304" t="s">
        <v>29</v>
      </c>
      <c r="B1304" t="s">
        <v>53</v>
      </c>
      <c r="C1304">
        <v>2025</v>
      </c>
      <c r="D1304" t="s">
        <v>20</v>
      </c>
      <c r="E1304">
        <v>104330.24000000001</v>
      </c>
      <c r="F1304">
        <v>50.1</v>
      </c>
      <c r="G1304">
        <v>185</v>
      </c>
      <c r="H1304">
        <v>145</v>
      </c>
      <c r="I1304" t="s">
        <v>16</v>
      </c>
      <c r="J1304">
        <v>4</v>
      </c>
      <c r="K1304" t="s">
        <v>17</v>
      </c>
      <c r="L1304">
        <v>241443</v>
      </c>
      <c r="M1304">
        <v>3.82</v>
      </c>
      <c r="N1304" s="6">
        <f t="shared" si="20"/>
        <v>25189806136.32</v>
      </c>
    </row>
    <row r="1305" spans="1:14" x14ac:dyDescent="0.35">
      <c r="A1305" t="s">
        <v>29</v>
      </c>
      <c r="B1305" t="s">
        <v>31</v>
      </c>
      <c r="C1305">
        <v>2025</v>
      </c>
      <c r="D1305" t="s">
        <v>15</v>
      </c>
      <c r="E1305">
        <v>146521.88</v>
      </c>
      <c r="F1305">
        <v>91.7</v>
      </c>
      <c r="G1305">
        <v>343</v>
      </c>
      <c r="H1305">
        <v>200</v>
      </c>
      <c r="I1305" t="s">
        <v>21</v>
      </c>
      <c r="J1305">
        <v>4</v>
      </c>
      <c r="K1305" t="s">
        <v>17</v>
      </c>
      <c r="L1305">
        <v>406719</v>
      </c>
      <c r="M1305">
        <v>4.12</v>
      </c>
      <c r="N1305" s="6">
        <f t="shared" si="20"/>
        <v>59593232511.720001</v>
      </c>
    </row>
    <row r="1306" spans="1:14" x14ac:dyDescent="0.35">
      <c r="A1306" t="s">
        <v>29</v>
      </c>
      <c r="B1306" t="s">
        <v>59</v>
      </c>
      <c r="C1306">
        <v>2025</v>
      </c>
      <c r="D1306" t="s">
        <v>38</v>
      </c>
      <c r="E1306">
        <v>42945.26</v>
      </c>
      <c r="F1306">
        <v>77</v>
      </c>
      <c r="G1306">
        <v>266</v>
      </c>
      <c r="H1306">
        <v>148</v>
      </c>
      <c r="I1306" t="s">
        <v>21</v>
      </c>
      <c r="J1306">
        <v>5</v>
      </c>
      <c r="K1306" t="s">
        <v>22</v>
      </c>
      <c r="L1306">
        <v>202664</v>
      </c>
      <c r="M1306">
        <v>3.79</v>
      </c>
      <c r="N1306" s="6">
        <f t="shared" si="20"/>
        <v>8703458172.6400013</v>
      </c>
    </row>
    <row r="1307" spans="1:14" x14ac:dyDescent="0.35">
      <c r="A1307" t="s">
        <v>67</v>
      </c>
      <c r="B1307" t="s">
        <v>89</v>
      </c>
      <c r="C1307">
        <v>2025</v>
      </c>
      <c r="D1307" t="s">
        <v>43</v>
      </c>
      <c r="E1307">
        <v>109441.61</v>
      </c>
      <c r="F1307">
        <v>51.1</v>
      </c>
      <c r="G1307">
        <v>161</v>
      </c>
      <c r="H1307">
        <v>151</v>
      </c>
      <c r="I1307" t="s">
        <v>32</v>
      </c>
      <c r="J1307">
        <v>4</v>
      </c>
      <c r="K1307" t="s">
        <v>17</v>
      </c>
      <c r="L1307">
        <v>27623</v>
      </c>
      <c r="M1307">
        <v>3.34</v>
      </c>
      <c r="N1307" s="6">
        <f t="shared" si="20"/>
        <v>3023105593.0300002</v>
      </c>
    </row>
    <row r="1308" spans="1:14" x14ac:dyDescent="0.35">
      <c r="A1308" t="s">
        <v>64</v>
      </c>
      <c r="B1308" t="s">
        <v>95</v>
      </c>
      <c r="C1308">
        <v>2025</v>
      </c>
      <c r="D1308" t="s">
        <v>20</v>
      </c>
      <c r="E1308">
        <v>79696.27</v>
      </c>
      <c r="F1308">
        <v>76.5</v>
      </c>
      <c r="G1308">
        <v>251</v>
      </c>
      <c r="H1308">
        <v>161</v>
      </c>
      <c r="I1308" t="s">
        <v>16</v>
      </c>
      <c r="J1308">
        <v>5</v>
      </c>
      <c r="K1308" t="s">
        <v>20</v>
      </c>
      <c r="L1308">
        <v>32509</v>
      </c>
      <c r="M1308">
        <v>3.24</v>
      </c>
      <c r="N1308" s="6">
        <f t="shared" si="20"/>
        <v>2590846041.4300003</v>
      </c>
    </row>
    <row r="1309" spans="1:14" x14ac:dyDescent="0.35">
      <c r="A1309" t="s">
        <v>29</v>
      </c>
      <c r="B1309" t="s">
        <v>31</v>
      </c>
      <c r="C1309">
        <v>2025</v>
      </c>
      <c r="D1309" t="s">
        <v>43</v>
      </c>
      <c r="E1309">
        <v>85878.17</v>
      </c>
      <c r="F1309">
        <v>49.2</v>
      </c>
      <c r="G1309">
        <v>188</v>
      </c>
      <c r="H1309">
        <v>164</v>
      </c>
      <c r="I1309" t="s">
        <v>40</v>
      </c>
      <c r="J1309">
        <v>4</v>
      </c>
      <c r="K1309" t="s">
        <v>20</v>
      </c>
      <c r="L1309">
        <v>499717</v>
      </c>
      <c r="M1309">
        <v>3.42</v>
      </c>
      <c r="N1309" s="6">
        <f t="shared" si="20"/>
        <v>42914781477.889999</v>
      </c>
    </row>
    <row r="1310" spans="1:14" x14ac:dyDescent="0.35">
      <c r="A1310" t="s">
        <v>29</v>
      </c>
      <c r="B1310" t="s">
        <v>30</v>
      </c>
      <c r="C1310">
        <v>2025</v>
      </c>
      <c r="D1310" t="s">
        <v>20</v>
      </c>
      <c r="E1310">
        <v>60544.17</v>
      </c>
      <c r="F1310">
        <v>81.599999999999994</v>
      </c>
      <c r="G1310">
        <v>287</v>
      </c>
      <c r="H1310">
        <v>158</v>
      </c>
      <c r="I1310" t="s">
        <v>16</v>
      </c>
      <c r="J1310">
        <v>5</v>
      </c>
      <c r="K1310" t="s">
        <v>22</v>
      </c>
      <c r="L1310">
        <v>170776</v>
      </c>
      <c r="M1310">
        <v>3.98</v>
      </c>
      <c r="N1310" s="6">
        <f t="shared" si="20"/>
        <v>10339491175.92</v>
      </c>
    </row>
    <row r="1311" spans="1:14" x14ac:dyDescent="0.35">
      <c r="A1311" t="s">
        <v>29</v>
      </c>
      <c r="B1311" t="s">
        <v>31</v>
      </c>
      <c r="C1311">
        <v>2025</v>
      </c>
      <c r="D1311" t="s">
        <v>43</v>
      </c>
      <c r="E1311">
        <v>122990.85</v>
      </c>
      <c r="F1311">
        <v>43.1</v>
      </c>
      <c r="G1311">
        <v>177</v>
      </c>
      <c r="H1311">
        <v>132</v>
      </c>
      <c r="I1311" t="s">
        <v>32</v>
      </c>
      <c r="J1311">
        <v>4</v>
      </c>
      <c r="K1311" t="s">
        <v>17</v>
      </c>
      <c r="L1311">
        <v>444103</v>
      </c>
      <c r="M1311">
        <v>3.49</v>
      </c>
      <c r="N1311" s="6">
        <f t="shared" si="20"/>
        <v>54620605457.550003</v>
      </c>
    </row>
    <row r="1312" spans="1:14" x14ac:dyDescent="0.35">
      <c r="A1312" t="s">
        <v>29</v>
      </c>
      <c r="B1312" t="s">
        <v>30</v>
      </c>
      <c r="C1312">
        <v>2025</v>
      </c>
      <c r="D1312" t="s">
        <v>43</v>
      </c>
      <c r="E1312">
        <v>77509.320000000007</v>
      </c>
      <c r="F1312">
        <v>78.599999999999994</v>
      </c>
      <c r="G1312">
        <v>256</v>
      </c>
      <c r="H1312">
        <v>130</v>
      </c>
      <c r="I1312" t="s">
        <v>32</v>
      </c>
      <c r="J1312">
        <v>3</v>
      </c>
      <c r="K1312" t="s">
        <v>20</v>
      </c>
      <c r="L1312">
        <v>156028</v>
      </c>
      <c r="M1312">
        <v>3.89</v>
      </c>
      <c r="N1312" s="6">
        <f t="shared" si="20"/>
        <v>12093624180.960001</v>
      </c>
    </row>
    <row r="1313" spans="1:14" x14ac:dyDescent="0.35">
      <c r="A1313" t="s">
        <v>49</v>
      </c>
      <c r="B1313" t="s">
        <v>87</v>
      </c>
      <c r="C1313">
        <v>2025</v>
      </c>
      <c r="D1313" t="s">
        <v>38</v>
      </c>
      <c r="E1313">
        <v>42592.08</v>
      </c>
      <c r="F1313">
        <v>73.400000000000006</v>
      </c>
      <c r="G1313">
        <v>215</v>
      </c>
      <c r="H1313">
        <v>154</v>
      </c>
      <c r="I1313" t="s">
        <v>16</v>
      </c>
      <c r="J1313">
        <v>4</v>
      </c>
      <c r="K1313" t="s">
        <v>22</v>
      </c>
      <c r="L1313">
        <v>124929</v>
      </c>
      <c r="M1313">
        <v>3.43</v>
      </c>
      <c r="N1313" s="6">
        <f t="shared" si="20"/>
        <v>5320985962.3200006</v>
      </c>
    </row>
    <row r="1314" spans="1:14" x14ac:dyDescent="0.35">
      <c r="A1314" t="s">
        <v>49</v>
      </c>
      <c r="B1314" t="s">
        <v>60</v>
      </c>
      <c r="C1314">
        <v>2025</v>
      </c>
      <c r="D1314" t="s">
        <v>15</v>
      </c>
      <c r="E1314">
        <v>107109.36</v>
      </c>
      <c r="F1314">
        <v>119.6</v>
      </c>
      <c r="G1314">
        <v>434</v>
      </c>
      <c r="H1314">
        <v>200</v>
      </c>
      <c r="I1314" t="s">
        <v>21</v>
      </c>
      <c r="J1314">
        <v>5</v>
      </c>
      <c r="K1314" t="s">
        <v>17</v>
      </c>
      <c r="L1314">
        <v>92278</v>
      </c>
      <c r="M1314">
        <v>3.9</v>
      </c>
      <c r="N1314" s="6">
        <f t="shared" si="20"/>
        <v>9883837522.0799999</v>
      </c>
    </row>
    <row r="1315" spans="1:14" x14ac:dyDescent="0.35">
      <c r="A1315" t="s">
        <v>29</v>
      </c>
      <c r="B1315" t="s">
        <v>31</v>
      </c>
      <c r="C1315">
        <v>2025</v>
      </c>
      <c r="D1315" t="s">
        <v>28</v>
      </c>
      <c r="E1315">
        <v>33796.25</v>
      </c>
      <c r="F1315">
        <v>90.1</v>
      </c>
      <c r="G1315">
        <v>295</v>
      </c>
      <c r="H1315">
        <v>183</v>
      </c>
      <c r="I1315" t="s">
        <v>21</v>
      </c>
      <c r="J1315">
        <v>5</v>
      </c>
      <c r="K1315" t="s">
        <v>47</v>
      </c>
      <c r="L1315">
        <v>476519</v>
      </c>
      <c r="M1315">
        <v>3.86</v>
      </c>
      <c r="N1315" s="6">
        <f t="shared" si="20"/>
        <v>16104555253.75</v>
      </c>
    </row>
    <row r="1316" spans="1:14" x14ac:dyDescent="0.35">
      <c r="A1316" t="s">
        <v>67</v>
      </c>
      <c r="B1316" t="s">
        <v>68</v>
      </c>
      <c r="C1316">
        <v>2025</v>
      </c>
      <c r="D1316" t="s">
        <v>38</v>
      </c>
      <c r="E1316">
        <v>67634.789999999994</v>
      </c>
      <c r="F1316">
        <v>79.900000000000006</v>
      </c>
      <c r="G1316">
        <v>278</v>
      </c>
      <c r="H1316">
        <v>167</v>
      </c>
      <c r="I1316" t="s">
        <v>40</v>
      </c>
      <c r="J1316">
        <v>4</v>
      </c>
      <c r="K1316" t="s">
        <v>20</v>
      </c>
      <c r="L1316">
        <v>62437</v>
      </c>
      <c r="M1316">
        <v>3.52</v>
      </c>
      <c r="N1316" s="6">
        <f t="shared" si="20"/>
        <v>4222913383.2299995</v>
      </c>
    </row>
    <row r="1317" spans="1:14" x14ac:dyDescent="0.35">
      <c r="A1317" t="s">
        <v>75</v>
      </c>
      <c r="B1317" t="s">
        <v>101</v>
      </c>
      <c r="C1317">
        <v>2025</v>
      </c>
      <c r="D1317" t="s">
        <v>28</v>
      </c>
      <c r="E1317">
        <v>105675.37</v>
      </c>
      <c r="F1317">
        <v>104</v>
      </c>
      <c r="G1317">
        <v>386</v>
      </c>
      <c r="H1317">
        <v>173</v>
      </c>
      <c r="I1317" t="s">
        <v>21</v>
      </c>
      <c r="J1317">
        <v>5</v>
      </c>
      <c r="K1317" t="s">
        <v>17</v>
      </c>
      <c r="L1317">
        <v>25421</v>
      </c>
      <c r="M1317">
        <v>3.88</v>
      </c>
      <c r="N1317" s="6">
        <f t="shared" si="20"/>
        <v>2686373580.77</v>
      </c>
    </row>
    <row r="1318" spans="1:14" x14ac:dyDescent="0.35">
      <c r="A1318" t="s">
        <v>45</v>
      </c>
      <c r="B1318" t="s">
        <v>77</v>
      </c>
      <c r="C1318">
        <v>2025</v>
      </c>
      <c r="D1318" t="s">
        <v>38</v>
      </c>
      <c r="E1318">
        <v>19398.189999999999</v>
      </c>
      <c r="F1318">
        <v>79.599999999999994</v>
      </c>
      <c r="G1318">
        <v>255</v>
      </c>
      <c r="H1318">
        <v>125</v>
      </c>
      <c r="I1318" t="s">
        <v>25</v>
      </c>
      <c r="J1318">
        <v>4</v>
      </c>
      <c r="K1318" t="s">
        <v>47</v>
      </c>
      <c r="L1318">
        <v>165718</v>
      </c>
      <c r="M1318">
        <v>3.4</v>
      </c>
      <c r="N1318" s="6">
        <f t="shared" si="20"/>
        <v>3214629250.4199996</v>
      </c>
    </row>
    <row r="1319" spans="1:14" x14ac:dyDescent="0.35">
      <c r="A1319" t="s">
        <v>23</v>
      </c>
      <c r="B1319" t="s">
        <v>37</v>
      </c>
      <c r="C1319">
        <v>2025</v>
      </c>
      <c r="D1319" t="s">
        <v>43</v>
      </c>
      <c r="E1319">
        <v>55791.9</v>
      </c>
      <c r="F1319">
        <v>43.1</v>
      </c>
      <c r="G1319">
        <v>150</v>
      </c>
      <c r="H1319">
        <v>150</v>
      </c>
      <c r="I1319" t="s">
        <v>21</v>
      </c>
      <c r="J1319">
        <v>5</v>
      </c>
      <c r="K1319" t="s">
        <v>22</v>
      </c>
      <c r="L1319">
        <v>16439</v>
      </c>
      <c r="M1319">
        <v>3.05</v>
      </c>
      <c r="N1319" s="6">
        <f t="shared" si="20"/>
        <v>917163044.10000002</v>
      </c>
    </row>
    <row r="1320" spans="1:14" x14ac:dyDescent="0.35">
      <c r="A1320" t="s">
        <v>29</v>
      </c>
      <c r="B1320" t="s">
        <v>30</v>
      </c>
      <c r="C1320">
        <v>2025</v>
      </c>
      <c r="D1320" t="s">
        <v>20</v>
      </c>
      <c r="E1320">
        <v>151283.19</v>
      </c>
      <c r="F1320">
        <v>58.3</v>
      </c>
      <c r="G1320">
        <v>189</v>
      </c>
      <c r="H1320">
        <v>152</v>
      </c>
      <c r="I1320" t="s">
        <v>40</v>
      </c>
      <c r="J1320">
        <v>5</v>
      </c>
      <c r="K1320" t="s">
        <v>17</v>
      </c>
      <c r="L1320">
        <v>203592</v>
      </c>
      <c r="M1320">
        <v>3.49</v>
      </c>
      <c r="N1320" s="6">
        <f t="shared" si="20"/>
        <v>30800047218.48</v>
      </c>
    </row>
    <row r="1321" spans="1:14" x14ac:dyDescent="0.35">
      <c r="A1321" t="s">
        <v>13</v>
      </c>
      <c r="B1321" t="s">
        <v>14</v>
      </c>
      <c r="C1321">
        <v>2025</v>
      </c>
      <c r="D1321" t="s">
        <v>43</v>
      </c>
      <c r="E1321">
        <v>55247.47</v>
      </c>
      <c r="F1321">
        <v>53.5</v>
      </c>
      <c r="G1321">
        <v>199</v>
      </c>
      <c r="H1321">
        <v>170</v>
      </c>
      <c r="I1321" t="s">
        <v>40</v>
      </c>
      <c r="J1321">
        <v>5</v>
      </c>
      <c r="K1321" t="s">
        <v>22</v>
      </c>
      <c r="L1321">
        <v>220284</v>
      </c>
      <c r="M1321">
        <v>3.29</v>
      </c>
      <c r="N1321" s="6">
        <f t="shared" si="20"/>
        <v>12170133681.48</v>
      </c>
    </row>
    <row r="1322" spans="1:14" x14ac:dyDescent="0.35">
      <c r="A1322" t="s">
        <v>49</v>
      </c>
      <c r="B1322" t="s">
        <v>60</v>
      </c>
      <c r="C1322">
        <v>2025</v>
      </c>
      <c r="D1322" t="s">
        <v>38</v>
      </c>
      <c r="E1322">
        <v>37922.42</v>
      </c>
      <c r="F1322">
        <v>50.5</v>
      </c>
      <c r="G1322">
        <v>150</v>
      </c>
      <c r="H1322">
        <v>155</v>
      </c>
      <c r="I1322" t="s">
        <v>21</v>
      </c>
      <c r="J1322">
        <v>3</v>
      </c>
      <c r="K1322" t="s">
        <v>22</v>
      </c>
      <c r="L1322">
        <v>75225</v>
      </c>
      <c r="M1322">
        <v>3.06</v>
      </c>
      <c r="N1322" s="6">
        <f t="shared" si="20"/>
        <v>2852714044.5</v>
      </c>
    </row>
    <row r="1323" spans="1:14" x14ac:dyDescent="0.35">
      <c r="A1323" t="s">
        <v>29</v>
      </c>
      <c r="B1323" t="s">
        <v>39</v>
      </c>
      <c r="C1323">
        <v>2025</v>
      </c>
      <c r="D1323" t="s">
        <v>43</v>
      </c>
      <c r="E1323">
        <v>75212.509999999995</v>
      </c>
      <c r="F1323">
        <v>79.3</v>
      </c>
      <c r="G1323">
        <v>260</v>
      </c>
      <c r="H1323">
        <v>154</v>
      </c>
      <c r="I1323" t="s">
        <v>40</v>
      </c>
      <c r="J1323">
        <v>5</v>
      </c>
      <c r="K1323" t="s">
        <v>20</v>
      </c>
      <c r="L1323">
        <v>148099</v>
      </c>
      <c r="M1323">
        <v>3.93</v>
      </c>
      <c r="N1323" s="6">
        <f t="shared" si="20"/>
        <v>11138897518.49</v>
      </c>
    </row>
    <row r="1324" spans="1:14" x14ac:dyDescent="0.35">
      <c r="A1324" t="s">
        <v>45</v>
      </c>
      <c r="B1324" t="s">
        <v>48</v>
      </c>
      <c r="C1324">
        <v>2025</v>
      </c>
      <c r="D1324" t="s">
        <v>28</v>
      </c>
      <c r="E1324">
        <v>87159.360000000001</v>
      </c>
      <c r="F1324">
        <v>101.7</v>
      </c>
      <c r="G1324">
        <v>351</v>
      </c>
      <c r="H1324">
        <v>183</v>
      </c>
      <c r="I1324" t="s">
        <v>16</v>
      </c>
      <c r="J1324">
        <v>3</v>
      </c>
      <c r="K1324" t="s">
        <v>20</v>
      </c>
      <c r="L1324">
        <v>204628</v>
      </c>
      <c r="M1324">
        <v>3.58</v>
      </c>
      <c r="N1324" s="6">
        <f t="shared" si="20"/>
        <v>17835245518.080002</v>
      </c>
    </row>
    <row r="1325" spans="1:14" x14ac:dyDescent="0.35">
      <c r="A1325" t="s">
        <v>29</v>
      </c>
      <c r="B1325" t="s">
        <v>31</v>
      </c>
      <c r="C1325">
        <v>2025</v>
      </c>
      <c r="D1325" t="s">
        <v>28</v>
      </c>
      <c r="E1325">
        <v>64135.13</v>
      </c>
      <c r="F1325">
        <v>97.7</v>
      </c>
      <c r="G1325">
        <v>359</v>
      </c>
      <c r="H1325">
        <v>171</v>
      </c>
      <c r="I1325" t="s">
        <v>32</v>
      </c>
      <c r="J1325">
        <v>4</v>
      </c>
      <c r="K1325" t="s">
        <v>22</v>
      </c>
      <c r="L1325">
        <v>427732</v>
      </c>
      <c r="M1325">
        <v>4.21</v>
      </c>
      <c r="N1325" s="6">
        <f t="shared" si="20"/>
        <v>27432647425.16</v>
      </c>
    </row>
    <row r="1326" spans="1:14" x14ac:dyDescent="0.35">
      <c r="A1326" t="s">
        <v>13</v>
      </c>
      <c r="B1326" t="s">
        <v>51</v>
      </c>
      <c r="C1326">
        <v>2025</v>
      </c>
      <c r="D1326" t="s">
        <v>15</v>
      </c>
      <c r="E1326">
        <v>91483.89</v>
      </c>
      <c r="F1326">
        <v>74.2</v>
      </c>
      <c r="G1326">
        <v>246</v>
      </c>
      <c r="H1326">
        <v>199</v>
      </c>
      <c r="I1326" t="s">
        <v>33</v>
      </c>
      <c r="J1326">
        <v>4</v>
      </c>
      <c r="K1326" t="s">
        <v>20</v>
      </c>
      <c r="L1326">
        <v>206750</v>
      </c>
      <c r="M1326">
        <v>3.64</v>
      </c>
      <c r="N1326" s="6">
        <f t="shared" si="20"/>
        <v>18914294257.5</v>
      </c>
    </row>
    <row r="1327" spans="1:14" x14ac:dyDescent="0.35">
      <c r="A1327" t="s">
        <v>45</v>
      </c>
      <c r="B1327" t="s">
        <v>77</v>
      </c>
      <c r="C1327">
        <v>2025</v>
      </c>
      <c r="D1327" t="s">
        <v>38</v>
      </c>
      <c r="E1327">
        <v>52144.09</v>
      </c>
      <c r="F1327">
        <v>43.5</v>
      </c>
      <c r="G1327">
        <v>150</v>
      </c>
      <c r="H1327">
        <v>178</v>
      </c>
      <c r="I1327" t="s">
        <v>32</v>
      </c>
      <c r="J1327">
        <v>4</v>
      </c>
      <c r="K1327" t="s">
        <v>22</v>
      </c>
      <c r="L1327">
        <v>212512</v>
      </c>
      <c r="M1327">
        <v>3.12</v>
      </c>
      <c r="N1327" s="6">
        <f t="shared" si="20"/>
        <v>11081244854.08</v>
      </c>
    </row>
    <row r="1328" spans="1:14" x14ac:dyDescent="0.35">
      <c r="A1328" t="s">
        <v>29</v>
      </c>
      <c r="B1328" t="s">
        <v>30</v>
      </c>
      <c r="C1328">
        <v>2025</v>
      </c>
      <c r="D1328" t="s">
        <v>20</v>
      </c>
      <c r="E1328">
        <v>154568.94</v>
      </c>
      <c r="F1328">
        <v>68</v>
      </c>
      <c r="G1328">
        <v>235</v>
      </c>
      <c r="H1328">
        <v>170</v>
      </c>
      <c r="I1328" t="s">
        <v>33</v>
      </c>
      <c r="J1328">
        <v>5</v>
      </c>
      <c r="K1328" t="s">
        <v>17</v>
      </c>
      <c r="L1328">
        <v>245844</v>
      </c>
      <c r="M1328">
        <v>3.7</v>
      </c>
      <c r="N1328" s="6">
        <f t="shared" si="20"/>
        <v>37999846485.360001</v>
      </c>
    </row>
    <row r="1329" spans="1:14" x14ac:dyDescent="0.35">
      <c r="A1329" t="s">
        <v>13</v>
      </c>
      <c r="B1329" t="s">
        <v>14</v>
      </c>
      <c r="C1329">
        <v>2025</v>
      </c>
      <c r="D1329" t="s">
        <v>15</v>
      </c>
      <c r="E1329">
        <v>58007.82</v>
      </c>
      <c r="F1329">
        <v>105.3</v>
      </c>
      <c r="G1329">
        <v>382</v>
      </c>
      <c r="H1329">
        <v>188</v>
      </c>
      <c r="I1329" t="s">
        <v>25</v>
      </c>
      <c r="J1329">
        <v>3</v>
      </c>
      <c r="K1329" t="s">
        <v>22</v>
      </c>
      <c r="L1329">
        <v>241176</v>
      </c>
      <c r="M1329">
        <v>3.98</v>
      </c>
      <c r="N1329" s="6">
        <f t="shared" si="20"/>
        <v>13990093996.32</v>
      </c>
    </row>
    <row r="1330" spans="1:14" x14ac:dyDescent="0.35">
      <c r="A1330" t="s">
        <v>45</v>
      </c>
      <c r="B1330" t="s">
        <v>63</v>
      </c>
      <c r="C1330">
        <v>2025</v>
      </c>
      <c r="D1330" t="s">
        <v>43</v>
      </c>
      <c r="E1330">
        <v>33650.32</v>
      </c>
      <c r="F1330">
        <v>63.9</v>
      </c>
      <c r="G1330">
        <v>231</v>
      </c>
      <c r="H1330">
        <v>134</v>
      </c>
      <c r="I1330" t="s">
        <v>40</v>
      </c>
      <c r="J1330">
        <v>4</v>
      </c>
      <c r="K1330" t="s">
        <v>47</v>
      </c>
      <c r="L1330">
        <v>210399</v>
      </c>
      <c r="M1330">
        <v>3.56</v>
      </c>
      <c r="N1330" s="6">
        <f t="shared" si="20"/>
        <v>7079993677.6800003</v>
      </c>
    </row>
    <row r="1331" spans="1:14" x14ac:dyDescent="0.35">
      <c r="A1331" t="s">
        <v>29</v>
      </c>
      <c r="B1331" t="s">
        <v>39</v>
      </c>
      <c r="C1331">
        <v>2025</v>
      </c>
      <c r="D1331" t="s">
        <v>15</v>
      </c>
      <c r="E1331">
        <v>99545.7</v>
      </c>
      <c r="F1331">
        <v>74.099999999999994</v>
      </c>
      <c r="G1331">
        <v>250</v>
      </c>
      <c r="H1331">
        <v>190</v>
      </c>
      <c r="I1331" t="s">
        <v>32</v>
      </c>
      <c r="J1331">
        <v>4</v>
      </c>
      <c r="K1331" t="s">
        <v>20</v>
      </c>
      <c r="L1331">
        <v>244941</v>
      </c>
      <c r="M1331">
        <v>3.69</v>
      </c>
      <c r="N1331" s="6">
        <f t="shared" si="20"/>
        <v>24382823303.700001</v>
      </c>
    </row>
    <row r="1332" spans="1:14" x14ac:dyDescent="0.35">
      <c r="A1332" t="s">
        <v>29</v>
      </c>
      <c r="B1332" t="s">
        <v>39</v>
      </c>
      <c r="C1332">
        <v>2025</v>
      </c>
      <c r="D1332" t="s">
        <v>15</v>
      </c>
      <c r="E1332">
        <v>135540.84</v>
      </c>
      <c r="F1332">
        <v>85.8</v>
      </c>
      <c r="G1332">
        <v>296</v>
      </c>
      <c r="H1332">
        <v>188</v>
      </c>
      <c r="I1332" t="s">
        <v>21</v>
      </c>
      <c r="J1332">
        <v>5</v>
      </c>
      <c r="K1332" t="s">
        <v>17</v>
      </c>
      <c r="L1332">
        <v>108193</v>
      </c>
      <c r="M1332">
        <v>3.98</v>
      </c>
      <c r="N1332" s="6">
        <f t="shared" si="20"/>
        <v>14664570102.119999</v>
      </c>
    </row>
    <row r="1333" spans="1:14" x14ac:dyDescent="0.35">
      <c r="A1333" t="s">
        <v>67</v>
      </c>
      <c r="B1333" t="s">
        <v>86</v>
      </c>
      <c r="C1333">
        <v>2025</v>
      </c>
      <c r="D1333" t="s">
        <v>38</v>
      </c>
      <c r="E1333">
        <v>80914.990000000005</v>
      </c>
      <c r="F1333">
        <v>67.400000000000006</v>
      </c>
      <c r="G1333">
        <v>220</v>
      </c>
      <c r="H1333">
        <v>178</v>
      </c>
      <c r="I1333" t="s">
        <v>40</v>
      </c>
      <c r="J1333">
        <v>5</v>
      </c>
      <c r="K1333" t="s">
        <v>20</v>
      </c>
      <c r="L1333">
        <v>22856</v>
      </c>
      <c r="M1333">
        <v>3.44</v>
      </c>
      <c r="N1333" s="6">
        <f t="shared" si="20"/>
        <v>1849393011.4400001</v>
      </c>
    </row>
    <row r="1334" spans="1:14" x14ac:dyDescent="0.35">
      <c r="A1334" t="s">
        <v>13</v>
      </c>
      <c r="B1334" t="s">
        <v>55</v>
      </c>
      <c r="C1334">
        <v>2025</v>
      </c>
      <c r="D1334" t="s">
        <v>43</v>
      </c>
      <c r="E1334">
        <v>70801.47</v>
      </c>
      <c r="F1334">
        <v>60.4</v>
      </c>
      <c r="G1334">
        <v>204</v>
      </c>
      <c r="H1334">
        <v>137</v>
      </c>
      <c r="I1334" t="s">
        <v>21</v>
      </c>
      <c r="J1334">
        <v>5</v>
      </c>
      <c r="K1334" t="s">
        <v>20</v>
      </c>
      <c r="L1334">
        <v>299914</v>
      </c>
      <c r="M1334">
        <v>3.54</v>
      </c>
      <c r="N1334" s="6">
        <f t="shared" si="20"/>
        <v>21234352073.580002</v>
      </c>
    </row>
    <row r="1335" spans="1:14" x14ac:dyDescent="0.35">
      <c r="A1335" t="s">
        <v>114</v>
      </c>
      <c r="B1335" t="s">
        <v>135</v>
      </c>
      <c r="C1335">
        <v>2025</v>
      </c>
      <c r="D1335" t="s">
        <v>43</v>
      </c>
      <c r="E1335">
        <v>80679.27</v>
      </c>
      <c r="F1335">
        <v>41.3</v>
      </c>
      <c r="G1335">
        <v>155</v>
      </c>
      <c r="H1335">
        <v>170</v>
      </c>
      <c r="I1335" t="s">
        <v>32</v>
      </c>
      <c r="J1335">
        <v>5</v>
      </c>
      <c r="K1335" t="s">
        <v>20</v>
      </c>
      <c r="L1335">
        <v>7428</v>
      </c>
      <c r="M1335">
        <v>3.03</v>
      </c>
      <c r="N1335" s="6">
        <f t="shared" si="20"/>
        <v>599285617.56000006</v>
      </c>
    </row>
    <row r="1336" spans="1:14" x14ac:dyDescent="0.35">
      <c r="A1336" t="s">
        <v>29</v>
      </c>
      <c r="B1336" t="s">
        <v>39</v>
      </c>
      <c r="C1336">
        <v>2025</v>
      </c>
      <c r="D1336" t="s">
        <v>38</v>
      </c>
      <c r="E1336">
        <v>29088.57</v>
      </c>
      <c r="F1336">
        <v>79.3</v>
      </c>
      <c r="G1336">
        <v>262</v>
      </c>
      <c r="H1336">
        <v>148</v>
      </c>
      <c r="I1336" t="s">
        <v>25</v>
      </c>
      <c r="J1336">
        <v>5</v>
      </c>
      <c r="K1336" t="s">
        <v>47</v>
      </c>
      <c r="L1336">
        <v>173989</v>
      </c>
      <c r="M1336">
        <v>4.17</v>
      </c>
      <c r="N1336" s="6">
        <f t="shared" si="20"/>
        <v>5061091205.7299995</v>
      </c>
    </row>
    <row r="1337" spans="1:14" x14ac:dyDescent="0.35">
      <c r="A1337" t="s">
        <v>41</v>
      </c>
      <c r="B1337" t="s">
        <v>42</v>
      </c>
      <c r="C1337">
        <v>2025</v>
      </c>
      <c r="D1337" t="s">
        <v>20</v>
      </c>
      <c r="E1337">
        <v>67039.100000000006</v>
      </c>
      <c r="F1337">
        <v>75</v>
      </c>
      <c r="G1337">
        <v>271</v>
      </c>
      <c r="H1337">
        <v>127</v>
      </c>
      <c r="I1337" t="s">
        <v>33</v>
      </c>
      <c r="J1337">
        <v>5</v>
      </c>
      <c r="K1337" t="s">
        <v>20</v>
      </c>
      <c r="L1337">
        <v>2336</v>
      </c>
      <c r="M1337">
        <v>3.5</v>
      </c>
      <c r="N1337" s="6">
        <f t="shared" si="20"/>
        <v>156603337.60000002</v>
      </c>
    </row>
    <row r="1338" spans="1:14" x14ac:dyDescent="0.35">
      <c r="A1338" t="s">
        <v>75</v>
      </c>
      <c r="B1338" t="s">
        <v>101</v>
      </c>
      <c r="C1338">
        <v>2025</v>
      </c>
      <c r="D1338" t="s">
        <v>15</v>
      </c>
      <c r="E1338">
        <v>104305.19</v>
      </c>
      <c r="F1338">
        <v>112.7</v>
      </c>
      <c r="G1338">
        <v>429</v>
      </c>
      <c r="H1338">
        <v>200</v>
      </c>
      <c r="I1338" t="s">
        <v>32</v>
      </c>
      <c r="J1338">
        <v>4</v>
      </c>
      <c r="K1338" t="s">
        <v>17</v>
      </c>
      <c r="L1338">
        <v>26219</v>
      </c>
      <c r="M1338">
        <v>4.08</v>
      </c>
      <c r="N1338" s="6">
        <f t="shared" si="20"/>
        <v>2734777776.6100001</v>
      </c>
    </row>
    <row r="1339" spans="1:14" x14ac:dyDescent="0.35">
      <c r="A1339" t="s">
        <v>26</v>
      </c>
      <c r="B1339" t="s">
        <v>96</v>
      </c>
      <c r="C1339">
        <v>2025</v>
      </c>
      <c r="D1339" t="s">
        <v>15</v>
      </c>
      <c r="E1339">
        <v>107335.21</v>
      </c>
      <c r="F1339">
        <v>101.2</v>
      </c>
      <c r="G1339">
        <v>372</v>
      </c>
      <c r="H1339">
        <v>187</v>
      </c>
      <c r="I1339" t="s">
        <v>16</v>
      </c>
      <c r="J1339">
        <v>5</v>
      </c>
      <c r="K1339" t="s">
        <v>17</v>
      </c>
      <c r="L1339">
        <v>56222</v>
      </c>
      <c r="M1339">
        <v>3.63</v>
      </c>
      <c r="N1339" s="6">
        <f t="shared" si="20"/>
        <v>6034600176.6199999</v>
      </c>
    </row>
    <row r="1340" spans="1:14" x14ac:dyDescent="0.35">
      <c r="A1340" t="s">
        <v>45</v>
      </c>
      <c r="B1340" t="s">
        <v>77</v>
      </c>
      <c r="C1340">
        <v>2025</v>
      </c>
      <c r="D1340" t="s">
        <v>43</v>
      </c>
      <c r="E1340">
        <v>45068.52</v>
      </c>
      <c r="F1340">
        <v>56.6</v>
      </c>
      <c r="G1340">
        <v>195</v>
      </c>
      <c r="H1340">
        <v>162</v>
      </c>
      <c r="I1340" t="s">
        <v>40</v>
      </c>
      <c r="J1340">
        <v>5</v>
      </c>
      <c r="K1340" t="s">
        <v>22</v>
      </c>
      <c r="L1340">
        <v>196546</v>
      </c>
      <c r="M1340">
        <v>3.22</v>
      </c>
      <c r="N1340" s="6">
        <f t="shared" si="20"/>
        <v>8858037331.9200001</v>
      </c>
    </row>
    <row r="1341" spans="1:14" x14ac:dyDescent="0.35">
      <c r="A1341" t="s">
        <v>29</v>
      </c>
      <c r="B1341" t="s">
        <v>39</v>
      </c>
      <c r="C1341">
        <v>2025</v>
      </c>
      <c r="D1341" t="s">
        <v>43</v>
      </c>
      <c r="E1341">
        <v>47711.51</v>
      </c>
      <c r="F1341">
        <v>47.2</v>
      </c>
      <c r="G1341">
        <v>173</v>
      </c>
      <c r="H1341">
        <v>154</v>
      </c>
      <c r="I1341" t="s">
        <v>40</v>
      </c>
      <c r="J1341">
        <v>4</v>
      </c>
      <c r="K1341" t="s">
        <v>22</v>
      </c>
      <c r="L1341">
        <v>180408</v>
      </c>
      <c r="M1341">
        <v>3.58</v>
      </c>
      <c r="N1341" s="6">
        <f t="shared" si="20"/>
        <v>8607538096.0799999</v>
      </c>
    </row>
    <row r="1342" spans="1:14" x14ac:dyDescent="0.35">
      <c r="A1342" t="s">
        <v>49</v>
      </c>
      <c r="B1342" t="s">
        <v>60</v>
      </c>
      <c r="C1342">
        <v>2025</v>
      </c>
      <c r="D1342" t="s">
        <v>20</v>
      </c>
      <c r="E1342">
        <v>72308.960000000006</v>
      </c>
      <c r="F1342">
        <v>49.7</v>
      </c>
      <c r="G1342">
        <v>167</v>
      </c>
      <c r="H1342">
        <v>150</v>
      </c>
      <c r="I1342" t="s">
        <v>25</v>
      </c>
      <c r="J1342">
        <v>3</v>
      </c>
      <c r="K1342" t="s">
        <v>20</v>
      </c>
      <c r="L1342">
        <v>143294</v>
      </c>
      <c r="M1342">
        <v>3.17</v>
      </c>
      <c r="N1342" s="6">
        <f t="shared" si="20"/>
        <v>10361440114.240002</v>
      </c>
    </row>
    <row r="1343" spans="1:14" x14ac:dyDescent="0.35">
      <c r="A1343" t="s">
        <v>26</v>
      </c>
      <c r="B1343" t="s">
        <v>27</v>
      </c>
      <c r="C1343">
        <v>2025</v>
      </c>
      <c r="D1343" t="s">
        <v>28</v>
      </c>
      <c r="E1343">
        <v>37973.050000000003</v>
      </c>
      <c r="F1343">
        <v>76.2</v>
      </c>
      <c r="G1343">
        <v>263</v>
      </c>
      <c r="H1343">
        <v>172</v>
      </c>
      <c r="I1343" t="s">
        <v>21</v>
      </c>
      <c r="J1343">
        <v>4</v>
      </c>
      <c r="K1343" t="s">
        <v>22</v>
      </c>
      <c r="L1343">
        <v>66783</v>
      </c>
      <c r="M1343">
        <v>3.42</v>
      </c>
      <c r="N1343" s="6">
        <f t="shared" si="20"/>
        <v>2535954198.1500001</v>
      </c>
    </row>
    <row r="1344" spans="1:14" x14ac:dyDescent="0.35">
      <c r="A1344" t="s">
        <v>29</v>
      </c>
      <c r="B1344" t="s">
        <v>39</v>
      </c>
      <c r="C1344">
        <v>2025</v>
      </c>
      <c r="D1344" t="s">
        <v>28</v>
      </c>
      <c r="E1344">
        <v>89182.57</v>
      </c>
      <c r="F1344">
        <v>108.7</v>
      </c>
      <c r="G1344">
        <v>358</v>
      </c>
      <c r="H1344">
        <v>158</v>
      </c>
      <c r="I1344" t="s">
        <v>16</v>
      </c>
      <c r="J1344">
        <v>4</v>
      </c>
      <c r="K1344" t="s">
        <v>20</v>
      </c>
      <c r="L1344">
        <v>161378</v>
      </c>
      <c r="M1344">
        <v>4</v>
      </c>
      <c r="N1344" s="6">
        <f t="shared" si="20"/>
        <v>14392104781.460001</v>
      </c>
    </row>
    <row r="1345" spans="1:14" x14ac:dyDescent="0.35">
      <c r="A1345" t="s">
        <v>49</v>
      </c>
      <c r="B1345" t="s">
        <v>87</v>
      </c>
      <c r="C1345">
        <v>2025</v>
      </c>
      <c r="D1345" t="s">
        <v>28</v>
      </c>
      <c r="E1345">
        <v>49595.48</v>
      </c>
      <c r="F1345">
        <v>75.099999999999994</v>
      </c>
      <c r="G1345">
        <v>260</v>
      </c>
      <c r="H1345">
        <v>187</v>
      </c>
      <c r="I1345" t="s">
        <v>33</v>
      </c>
      <c r="J1345">
        <v>5</v>
      </c>
      <c r="K1345" t="s">
        <v>22</v>
      </c>
      <c r="L1345">
        <v>108288</v>
      </c>
      <c r="M1345">
        <v>3.54</v>
      </c>
      <c r="N1345" s="6">
        <f t="shared" si="20"/>
        <v>5370595338.2400007</v>
      </c>
    </row>
    <row r="1346" spans="1:14" x14ac:dyDescent="0.35">
      <c r="A1346" t="s">
        <v>29</v>
      </c>
      <c r="B1346" t="s">
        <v>39</v>
      </c>
      <c r="C1346">
        <v>2025</v>
      </c>
      <c r="D1346" t="s">
        <v>38</v>
      </c>
      <c r="E1346">
        <v>99045.61</v>
      </c>
      <c r="F1346">
        <v>69.900000000000006</v>
      </c>
      <c r="G1346">
        <v>238</v>
      </c>
      <c r="H1346">
        <v>125</v>
      </c>
      <c r="I1346" t="s">
        <v>21</v>
      </c>
      <c r="J1346">
        <v>4</v>
      </c>
      <c r="K1346" t="s">
        <v>20</v>
      </c>
      <c r="L1346">
        <v>134937</v>
      </c>
      <c r="M1346">
        <v>3.58</v>
      </c>
      <c r="N1346" s="6">
        <f t="shared" ref="N1346:N1409" si="21">E1346*L1346</f>
        <v>13364917476.57</v>
      </c>
    </row>
    <row r="1347" spans="1:14" x14ac:dyDescent="0.35">
      <c r="A1347" t="s">
        <v>29</v>
      </c>
      <c r="B1347" t="s">
        <v>53</v>
      </c>
      <c r="C1347">
        <v>2025</v>
      </c>
      <c r="D1347" t="s">
        <v>20</v>
      </c>
      <c r="E1347">
        <v>160711.64000000001</v>
      </c>
      <c r="F1347">
        <v>76.8</v>
      </c>
      <c r="G1347">
        <v>290</v>
      </c>
      <c r="H1347">
        <v>153</v>
      </c>
      <c r="I1347" t="s">
        <v>16</v>
      </c>
      <c r="J1347">
        <v>5</v>
      </c>
      <c r="K1347" t="s">
        <v>17</v>
      </c>
      <c r="L1347">
        <v>208796</v>
      </c>
      <c r="M1347">
        <v>3.95</v>
      </c>
      <c r="N1347" s="6">
        <f t="shared" si="21"/>
        <v>33555947585.440002</v>
      </c>
    </row>
    <row r="1348" spans="1:14" x14ac:dyDescent="0.35">
      <c r="A1348" t="s">
        <v>57</v>
      </c>
      <c r="B1348" t="s">
        <v>62</v>
      </c>
      <c r="C1348">
        <v>2025</v>
      </c>
      <c r="D1348" t="s">
        <v>43</v>
      </c>
      <c r="E1348">
        <v>43156.03</v>
      </c>
      <c r="F1348">
        <v>81.3</v>
      </c>
      <c r="G1348">
        <v>293</v>
      </c>
      <c r="H1348">
        <v>139</v>
      </c>
      <c r="I1348" t="s">
        <v>25</v>
      </c>
      <c r="J1348">
        <v>4</v>
      </c>
      <c r="K1348" t="s">
        <v>22</v>
      </c>
      <c r="L1348">
        <v>34530</v>
      </c>
      <c r="M1348">
        <v>3.75</v>
      </c>
      <c r="N1348" s="6">
        <f t="shared" si="21"/>
        <v>1490177715.8999999</v>
      </c>
    </row>
    <row r="1349" spans="1:14" x14ac:dyDescent="0.35">
      <c r="A1349" t="s">
        <v>23</v>
      </c>
      <c r="B1349" t="s">
        <v>82</v>
      </c>
      <c r="C1349">
        <v>2025</v>
      </c>
      <c r="D1349" t="s">
        <v>38</v>
      </c>
      <c r="E1349">
        <v>38010.06</v>
      </c>
      <c r="F1349">
        <v>62.7</v>
      </c>
      <c r="G1349">
        <v>226</v>
      </c>
      <c r="H1349">
        <v>137</v>
      </c>
      <c r="I1349" t="s">
        <v>32</v>
      </c>
      <c r="J1349">
        <v>4</v>
      </c>
      <c r="K1349" t="s">
        <v>22</v>
      </c>
      <c r="L1349">
        <v>16274</v>
      </c>
      <c r="M1349">
        <v>3.18</v>
      </c>
      <c r="N1349" s="6">
        <f t="shared" si="21"/>
        <v>618575716.43999994</v>
      </c>
    </row>
    <row r="1350" spans="1:14" x14ac:dyDescent="0.35">
      <c r="A1350" t="s">
        <v>45</v>
      </c>
      <c r="B1350" t="s">
        <v>69</v>
      </c>
      <c r="C1350">
        <v>2025</v>
      </c>
      <c r="D1350" t="s">
        <v>38</v>
      </c>
      <c r="E1350">
        <v>23230.02</v>
      </c>
      <c r="F1350">
        <v>80.599999999999994</v>
      </c>
      <c r="G1350">
        <v>262</v>
      </c>
      <c r="H1350">
        <v>151</v>
      </c>
      <c r="I1350" t="s">
        <v>25</v>
      </c>
      <c r="J1350">
        <v>5</v>
      </c>
      <c r="K1350" t="s">
        <v>47</v>
      </c>
      <c r="L1350">
        <v>183226</v>
      </c>
      <c r="M1350">
        <v>3.75</v>
      </c>
      <c r="N1350" s="6">
        <f t="shared" si="21"/>
        <v>4256343644.52</v>
      </c>
    </row>
    <row r="1351" spans="1:14" x14ac:dyDescent="0.35">
      <c r="A1351" t="s">
        <v>29</v>
      </c>
      <c r="B1351" t="s">
        <v>30</v>
      </c>
      <c r="C1351">
        <v>2025</v>
      </c>
      <c r="D1351" t="s">
        <v>20</v>
      </c>
      <c r="E1351">
        <v>106221.52</v>
      </c>
      <c r="F1351">
        <v>66.8</v>
      </c>
      <c r="G1351">
        <v>251</v>
      </c>
      <c r="H1351">
        <v>134</v>
      </c>
      <c r="I1351" t="s">
        <v>40</v>
      </c>
      <c r="J1351">
        <v>4</v>
      </c>
      <c r="K1351" t="s">
        <v>17</v>
      </c>
      <c r="L1351">
        <v>106799</v>
      </c>
      <c r="M1351">
        <v>3.65</v>
      </c>
      <c r="N1351" s="6">
        <f t="shared" si="21"/>
        <v>11344352114.48</v>
      </c>
    </row>
    <row r="1352" spans="1:14" x14ac:dyDescent="0.35">
      <c r="A1352" t="s">
        <v>73</v>
      </c>
      <c r="B1352" t="s">
        <v>74</v>
      </c>
      <c r="C1352">
        <v>2025</v>
      </c>
      <c r="D1352" t="s">
        <v>43</v>
      </c>
      <c r="E1352">
        <v>70152.19</v>
      </c>
      <c r="F1352">
        <v>44.1</v>
      </c>
      <c r="G1352">
        <v>160</v>
      </c>
      <c r="H1352">
        <v>156</v>
      </c>
      <c r="I1352" t="s">
        <v>16</v>
      </c>
      <c r="J1352">
        <v>5</v>
      </c>
      <c r="K1352" t="s">
        <v>20</v>
      </c>
      <c r="L1352">
        <v>21427</v>
      </c>
      <c r="M1352">
        <v>3</v>
      </c>
      <c r="N1352" s="6">
        <f t="shared" si="21"/>
        <v>1503150975.1300001</v>
      </c>
    </row>
    <row r="1353" spans="1:14" x14ac:dyDescent="0.35">
      <c r="A1353" t="s">
        <v>29</v>
      </c>
      <c r="B1353" t="s">
        <v>31</v>
      </c>
      <c r="C1353">
        <v>2025</v>
      </c>
      <c r="D1353" t="s">
        <v>28</v>
      </c>
      <c r="E1353">
        <v>97027.38</v>
      </c>
      <c r="F1353">
        <v>108.3</v>
      </c>
      <c r="G1353">
        <v>372</v>
      </c>
      <c r="H1353">
        <v>170</v>
      </c>
      <c r="I1353" t="s">
        <v>16</v>
      </c>
      <c r="J1353">
        <v>5</v>
      </c>
      <c r="K1353" t="s">
        <v>20</v>
      </c>
      <c r="L1353">
        <v>401761</v>
      </c>
      <c r="M1353">
        <v>4.12</v>
      </c>
      <c r="N1353" s="6">
        <f t="shared" si="21"/>
        <v>38981817216.18</v>
      </c>
    </row>
    <row r="1354" spans="1:14" x14ac:dyDescent="0.35">
      <c r="A1354" t="s">
        <v>57</v>
      </c>
      <c r="B1354" t="s">
        <v>72</v>
      </c>
      <c r="C1354">
        <v>2025</v>
      </c>
      <c r="D1354" t="s">
        <v>28</v>
      </c>
      <c r="E1354">
        <v>53281.67</v>
      </c>
      <c r="F1354">
        <v>84.7</v>
      </c>
      <c r="G1354">
        <v>295</v>
      </c>
      <c r="H1354">
        <v>173</v>
      </c>
      <c r="I1354" t="s">
        <v>16</v>
      </c>
      <c r="J1354">
        <v>4</v>
      </c>
      <c r="K1354" t="s">
        <v>22</v>
      </c>
      <c r="L1354">
        <v>59310</v>
      </c>
      <c r="M1354">
        <v>3.42</v>
      </c>
      <c r="N1354" s="6">
        <f t="shared" si="21"/>
        <v>3160135847.6999998</v>
      </c>
    </row>
    <row r="1355" spans="1:14" x14ac:dyDescent="0.35">
      <c r="A1355" t="s">
        <v>29</v>
      </c>
      <c r="B1355" t="s">
        <v>59</v>
      </c>
      <c r="C1355">
        <v>2025</v>
      </c>
      <c r="D1355" t="s">
        <v>28</v>
      </c>
      <c r="E1355">
        <v>92231.53</v>
      </c>
      <c r="F1355">
        <v>76</v>
      </c>
      <c r="G1355">
        <v>264</v>
      </c>
      <c r="H1355">
        <v>177</v>
      </c>
      <c r="I1355" t="s">
        <v>25</v>
      </c>
      <c r="J1355">
        <v>4</v>
      </c>
      <c r="K1355" t="s">
        <v>20</v>
      </c>
      <c r="L1355">
        <v>226342</v>
      </c>
      <c r="M1355">
        <v>3.56</v>
      </c>
      <c r="N1355" s="6">
        <f t="shared" si="21"/>
        <v>20875868963.259998</v>
      </c>
    </row>
    <row r="1356" spans="1:14" x14ac:dyDescent="0.35">
      <c r="A1356" t="s">
        <v>13</v>
      </c>
      <c r="B1356" t="s">
        <v>56</v>
      </c>
      <c r="C1356">
        <v>2025</v>
      </c>
      <c r="D1356" t="s">
        <v>28</v>
      </c>
      <c r="E1356">
        <v>102771.71</v>
      </c>
      <c r="F1356">
        <v>104.2</v>
      </c>
      <c r="G1356">
        <v>392</v>
      </c>
      <c r="H1356">
        <v>174</v>
      </c>
      <c r="I1356" t="s">
        <v>25</v>
      </c>
      <c r="J1356">
        <v>4</v>
      </c>
      <c r="K1356" t="s">
        <v>17</v>
      </c>
      <c r="L1356">
        <v>235887</v>
      </c>
      <c r="M1356">
        <v>3.78</v>
      </c>
      <c r="N1356" s="6">
        <f t="shared" si="21"/>
        <v>24242510356.77</v>
      </c>
    </row>
    <row r="1357" spans="1:14" x14ac:dyDescent="0.35">
      <c r="A1357" t="s">
        <v>13</v>
      </c>
      <c r="B1357" t="s">
        <v>56</v>
      </c>
      <c r="C1357">
        <v>2025</v>
      </c>
      <c r="D1357" t="s">
        <v>28</v>
      </c>
      <c r="E1357">
        <v>97037.17</v>
      </c>
      <c r="F1357">
        <v>79.8</v>
      </c>
      <c r="G1357">
        <v>284</v>
      </c>
      <c r="H1357">
        <v>167</v>
      </c>
      <c r="I1357" t="s">
        <v>33</v>
      </c>
      <c r="J1357">
        <v>4</v>
      </c>
      <c r="K1357" t="s">
        <v>20</v>
      </c>
      <c r="L1357">
        <v>292071</v>
      </c>
      <c r="M1357">
        <v>3.47</v>
      </c>
      <c r="N1357" s="6">
        <f t="shared" si="21"/>
        <v>28341743279.07</v>
      </c>
    </row>
    <row r="1358" spans="1:14" x14ac:dyDescent="0.35">
      <c r="A1358" t="s">
        <v>49</v>
      </c>
      <c r="B1358" t="s">
        <v>90</v>
      </c>
      <c r="C1358">
        <v>2025</v>
      </c>
      <c r="D1358" t="s">
        <v>28</v>
      </c>
      <c r="E1358">
        <v>81032.960000000006</v>
      </c>
      <c r="F1358">
        <v>109.2</v>
      </c>
      <c r="G1358">
        <v>372</v>
      </c>
      <c r="H1358">
        <v>171</v>
      </c>
      <c r="I1358" t="s">
        <v>33</v>
      </c>
      <c r="J1358">
        <v>5</v>
      </c>
      <c r="K1358" t="s">
        <v>20</v>
      </c>
      <c r="L1358">
        <v>132543</v>
      </c>
      <c r="M1358">
        <v>3.49</v>
      </c>
      <c r="N1358" s="6">
        <f t="shared" si="21"/>
        <v>10740351617.280001</v>
      </c>
    </row>
    <row r="1359" spans="1:14" x14ac:dyDescent="0.35">
      <c r="A1359" t="s">
        <v>49</v>
      </c>
      <c r="B1359" t="s">
        <v>71</v>
      </c>
      <c r="C1359">
        <v>2025</v>
      </c>
      <c r="D1359" t="s">
        <v>43</v>
      </c>
      <c r="E1359">
        <v>59265.27</v>
      </c>
      <c r="F1359">
        <v>76.5</v>
      </c>
      <c r="G1359">
        <v>288</v>
      </c>
      <c r="H1359">
        <v>166</v>
      </c>
      <c r="I1359" t="s">
        <v>25</v>
      </c>
      <c r="J1359">
        <v>5</v>
      </c>
      <c r="K1359" t="s">
        <v>22</v>
      </c>
      <c r="L1359">
        <v>55296</v>
      </c>
      <c r="M1359">
        <v>3.41</v>
      </c>
      <c r="N1359" s="6">
        <f t="shared" si="21"/>
        <v>3277132369.9199996</v>
      </c>
    </row>
    <row r="1360" spans="1:14" x14ac:dyDescent="0.35">
      <c r="A1360" t="s">
        <v>45</v>
      </c>
      <c r="B1360" t="s">
        <v>77</v>
      </c>
      <c r="C1360">
        <v>2025</v>
      </c>
      <c r="D1360" t="s">
        <v>28</v>
      </c>
      <c r="E1360">
        <v>24263.38</v>
      </c>
      <c r="F1360">
        <v>90.6</v>
      </c>
      <c r="G1360">
        <v>313</v>
      </c>
      <c r="H1360">
        <v>165</v>
      </c>
      <c r="I1360" t="s">
        <v>33</v>
      </c>
      <c r="J1360">
        <v>4</v>
      </c>
      <c r="K1360" t="s">
        <v>47</v>
      </c>
      <c r="L1360">
        <v>185360</v>
      </c>
      <c r="M1360">
        <v>3.79</v>
      </c>
      <c r="N1360" s="6">
        <f t="shared" si="21"/>
        <v>4497460116.8000002</v>
      </c>
    </row>
    <row r="1361" spans="1:14" x14ac:dyDescent="0.35">
      <c r="A1361" t="s">
        <v>13</v>
      </c>
      <c r="B1361" t="s">
        <v>14</v>
      </c>
      <c r="C1361">
        <v>2025</v>
      </c>
      <c r="D1361" t="s">
        <v>38</v>
      </c>
      <c r="E1361">
        <v>65624.38</v>
      </c>
      <c r="F1361">
        <v>83.8</v>
      </c>
      <c r="G1361">
        <v>327</v>
      </c>
      <c r="H1361">
        <v>166</v>
      </c>
      <c r="I1361" t="s">
        <v>40</v>
      </c>
      <c r="J1361">
        <v>5</v>
      </c>
      <c r="K1361" t="s">
        <v>20</v>
      </c>
      <c r="L1361">
        <v>228265</v>
      </c>
      <c r="M1361">
        <v>3.75</v>
      </c>
      <c r="N1361" s="6">
        <f t="shared" si="21"/>
        <v>14979749100.700001</v>
      </c>
    </row>
    <row r="1362" spans="1:14" x14ac:dyDescent="0.35">
      <c r="A1362" t="s">
        <v>26</v>
      </c>
      <c r="B1362" t="s">
        <v>96</v>
      </c>
      <c r="C1362">
        <v>2025</v>
      </c>
      <c r="D1362" t="s">
        <v>38</v>
      </c>
      <c r="E1362">
        <v>34297.300000000003</v>
      </c>
      <c r="F1362">
        <v>40.9</v>
      </c>
      <c r="G1362">
        <v>150</v>
      </c>
      <c r="H1362">
        <v>156</v>
      </c>
      <c r="I1362" t="s">
        <v>33</v>
      </c>
      <c r="J1362">
        <v>4</v>
      </c>
      <c r="K1362" t="s">
        <v>47</v>
      </c>
      <c r="L1362">
        <v>124108</v>
      </c>
      <c r="M1362">
        <v>3.31</v>
      </c>
      <c r="N1362" s="6">
        <f t="shared" si="21"/>
        <v>4256569308.4000006</v>
      </c>
    </row>
    <row r="1363" spans="1:14" x14ac:dyDescent="0.35">
      <c r="A1363" t="s">
        <v>29</v>
      </c>
      <c r="B1363" t="s">
        <v>30</v>
      </c>
      <c r="C1363">
        <v>2025</v>
      </c>
      <c r="D1363" t="s">
        <v>28</v>
      </c>
      <c r="E1363">
        <v>37324.82</v>
      </c>
      <c r="F1363">
        <v>100.2</v>
      </c>
      <c r="G1363">
        <v>350</v>
      </c>
      <c r="H1363">
        <v>169</v>
      </c>
      <c r="I1363" t="s">
        <v>33</v>
      </c>
      <c r="J1363">
        <v>3</v>
      </c>
      <c r="K1363" t="s">
        <v>22</v>
      </c>
      <c r="L1363">
        <v>182729</v>
      </c>
      <c r="M1363">
        <v>3.94</v>
      </c>
      <c r="N1363" s="6">
        <f t="shared" si="21"/>
        <v>6820327033.7799997</v>
      </c>
    </row>
    <row r="1364" spans="1:14" x14ac:dyDescent="0.35">
      <c r="A1364" t="s">
        <v>29</v>
      </c>
      <c r="B1364" t="s">
        <v>30</v>
      </c>
      <c r="C1364">
        <v>2025</v>
      </c>
      <c r="D1364" t="s">
        <v>38</v>
      </c>
      <c r="E1364">
        <v>39961.089999999997</v>
      </c>
      <c r="F1364">
        <v>82.4</v>
      </c>
      <c r="G1364">
        <v>271</v>
      </c>
      <c r="H1364">
        <v>140</v>
      </c>
      <c r="I1364" t="s">
        <v>32</v>
      </c>
      <c r="J1364">
        <v>5</v>
      </c>
      <c r="K1364" t="s">
        <v>22</v>
      </c>
      <c r="L1364">
        <v>132702</v>
      </c>
      <c r="M1364">
        <v>3.97</v>
      </c>
      <c r="N1364" s="6">
        <f t="shared" si="21"/>
        <v>5302916565.1799994</v>
      </c>
    </row>
    <row r="1365" spans="1:14" x14ac:dyDescent="0.35">
      <c r="A1365" t="s">
        <v>57</v>
      </c>
      <c r="B1365" t="s">
        <v>72</v>
      </c>
      <c r="C1365">
        <v>2025</v>
      </c>
      <c r="D1365" t="s">
        <v>43</v>
      </c>
      <c r="E1365">
        <v>71166.509999999995</v>
      </c>
      <c r="F1365">
        <v>63.6</v>
      </c>
      <c r="G1365">
        <v>211</v>
      </c>
      <c r="H1365">
        <v>168</v>
      </c>
      <c r="I1365" t="s">
        <v>16</v>
      </c>
      <c r="J1365">
        <v>4</v>
      </c>
      <c r="K1365" t="s">
        <v>20</v>
      </c>
      <c r="L1365">
        <v>29813</v>
      </c>
      <c r="M1365">
        <v>3.63</v>
      </c>
      <c r="N1365" s="6">
        <f t="shared" si="21"/>
        <v>2121687162.6299999</v>
      </c>
    </row>
    <row r="1366" spans="1:14" x14ac:dyDescent="0.35">
      <c r="A1366" t="s">
        <v>49</v>
      </c>
      <c r="B1366" t="s">
        <v>50</v>
      </c>
      <c r="C1366">
        <v>2025</v>
      </c>
      <c r="D1366" t="s">
        <v>43</v>
      </c>
      <c r="E1366">
        <v>33895.78</v>
      </c>
      <c r="F1366">
        <v>72.7</v>
      </c>
      <c r="G1366">
        <v>271</v>
      </c>
      <c r="H1366">
        <v>148</v>
      </c>
      <c r="I1366" t="s">
        <v>40</v>
      </c>
      <c r="J1366">
        <v>4</v>
      </c>
      <c r="K1366" t="s">
        <v>47</v>
      </c>
      <c r="L1366">
        <v>74203</v>
      </c>
      <c r="M1366">
        <v>3.74</v>
      </c>
      <c r="N1366" s="6">
        <f t="shared" si="21"/>
        <v>2515168563.3399997</v>
      </c>
    </row>
    <row r="1367" spans="1:14" x14ac:dyDescent="0.35">
      <c r="A1367" t="s">
        <v>29</v>
      </c>
      <c r="B1367" t="s">
        <v>59</v>
      </c>
      <c r="C1367">
        <v>2025</v>
      </c>
      <c r="D1367" t="s">
        <v>43</v>
      </c>
      <c r="E1367">
        <v>81903.39</v>
      </c>
      <c r="F1367">
        <v>69.099999999999994</v>
      </c>
      <c r="G1367">
        <v>257</v>
      </c>
      <c r="H1367">
        <v>170</v>
      </c>
      <c r="I1367" t="s">
        <v>40</v>
      </c>
      <c r="J1367">
        <v>4</v>
      </c>
      <c r="K1367" t="s">
        <v>20</v>
      </c>
      <c r="L1367">
        <v>135577</v>
      </c>
      <c r="M1367">
        <v>3.78</v>
      </c>
      <c r="N1367" s="6">
        <f t="shared" si="21"/>
        <v>11104215906.030001</v>
      </c>
    </row>
    <row r="1368" spans="1:14" x14ac:dyDescent="0.35">
      <c r="A1368" t="s">
        <v>57</v>
      </c>
      <c r="B1368" t="s">
        <v>72</v>
      </c>
      <c r="C1368">
        <v>2025</v>
      </c>
      <c r="D1368" t="s">
        <v>20</v>
      </c>
      <c r="E1368">
        <v>44324.9</v>
      </c>
      <c r="F1368">
        <v>61.8</v>
      </c>
      <c r="G1368">
        <v>198</v>
      </c>
      <c r="H1368">
        <v>139</v>
      </c>
      <c r="I1368" t="s">
        <v>16</v>
      </c>
      <c r="J1368">
        <v>4</v>
      </c>
      <c r="K1368" t="s">
        <v>22</v>
      </c>
      <c r="L1368">
        <v>57644</v>
      </c>
      <c r="M1368">
        <v>3.48</v>
      </c>
      <c r="N1368" s="6">
        <f t="shared" si="21"/>
        <v>2555064535.5999999</v>
      </c>
    </row>
    <row r="1369" spans="1:14" x14ac:dyDescent="0.35">
      <c r="A1369" t="s">
        <v>67</v>
      </c>
      <c r="B1369" t="s">
        <v>89</v>
      </c>
      <c r="C1369">
        <v>2025</v>
      </c>
      <c r="D1369" t="s">
        <v>43</v>
      </c>
      <c r="E1369">
        <v>114471.43</v>
      </c>
      <c r="F1369">
        <v>76.2</v>
      </c>
      <c r="G1369">
        <v>231</v>
      </c>
      <c r="H1369">
        <v>152</v>
      </c>
      <c r="I1369" t="s">
        <v>25</v>
      </c>
      <c r="J1369">
        <v>4</v>
      </c>
      <c r="K1369" t="s">
        <v>17</v>
      </c>
      <c r="L1369">
        <v>21563</v>
      </c>
      <c r="M1369">
        <v>3.5</v>
      </c>
      <c r="N1369" s="6">
        <f t="shared" si="21"/>
        <v>2468347445.0899997</v>
      </c>
    </row>
    <row r="1370" spans="1:14" x14ac:dyDescent="0.35">
      <c r="A1370" t="s">
        <v>34</v>
      </c>
      <c r="B1370" t="s">
        <v>84</v>
      </c>
      <c r="C1370">
        <v>2025</v>
      </c>
      <c r="D1370" t="s">
        <v>28</v>
      </c>
      <c r="E1370">
        <v>83712.42</v>
      </c>
      <c r="F1370">
        <v>97.4</v>
      </c>
      <c r="G1370">
        <v>338</v>
      </c>
      <c r="H1370">
        <v>170</v>
      </c>
      <c r="I1370" t="s">
        <v>25</v>
      </c>
      <c r="J1370">
        <v>3</v>
      </c>
      <c r="K1370" t="s">
        <v>20</v>
      </c>
      <c r="L1370">
        <v>37695</v>
      </c>
      <c r="M1370">
        <v>3.9</v>
      </c>
      <c r="N1370" s="6">
        <f t="shared" si="21"/>
        <v>3155539671.9000001</v>
      </c>
    </row>
    <row r="1371" spans="1:14" x14ac:dyDescent="0.35">
      <c r="A1371" t="s">
        <v>13</v>
      </c>
      <c r="B1371" t="s">
        <v>56</v>
      </c>
      <c r="C1371">
        <v>2025</v>
      </c>
      <c r="D1371" t="s">
        <v>28</v>
      </c>
      <c r="E1371">
        <v>92182.9</v>
      </c>
      <c r="F1371">
        <v>103.2</v>
      </c>
      <c r="G1371">
        <v>359</v>
      </c>
      <c r="H1371">
        <v>194</v>
      </c>
      <c r="I1371" t="s">
        <v>40</v>
      </c>
      <c r="J1371">
        <v>5</v>
      </c>
      <c r="K1371" t="s">
        <v>20</v>
      </c>
      <c r="L1371">
        <v>254291</v>
      </c>
      <c r="M1371">
        <v>3.6</v>
      </c>
      <c r="N1371" s="6">
        <f t="shared" si="21"/>
        <v>23441281823.899998</v>
      </c>
    </row>
    <row r="1372" spans="1:14" x14ac:dyDescent="0.35">
      <c r="A1372" t="s">
        <v>57</v>
      </c>
      <c r="B1372" t="s">
        <v>79</v>
      </c>
      <c r="C1372">
        <v>2025</v>
      </c>
      <c r="D1372" t="s">
        <v>38</v>
      </c>
      <c r="E1372">
        <v>31805.75</v>
      </c>
      <c r="F1372">
        <v>48.6</v>
      </c>
      <c r="G1372">
        <v>157</v>
      </c>
      <c r="H1372">
        <v>168</v>
      </c>
      <c r="I1372" t="s">
        <v>16</v>
      </c>
      <c r="J1372">
        <v>4</v>
      </c>
      <c r="K1372" t="s">
        <v>47</v>
      </c>
      <c r="L1372">
        <v>49546</v>
      </c>
      <c r="M1372">
        <v>3.24</v>
      </c>
      <c r="N1372" s="6">
        <f t="shared" si="21"/>
        <v>1575847689.5</v>
      </c>
    </row>
    <row r="1373" spans="1:14" x14ac:dyDescent="0.35">
      <c r="A1373" t="s">
        <v>23</v>
      </c>
      <c r="B1373" t="s">
        <v>82</v>
      </c>
      <c r="C1373">
        <v>2025</v>
      </c>
      <c r="D1373" t="s">
        <v>43</v>
      </c>
      <c r="E1373">
        <v>29502.2</v>
      </c>
      <c r="F1373">
        <v>67.8</v>
      </c>
      <c r="G1373">
        <v>248</v>
      </c>
      <c r="H1373">
        <v>142</v>
      </c>
      <c r="I1373" t="s">
        <v>32</v>
      </c>
      <c r="J1373">
        <v>4</v>
      </c>
      <c r="K1373" t="s">
        <v>47</v>
      </c>
      <c r="L1373">
        <v>19509</v>
      </c>
      <c r="M1373">
        <v>3.46</v>
      </c>
      <c r="N1373" s="6">
        <f t="shared" si="21"/>
        <v>575558419.80000007</v>
      </c>
    </row>
    <row r="1374" spans="1:14" x14ac:dyDescent="0.35">
      <c r="A1374" t="s">
        <v>45</v>
      </c>
      <c r="B1374" t="s">
        <v>48</v>
      </c>
      <c r="C1374">
        <v>2025</v>
      </c>
      <c r="D1374" t="s">
        <v>15</v>
      </c>
      <c r="E1374">
        <v>94900.11</v>
      </c>
      <c r="F1374">
        <v>105.2</v>
      </c>
      <c r="G1374">
        <v>381</v>
      </c>
      <c r="H1374">
        <v>190</v>
      </c>
      <c r="I1374" t="s">
        <v>32</v>
      </c>
      <c r="J1374">
        <v>5</v>
      </c>
      <c r="K1374" t="s">
        <v>20</v>
      </c>
      <c r="L1374">
        <v>172031</v>
      </c>
      <c r="M1374">
        <v>3.92</v>
      </c>
      <c r="N1374" s="6">
        <f t="shared" si="21"/>
        <v>16325760823.41</v>
      </c>
    </row>
    <row r="1375" spans="1:14" x14ac:dyDescent="0.35">
      <c r="A1375" t="s">
        <v>49</v>
      </c>
      <c r="B1375" t="s">
        <v>71</v>
      </c>
      <c r="C1375">
        <v>2025</v>
      </c>
      <c r="D1375" t="s">
        <v>15</v>
      </c>
      <c r="E1375">
        <v>95402.2</v>
      </c>
      <c r="F1375">
        <v>91.6</v>
      </c>
      <c r="G1375">
        <v>321</v>
      </c>
      <c r="H1375">
        <v>187</v>
      </c>
      <c r="I1375" t="s">
        <v>33</v>
      </c>
      <c r="J1375">
        <v>4</v>
      </c>
      <c r="K1375" t="s">
        <v>20</v>
      </c>
      <c r="L1375">
        <v>124589</v>
      </c>
      <c r="M1375">
        <v>3.85</v>
      </c>
      <c r="N1375" s="6">
        <f t="shared" si="21"/>
        <v>11886064695.799999</v>
      </c>
    </row>
    <row r="1376" spans="1:14" x14ac:dyDescent="0.35">
      <c r="A1376" t="s">
        <v>18</v>
      </c>
      <c r="B1376" t="s">
        <v>19</v>
      </c>
      <c r="C1376">
        <v>2025</v>
      </c>
      <c r="D1376" t="s">
        <v>28</v>
      </c>
      <c r="E1376">
        <v>84185.72</v>
      </c>
      <c r="F1376">
        <v>103.8</v>
      </c>
      <c r="G1376">
        <v>377</v>
      </c>
      <c r="H1376">
        <v>165</v>
      </c>
      <c r="I1376" t="s">
        <v>21</v>
      </c>
      <c r="J1376">
        <v>5</v>
      </c>
      <c r="K1376" t="s">
        <v>20</v>
      </c>
      <c r="L1376">
        <v>15914</v>
      </c>
      <c r="M1376">
        <v>3.93</v>
      </c>
      <c r="N1376" s="6">
        <f t="shared" si="21"/>
        <v>1339731548.0799999</v>
      </c>
    </row>
    <row r="1377" spans="1:14" x14ac:dyDescent="0.35">
      <c r="A1377" t="s">
        <v>26</v>
      </c>
      <c r="B1377" t="s">
        <v>27</v>
      </c>
      <c r="C1377">
        <v>2025</v>
      </c>
      <c r="D1377" t="s">
        <v>20</v>
      </c>
      <c r="E1377">
        <v>76146.100000000006</v>
      </c>
      <c r="F1377">
        <v>42.4</v>
      </c>
      <c r="G1377">
        <v>175</v>
      </c>
      <c r="H1377">
        <v>146</v>
      </c>
      <c r="I1377" t="s">
        <v>21</v>
      </c>
      <c r="J1377">
        <v>4</v>
      </c>
      <c r="K1377" t="s">
        <v>20</v>
      </c>
      <c r="L1377">
        <v>86432</v>
      </c>
      <c r="M1377">
        <v>3.41</v>
      </c>
      <c r="N1377" s="6">
        <f t="shared" si="21"/>
        <v>6581459715.2000008</v>
      </c>
    </row>
    <row r="1378" spans="1:14" x14ac:dyDescent="0.35">
      <c r="A1378" t="s">
        <v>34</v>
      </c>
      <c r="B1378" t="s">
        <v>84</v>
      </c>
      <c r="C1378">
        <v>2025</v>
      </c>
      <c r="D1378" t="s">
        <v>20</v>
      </c>
      <c r="E1378">
        <v>158316.82999999999</v>
      </c>
      <c r="F1378">
        <v>76</v>
      </c>
      <c r="G1378">
        <v>241</v>
      </c>
      <c r="H1378">
        <v>164</v>
      </c>
      <c r="I1378" t="s">
        <v>25</v>
      </c>
      <c r="J1378">
        <v>5</v>
      </c>
      <c r="K1378" t="s">
        <v>17</v>
      </c>
      <c r="L1378">
        <v>22636</v>
      </c>
      <c r="M1378">
        <v>3.82</v>
      </c>
      <c r="N1378" s="6">
        <f t="shared" si="21"/>
        <v>3583659763.8799996</v>
      </c>
    </row>
    <row r="1379" spans="1:14" x14ac:dyDescent="0.35">
      <c r="A1379" t="s">
        <v>75</v>
      </c>
      <c r="B1379" t="s">
        <v>76</v>
      </c>
      <c r="C1379">
        <v>2025</v>
      </c>
      <c r="D1379" t="s">
        <v>15</v>
      </c>
      <c r="E1379">
        <v>109164.41</v>
      </c>
      <c r="F1379">
        <v>79.599999999999994</v>
      </c>
      <c r="G1379">
        <v>288</v>
      </c>
      <c r="H1379">
        <v>197</v>
      </c>
      <c r="I1379" t="s">
        <v>32</v>
      </c>
      <c r="J1379">
        <v>5</v>
      </c>
      <c r="K1379" t="s">
        <v>17</v>
      </c>
      <c r="L1379">
        <v>19234</v>
      </c>
      <c r="M1379">
        <v>3.75</v>
      </c>
      <c r="N1379" s="6">
        <f t="shared" si="21"/>
        <v>2099668261.9400001</v>
      </c>
    </row>
    <row r="1380" spans="1:14" x14ac:dyDescent="0.35">
      <c r="A1380" t="s">
        <v>26</v>
      </c>
      <c r="B1380" t="s">
        <v>36</v>
      </c>
      <c r="C1380">
        <v>2025</v>
      </c>
      <c r="D1380" t="s">
        <v>20</v>
      </c>
      <c r="E1380">
        <v>108567.95</v>
      </c>
      <c r="F1380">
        <v>56.3</v>
      </c>
      <c r="G1380">
        <v>197</v>
      </c>
      <c r="H1380">
        <v>165</v>
      </c>
      <c r="I1380" t="s">
        <v>25</v>
      </c>
      <c r="J1380">
        <v>4</v>
      </c>
      <c r="K1380" t="s">
        <v>17</v>
      </c>
      <c r="L1380">
        <v>139588</v>
      </c>
      <c r="M1380">
        <v>3.58</v>
      </c>
      <c r="N1380" s="6">
        <f t="shared" si="21"/>
        <v>15154783004.6</v>
      </c>
    </row>
    <row r="1381" spans="1:14" x14ac:dyDescent="0.35">
      <c r="A1381" t="s">
        <v>75</v>
      </c>
      <c r="B1381" t="s">
        <v>76</v>
      </c>
      <c r="C1381">
        <v>2025</v>
      </c>
      <c r="D1381" t="s">
        <v>38</v>
      </c>
      <c r="E1381">
        <v>79068.679999999993</v>
      </c>
      <c r="F1381">
        <v>62.9</v>
      </c>
      <c r="G1381">
        <v>236</v>
      </c>
      <c r="H1381">
        <v>146</v>
      </c>
      <c r="I1381" t="s">
        <v>21</v>
      </c>
      <c r="J1381">
        <v>5</v>
      </c>
      <c r="K1381" t="s">
        <v>20</v>
      </c>
      <c r="L1381">
        <v>25139</v>
      </c>
      <c r="M1381">
        <v>3.32</v>
      </c>
      <c r="N1381" s="6">
        <f t="shared" si="21"/>
        <v>1987707546.5199997</v>
      </c>
    </row>
    <row r="1382" spans="1:14" x14ac:dyDescent="0.35">
      <c r="A1382" t="s">
        <v>29</v>
      </c>
      <c r="B1382" t="s">
        <v>30</v>
      </c>
      <c r="C1382">
        <v>2025</v>
      </c>
      <c r="D1382" t="s">
        <v>38</v>
      </c>
      <c r="E1382">
        <v>38136.97</v>
      </c>
      <c r="F1382">
        <v>76</v>
      </c>
      <c r="G1382">
        <v>284</v>
      </c>
      <c r="H1382">
        <v>142</v>
      </c>
      <c r="I1382" t="s">
        <v>40</v>
      </c>
      <c r="J1382">
        <v>5</v>
      </c>
      <c r="K1382" t="s">
        <v>22</v>
      </c>
      <c r="L1382">
        <v>113015</v>
      </c>
      <c r="M1382">
        <v>3.93</v>
      </c>
      <c r="N1382" s="6">
        <f t="shared" si="21"/>
        <v>4310049664.5500002</v>
      </c>
    </row>
    <row r="1383" spans="1:14" x14ac:dyDescent="0.35">
      <c r="A1383" t="s">
        <v>13</v>
      </c>
      <c r="B1383" t="s">
        <v>14</v>
      </c>
      <c r="C1383">
        <v>2025</v>
      </c>
      <c r="D1383" t="s">
        <v>20</v>
      </c>
      <c r="E1383">
        <v>45327.13</v>
      </c>
      <c r="F1383">
        <v>67.8</v>
      </c>
      <c r="G1383">
        <v>261</v>
      </c>
      <c r="H1383">
        <v>132</v>
      </c>
      <c r="I1383" t="s">
        <v>33</v>
      </c>
      <c r="J1383">
        <v>4</v>
      </c>
      <c r="K1383" t="s">
        <v>22</v>
      </c>
      <c r="L1383">
        <v>299882</v>
      </c>
      <c r="M1383">
        <v>3.61</v>
      </c>
      <c r="N1383" s="6">
        <f t="shared" si="21"/>
        <v>13592790398.66</v>
      </c>
    </row>
    <row r="1384" spans="1:14" x14ac:dyDescent="0.35">
      <c r="A1384" t="s">
        <v>80</v>
      </c>
      <c r="B1384" t="s">
        <v>81</v>
      </c>
      <c r="C1384">
        <v>2025</v>
      </c>
      <c r="D1384" t="s">
        <v>43</v>
      </c>
      <c r="E1384">
        <v>185796.61</v>
      </c>
      <c r="F1384">
        <v>78.099999999999994</v>
      </c>
      <c r="G1384">
        <v>296</v>
      </c>
      <c r="H1384">
        <v>148</v>
      </c>
      <c r="I1384" t="s">
        <v>33</v>
      </c>
      <c r="J1384">
        <v>4</v>
      </c>
      <c r="K1384" t="s">
        <v>17</v>
      </c>
      <c r="L1384">
        <v>21608</v>
      </c>
      <c r="M1384">
        <v>3.85</v>
      </c>
      <c r="N1384" s="6">
        <f t="shared" si="21"/>
        <v>4014693148.8799996</v>
      </c>
    </row>
    <row r="1385" spans="1:14" x14ac:dyDescent="0.35">
      <c r="A1385" t="s">
        <v>34</v>
      </c>
      <c r="B1385" t="s">
        <v>44</v>
      </c>
      <c r="C1385">
        <v>2025</v>
      </c>
      <c r="D1385" t="s">
        <v>28</v>
      </c>
      <c r="E1385">
        <v>94596.53</v>
      </c>
      <c r="F1385">
        <v>77.5</v>
      </c>
      <c r="G1385">
        <v>267</v>
      </c>
      <c r="H1385">
        <v>167</v>
      </c>
      <c r="I1385" t="s">
        <v>33</v>
      </c>
      <c r="J1385">
        <v>5</v>
      </c>
      <c r="K1385" t="s">
        <v>20</v>
      </c>
      <c r="L1385">
        <v>48573</v>
      </c>
      <c r="M1385">
        <v>3.82</v>
      </c>
      <c r="N1385" s="6">
        <f t="shared" si="21"/>
        <v>4594837251.6899996</v>
      </c>
    </row>
    <row r="1386" spans="1:14" x14ac:dyDescent="0.35">
      <c r="A1386" t="s">
        <v>75</v>
      </c>
      <c r="B1386" t="s">
        <v>101</v>
      </c>
      <c r="C1386">
        <v>2025</v>
      </c>
      <c r="D1386" t="s">
        <v>38</v>
      </c>
      <c r="E1386">
        <v>79447.62</v>
      </c>
      <c r="F1386">
        <v>60.5</v>
      </c>
      <c r="G1386">
        <v>184</v>
      </c>
      <c r="H1386">
        <v>158</v>
      </c>
      <c r="I1386" t="s">
        <v>16</v>
      </c>
      <c r="J1386">
        <v>5</v>
      </c>
      <c r="K1386" t="s">
        <v>20</v>
      </c>
      <c r="L1386">
        <v>21177</v>
      </c>
      <c r="M1386">
        <v>3.42</v>
      </c>
      <c r="N1386" s="6">
        <f t="shared" si="21"/>
        <v>1682462248.74</v>
      </c>
    </row>
    <row r="1387" spans="1:14" x14ac:dyDescent="0.35">
      <c r="A1387" t="s">
        <v>49</v>
      </c>
      <c r="B1387" t="s">
        <v>90</v>
      </c>
      <c r="C1387">
        <v>2025</v>
      </c>
      <c r="D1387" t="s">
        <v>43</v>
      </c>
      <c r="E1387">
        <v>30172.57</v>
      </c>
      <c r="F1387">
        <v>82.9</v>
      </c>
      <c r="G1387">
        <v>283</v>
      </c>
      <c r="H1387">
        <v>137</v>
      </c>
      <c r="I1387" t="s">
        <v>16</v>
      </c>
      <c r="J1387">
        <v>3</v>
      </c>
      <c r="K1387" t="s">
        <v>47</v>
      </c>
      <c r="L1387">
        <v>76614</v>
      </c>
      <c r="M1387">
        <v>3.55</v>
      </c>
      <c r="N1387" s="6">
        <f t="shared" si="21"/>
        <v>2311641277.98</v>
      </c>
    </row>
    <row r="1388" spans="1:14" x14ac:dyDescent="0.35">
      <c r="A1388" t="s">
        <v>49</v>
      </c>
      <c r="B1388" t="s">
        <v>87</v>
      </c>
      <c r="C1388">
        <v>2025</v>
      </c>
      <c r="D1388" t="s">
        <v>28</v>
      </c>
      <c r="E1388">
        <v>50915.71</v>
      </c>
      <c r="F1388">
        <v>81</v>
      </c>
      <c r="G1388">
        <v>278</v>
      </c>
      <c r="H1388">
        <v>183</v>
      </c>
      <c r="I1388" t="s">
        <v>40</v>
      </c>
      <c r="J1388">
        <v>3</v>
      </c>
      <c r="K1388" t="s">
        <v>22</v>
      </c>
      <c r="L1388">
        <v>54316</v>
      </c>
      <c r="M1388">
        <v>3.5</v>
      </c>
      <c r="N1388" s="6">
        <f t="shared" si="21"/>
        <v>2765537704.3600001</v>
      </c>
    </row>
    <row r="1389" spans="1:14" x14ac:dyDescent="0.35">
      <c r="A1389" t="s">
        <v>45</v>
      </c>
      <c r="B1389" t="s">
        <v>48</v>
      </c>
      <c r="C1389">
        <v>2025</v>
      </c>
      <c r="D1389" t="s">
        <v>28</v>
      </c>
      <c r="E1389">
        <v>99107.520000000004</v>
      </c>
      <c r="F1389">
        <v>98.9</v>
      </c>
      <c r="G1389">
        <v>347</v>
      </c>
      <c r="H1389">
        <v>177</v>
      </c>
      <c r="I1389" t="s">
        <v>32</v>
      </c>
      <c r="J1389">
        <v>5</v>
      </c>
      <c r="K1389" t="s">
        <v>20</v>
      </c>
      <c r="L1389">
        <v>190865</v>
      </c>
      <c r="M1389">
        <v>3.32</v>
      </c>
      <c r="N1389" s="6">
        <f t="shared" si="21"/>
        <v>18916156804.799999</v>
      </c>
    </row>
    <row r="1390" spans="1:14" x14ac:dyDescent="0.35">
      <c r="A1390" t="s">
        <v>23</v>
      </c>
      <c r="B1390" t="s">
        <v>24</v>
      </c>
      <c r="C1390">
        <v>2025</v>
      </c>
      <c r="D1390" t="s">
        <v>38</v>
      </c>
      <c r="E1390">
        <v>60512.959999999999</v>
      </c>
      <c r="F1390">
        <v>58.6</v>
      </c>
      <c r="G1390">
        <v>258</v>
      </c>
      <c r="H1390">
        <v>146</v>
      </c>
      <c r="I1390" t="s">
        <v>32</v>
      </c>
      <c r="J1390">
        <v>5</v>
      </c>
      <c r="K1390" t="s">
        <v>22</v>
      </c>
      <c r="L1390">
        <v>12934</v>
      </c>
      <c r="M1390">
        <v>3.42</v>
      </c>
      <c r="N1390" s="6">
        <f t="shared" si="21"/>
        <v>782674624.63999999</v>
      </c>
    </row>
    <row r="1391" spans="1:14" x14ac:dyDescent="0.35">
      <c r="A1391" t="s">
        <v>29</v>
      </c>
      <c r="B1391" t="s">
        <v>39</v>
      </c>
      <c r="C1391">
        <v>2025</v>
      </c>
      <c r="D1391" t="s">
        <v>15</v>
      </c>
      <c r="E1391">
        <v>68593.72</v>
      </c>
      <c r="F1391">
        <v>107.6</v>
      </c>
      <c r="G1391">
        <v>361</v>
      </c>
      <c r="H1391">
        <v>192</v>
      </c>
      <c r="I1391" t="s">
        <v>33</v>
      </c>
      <c r="J1391">
        <v>5</v>
      </c>
      <c r="K1391" t="s">
        <v>20</v>
      </c>
      <c r="L1391">
        <v>245974</v>
      </c>
      <c r="M1391">
        <v>4.2300000000000004</v>
      </c>
      <c r="N1391" s="6">
        <f t="shared" si="21"/>
        <v>16872271683.280001</v>
      </c>
    </row>
    <row r="1392" spans="1:14" x14ac:dyDescent="0.35">
      <c r="A1392" t="s">
        <v>29</v>
      </c>
      <c r="B1392" t="s">
        <v>53</v>
      </c>
      <c r="C1392">
        <v>2025</v>
      </c>
      <c r="D1392" t="s">
        <v>43</v>
      </c>
      <c r="E1392">
        <v>61013.48</v>
      </c>
      <c r="F1392">
        <v>45.2</v>
      </c>
      <c r="G1392">
        <v>156</v>
      </c>
      <c r="H1392">
        <v>151</v>
      </c>
      <c r="I1392" t="s">
        <v>16</v>
      </c>
      <c r="J1392">
        <v>3</v>
      </c>
      <c r="K1392" t="s">
        <v>22</v>
      </c>
      <c r="L1392">
        <v>132800</v>
      </c>
      <c r="M1392">
        <v>3.35</v>
      </c>
      <c r="N1392" s="6">
        <f t="shared" si="21"/>
        <v>8102590144</v>
      </c>
    </row>
    <row r="1393" spans="1:14" x14ac:dyDescent="0.35">
      <c r="A1393" t="s">
        <v>49</v>
      </c>
      <c r="B1393" t="s">
        <v>87</v>
      </c>
      <c r="C1393">
        <v>2025</v>
      </c>
      <c r="D1393" t="s">
        <v>38</v>
      </c>
      <c r="E1393">
        <v>68602.240000000005</v>
      </c>
      <c r="F1393">
        <v>75.7</v>
      </c>
      <c r="G1393">
        <v>260</v>
      </c>
      <c r="H1393">
        <v>164</v>
      </c>
      <c r="I1393" t="s">
        <v>21</v>
      </c>
      <c r="J1393">
        <v>5</v>
      </c>
      <c r="K1393" t="s">
        <v>20</v>
      </c>
      <c r="L1393">
        <v>109721</v>
      </c>
      <c r="M1393">
        <v>3.31</v>
      </c>
      <c r="N1393" s="6">
        <f t="shared" si="21"/>
        <v>7527106375.0400009</v>
      </c>
    </row>
    <row r="1394" spans="1:14" x14ac:dyDescent="0.35">
      <c r="A1394" t="s">
        <v>26</v>
      </c>
      <c r="B1394" t="s">
        <v>36</v>
      </c>
      <c r="C1394">
        <v>2025</v>
      </c>
      <c r="D1394" t="s">
        <v>20</v>
      </c>
      <c r="E1394">
        <v>64726.92</v>
      </c>
      <c r="F1394">
        <v>52.3</v>
      </c>
      <c r="G1394">
        <v>203</v>
      </c>
      <c r="H1394">
        <v>136</v>
      </c>
      <c r="I1394" t="s">
        <v>16</v>
      </c>
      <c r="J1394">
        <v>5</v>
      </c>
      <c r="K1394" t="s">
        <v>22</v>
      </c>
      <c r="L1394">
        <v>135916</v>
      </c>
      <c r="M1394">
        <v>3.12</v>
      </c>
      <c r="N1394" s="6">
        <f t="shared" si="21"/>
        <v>8797424058.7199993</v>
      </c>
    </row>
    <row r="1395" spans="1:14" x14ac:dyDescent="0.35">
      <c r="A1395" t="s">
        <v>64</v>
      </c>
      <c r="B1395" t="s">
        <v>70</v>
      </c>
      <c r="C1395">
        <v>2025</v>
      </c>
      <c r="D1395" t="s">
        <v>38</v>
      </c>
      <c r="E1395">
        <v>93156.19</v>
      </c>
      <c r="F1395">
        <v>74.599999999999994</v>
      </c>
      <c r="G1395">
        <v>254</v>
      </c>
      <c r="H1395">
        <v>143</v>
      </c>
      <c r="I1395" t="s">
        <v>25</v>
      </c>
      <c r="J1395">
        <v>4</v>
      </c>
      <c r="K1395" t="s">
        <v>20</v>
      </c>
      <c r="L1395">
        <v>71204</v>
      </c>
      <c r="M1395">
        <v>3.55</v>
      </c>
      <c r="N1395" s="6">
        <f t="shared" si="21"/>
        <v>6633093352.7600002</v>
      </c>
    </row>
    <row r="1396" spans="1:14" x14ac:dyDescent="0.35">
      <c r="A1396" t="s">
        <v>13</v>
      </c>
      <c r="B1396" t="s">
        <v>51</v>
      </c>
      <c r="C1396">
        <v>2025</v>
      </c>
      <c r="D1396" t="s">
        <v>38</v>
      </c>
      <c r="E1396">
        <v>78698.7</v>
      </c>
      <c r="F1396">
        <v>67.400000000000006</v>
      </c>
      <c r="G1396">
        <v>200</v>
      </c>
      <c r="H1396">
        <v>164</v>
      </c>
      <c r="I1396" t="s">
        <v>33</v>
      </c>
      <c r="J1396">
        <v>5</v>
      </c>
      <c r="K1396" t="s">
        <v>20</v>
      </c>
      <c r="L1396">
        <v>200182</v>
      </c>
      <c r="M1396">
        <v>3.41</v>
      </c>
      <c r="N1396" s="6">
        <f t="shared" si="21"/>
        <v>15754063163.4</v>
      </c>
    </row>
    <row r="1397" spans="1:14" x14ac:dyDescent="0.35">
      <c r="A1397" t="s">
        <v>26</v>
      </c>
      <c r="B1397" t="s">
        <v>96</v>
      </c>
      <c r="C1397">
        <v>2025</v>
      </c>
      <c r="D1397" t="s">
        <v>38</v>
      </c>
      <c r="E1397">
        <v>60524.160000000003</v>
      </c>
      <c r="F1397">
        <v>58.8</v>
      </c>
      <c r="G1397">
        <v>217</v>
      </c>
      <c r="H1397">
        <v>148</v>
      </c>
      <c r="I1397" t="s">
        <v>33</v>
      </c>
      <c r="J1397">
        <v>4</v>
      </c>
      <c r="K1397" t="s">
        <v>22</v>
      </c>
      <c r="L1397">
        <v>105178</v>
      </c>
      <c r="M1397">
        <v>3.37</v>
      </c>
      <c r="N1397" s="6">
        <f t="shared" si="21"/>
        <v>6365810100.4800005</v>
      </c>
    </row>
    <row r="1398" spans="1:14" x14ac:dyDescent="0.35">
      <c r="A1398" t="s">
        <v>49</v>
      </c>
      <c r="B1398" t="s">
        <v>87</v>
      </c>
      <c r="C1398">
        <v>2025</v>
      </c>
      <c r="D1398" t="s">
        <v>38</v>
      </c>
      <c r="E1398">
        <v>46385.14</v>
      </c>
      <c r="F1398">
        <v>84.1</v>
      </c>
      <c r="G1398">
        <v>301</v>
      </c>
      <c r="H1398">
        <v>148</v>
      </c>
      <c r="I1398" t="s">
        <v>16</v>
      </c>
      <c r="J1398">
        <v>4</v>
      </c>
      <c r="K1398" t="s">
        <v>22</v>
      </c>
      <c r="L1398">
        <v>58564</v>
      </c>
      <c r="M1398">
        <v>3.62</v>
      </c>
      <c r="N1398" s="6">
        <f t="shared" si="21"/>
        <v>2716499338.96</v>
      </c>
    </row>
    <row r="1399" spans="1:14" x14ac:dyDescent="0.35">
      <c r="A1399" t="s">
        <v>57</v>
      </c>
      <c r="B1399" t="s">
        <v>79</v>
      </c>
      <c r="C1399">
        <v>2025</v>
      </c>
      <c r="D1399" t="s">
        <v>15</v>
      </c>
      <c r="E1399">
        <v>106247.4</v>
      </c>
      <c r="F1399">
        <v>72.900000000000006</v>
      </c>
      <c r="G1399">
        <v>277</v>
      </c>
      <c r="H1399">
        <v>200</v>
      </c>
      <c r="I1399" t="s">
        <v>33</v>
      </c>
      <c r="J1399">
        <v>5</v>
      </c>
      <c r="K1399" t="s">
        <v>17</v>
      </c>
      <c r="L1399">
        <v>49209</v>
      </c>
      <c r="M1399">
        <v>3.4</v>
      </c>
      <c r="N1399" s="6">
        <f t="shared" si="21"/>
        <v>5228328306.5999994</v>
      </c>
    </row>
    <row r="1400" spans="1:14" x14ac:dyDescent="0.35">
      <c r="A1400" t="s">
        <v>49</v>
      </c>
      <c r="B1400" t="s">
        <v>71</v>
      </c>
      <c r="C1400">
        <v>2025</v>
      </c>
      <c r="D1400" t="s">
        <v>28</v>
      </c>
      <c r="E1400">
        <v>74693.36</v>
      </c>
      <c r="F1400">
        <v>95.4</v>
      </c>
      <c r="G1400">
        <v>340</v>
      </c>
      <c r="H1400">
        <v>186</v>
      </c>
      <c r="I1400" t="s">
        <v>32</v>
      </c>
      <c r="J1400">
        <v>5</v>
      </c>
      <c r="K1400" t="s">
        <v>20</v>
      </c>
      <c r="L1400">
        <v>138161</v>
      </c>
      <c r="M1400">
        <v>3.52</v>
      </c>
      <c r="N1400" s="6">
        <f t="shared" si="21"/>
        <v>10319709310.960001</v>
      </c>
    </row>
    <row r="1401" spans="1:14" x14ac:dyDescent="0.35">
      <c r="A1401" t="s">
        <v>13</v>
      </c>
      <c r="B1401" t="s">
        <v>55</v>
      </c>
      <c r="C1401">
        <v>2025</v>
      </c>
      <c r="D1401" t="s">
        <v>43</v>
      </c>
      <c r="E1401">
        <v>60218.55</v>
      </c>
      <c r="F1401">
        <v>82.8</v>
      </c>
      <c r="G1401">
        <v>240</v>
      </c>
      <c r="H1401">
        <v>163</v>
      </c>
      <c r="I1401" t="s">
        <v>25</v>
      </c>
      <c r="J1401">
        <v>5</v>
      </c>
      <c r="K1401" t="s">
        <v>22</v>
      </c>
      <c r="L1401">
        <v>290126</v>
      </c>
      <c r="M1401">
        <v>3.59</v>
      </c>
      <c r="N1401" s="6">
        <f t="shared" si="21"/>
        <v>17470967037.299999</v>
      </c>
    </row>
    <row r="1402" spans="1:14" x14ac:dyDescent="0.35">
      <c r="A1402" t="s">
        <v>29</v>
      </c>
      <c r="B1402" t="s">
        <v>30</v>
      </c>
      <c r="C1402">
        <v>2025</v>
      </c>
      <c r="D1402" t="s">
        <v>15</v>
      </c>
      <c r="E1402">
        <v>58452.94</v>
      </c>
      <c r="F1402">
        <v>77.2</v>
      </c>
      <c r="G1402">
        <v>274</v>
      </c>
      <c r="H1402">
        <v>183</v>
      </c>
      <c r="I1402" t="s">
        <v>25</v>
      </c>
      <c r="J1402">
        <v>3</v>
      </c>
      <c r="K1402" t="s">
        <v>22</v>
      </c>
      <c r="L1402">
        <v>216013</v>
      </c>
      <c r="M1402">
        <v>3.86</v>
      </c>
      <c r="N1402" s="6">
        <f t="shared" si="21"/>
        <v>12626594928.220001</v>
      </c>
    </row>
    <row r="1403" spans="1:14" x14ac:dyDescent="0.35">
      <c r="A1403" t="s">
        <v>45</v>
      </c>
      <c r="B1403" t="s">
        <v>77</v>
      </c>
      <c r="C1403">
        <v>2025</v>
      </c>
      <c r="D1403" t="s">
        <v>43</v>
      </c>
      <c r="E1403">
        <v>82759.69</v>
      </c>
      <c r="F1403">
        <v>73.3</v>
      </c>
      <c r="G1403">
        <v>235</v>
      </c>
      <c r="H1403">
        <v>151</v>
      </c>
      <c r="I1403" t="s">
        <v>21</v>
      </c>
      <c r="J1403">
        <v>3</v>
      </c>
      <c r="K1403" t="s">
        <v>20</v>
      </c>
      <c r="L1403">
        <v>125776</v>
      </c>
      <c r="M1403">
        <v>3.36</v>
      </c>
      <c r="N1403" s="6">
        <f t="shared" si="21"/>
        <v>10409182769.440001</v>
      </c>
    </row>
    <row r="1404" spans="1:14" x14ac:dyDescent="0.35">
      <c r="A1404" t="s">
        <v>13</v>
      </c>
      <c r="B1404" t="s">
        <v>51</v>
      </c>
      <c r="C1404">
        <v>2025</v>
      </c>
      <c r="D1404" t="s">
        <v>38</v>
      </c>
      <c r="E1404">
        <v>65061.9</v>
      </c>
      <c r="F1404">
        <v>65.099999999999994</v>
      </c>
      <c r="G1404">
        <v>212</v>
      </c>
      <c r="H1404">
        <v>137</v>
      </c>
      <c r="I1404" t="s">
        <v>33</v>
      </c>
      <c r="J1404">
        <v>5</v>
      </c>
      <c r="K1404" t="s">
        <v>20</v>
      </c>
      <c r="L1404">
        <v>282957</v>
      </c>
      <c r="M1404">
        <v>3.68</v>
      </c>
      <c r="N1404" s="6">
        <f t="shared" si="21"/>
        <v>18409720038.299999</v>
      </c>
    </row>
    <row r="1405" spans="1:14" x14ac:dyDescent="0.35">
      <c r="A1405" t="s">
        <v>23</v>
      </c>
      <c r="B1405" t="s">
        <v>24</v>
      </c>
      <c r="C1405">
        <v>2025</v>
      </c>
      <c r="D1405" t="s">
        <v>15</v>
      </c>
      <c r="E1405">
        <v>60210.65</v>
      </c>
      <c r="F1405">
        <v>70.400000000000006</v>
      </c>
      <c r="G1405">
        <v>258</v>
      </c>
      <c r="H1405">
        <v>200</v>
      </c>
      <c r="I1405" t="s">
        <v>33</v>
      </c>
      <c r="J1405">
        <v>4</v>
      </c>
      <c r="K1405" t="s">
        <v>22</v>
      </c>
      <c r="L1405">
        <v>23288</v>
      </c>
      <c r="M1405">
        <v>3.63</v>
      </c>
      <c r="N1405" s="6">
        <f t="shared" si="21"/>
        <v>1402185617.2</v>
      </c>
    </row>
    <row r="1406" spans="1:14" x14ac:dyDescent="0.35">
      <c r="A1406" t="s">
        <v>29</v>
      </c>
      <c r="B1406" t="s">
        <v>39</v>
      </c>
      <c r="C1406">
        <v>2025</v>
      </c>
      <c r="D1406" t="s">
        <v>15</v>
      </c>
      <c r="E1406">
        <v>140244.92000000001</v>
      </c>
      <c r="F1406">
        <v>75.7</v>
      </c>
      <c r="G1406">
        <v>265</v>
      </c>
      <c r="H1406">
        <v>187</v>
      </c>
      <c r="I1406" t="s">
        <v>40</v>
      </c>
      <c r="J1406">
        <v>5</v>
      </c>
      <c r="K1406" t="s">
        <v>17</v>
      </c>
      <c r="L1406">
        <v>186365</v>
      </c>
      <c r="M1406">
        <v>3.84</v>
      </c>
      <c r="N1406" s="6">
        <f t="shared" si="21"/>
        <v>26136744515.800003</v>
      </c>
    </row>
    <row r="1407" spans="1:14" x14ac:dyDescent="0.35">
      <c r="A1407" t="s">
        <v>45</v>
      </c>
      <c r="B1407" t="s">
        <v>46</v>
      </c>
      <c r="C1407">
        <v>2025</v>
      </c>
      <c r="D1407" t="s">
        <v>38</v>
      </c>
      <c r="E1407">
        <v>31665.46</v>
      </c>
      <c r="F1407">
        <v>68.3</v>
      </c>
      <c r="G1407">
        <v>217</v>
      </c>
      <c r="H1407">
        <v>171</v>
      </c>
      <c r="I1407" t="s">
        <v>25</v>
      </c>
      <c r="J1407">
        <v>5</v>
      </c>
      <c r="K1407" t="s">
        <v>47</v>
      </c>
      <c r="L1407">
        <v>162790</v>
      </c>
      <c r="M1407">
        <v>3.33</v>
      </c>
      <c r="N1407" s="6">
        <f t="shared" si="21"/>
        <v>5154820233.3999996</v>
      </c>
    </row>
    <row r="1408" spans="1:14" x14ac:dyDescent="0.35">
      <c r="A1408" t="s">
        <v>29</v>
      </c>
      <c r="B1408" t="s">
        <v>30</v>
      </c>
      <c r="C1408">
        <v>2025</v>
      </c>
      <c r="D1408" t="s">
        <v>28</v>
      </c>
      <c r="E1408">
        <v>91388.05</v>
      </c>
      <c r="F1408">
        <v>100.1</v>
      </c>
      <c r="G1408">
        <v>350</v>
      </c>
      <c r="H1408">
        <v>168</v>
      </c>
      <c r="I1408" t="s">
        <v>40</v>
      </c>
      <c r="J1408">
        <v>4</v>
      </c>
      <c r="K1408" t="s">
        <v>20</v>
      </c>
      <c r="L1408">
        <v>148700</v>
      </c>
      <c r="M1408">
        <v>3.99</v>
      </c>
      <c r="N1408" s="6">
        <f t="shared" si="21"/>
        <v>13589403035</v>
      </c>
    </row>
    <row r="1409" spans="1:14" x14ac:dyDescent="0.35">
      <c r="A1409" t="s">
        <v>34</v>
      </c>
      <c r="B1409" t="s">
        <v>35</v>
      </c>
      <c r="C1409">
        <v>2025</v>
      </c>
      <c r="D1409" t="s">
        <v>38</v>
      </c>
      <c r="E1409">
        <v>136918.85</v>
      </c>
      <c r="F1409">
        <v>55.5</v>
      </c>
      <c r="G1409">
        <v>195</v>
      </c>
      <c r="H1409">
        <v>148</v>
      </c>
      <c r="I1409" t="s">
        <v>33</v>
      </c>
      <c r="J1409">
        <v>5</v>
      </c>
      <c r="K1409" t="s">
        <v>17</v>
      </c>
      <c r="L1409">
        <v>59537</v>
      </c>
      <c r="M1409">
        <v>3.51</v>
      </c>
      <c r="N1409" s="6">
        <f t="shared" si="21"/>
        <v>8151737572.4500008</v>
      </c>
    </row>
    <row r="1410" spans="1:14" x14ac:dyDescent="0.35">
      <c r="A1410" t="s">
        <v>13</v>
      </c>
      <c r="B1410" t="s">
        <v>56</v>
      </c>
      <c r="C1410">
        <v>2025</v>
      </c>
      <c r="D1410" t="s">
        <v>15</v>
      </c>
      <c r="E1410">
        <v>68256.27</v>
      </c>
      <c r="F1410">
        <v>92.8</v>
      </c>
      <c r="G1410">
        <v>334</v>
      </c>
      <c r="H1410">
        <v>182</v>
      </c>
      <c r="I1410" t="s">
        <v>40</v>
      </c>
      <c r="J1410">
        <v>5</v>
      </c>
      <c r="K1410" t="s">
        <v>20</v>
      </c>
      <c r="L1410">
        <v>215601</v>
      </c>
      <c r="M1410">
        <v>3.82</v>
      </c>
      <c r="N1410" s="6">
        <f t="shared" ref="N1410:N1473" si="22">E1410*L1410</f>
        <v>14716120068.27</v>
      </c>
    </row>
    <row r="1411" spans="1:14" x14ac:dyDescent="0.35">
      <c r="A1411" t="s">
        <v>64</v>
      </c>
      <c r="B1411" t="s">
        <v>70</v>
      </c>
      <c r="C1411">
        <v>2025</v>
      </c>
      <c r="D1411" t="s">
        <v>20</v>
      </c>
      <c r="E1411">
        <v>127970.02</v>
      </c>
      <c r="F1411">
        <v>52.7</v>
      </c>
      <c r="G1411">
        <v>181</v>
      </c>
      <c r="H1411">
        <v>171</v>
      </c>
      <c r="I1411" t="s">
        <v>33</v>
      </c>
      <c r="J1411">
        <v>5</v>
      </c>
      <c r="K1411" t="s">
        <v>17</v>
      </c>
      <c r="L1411">
        <v>25659</v>
      </c>
      <c r="M1411">
        <v>3.39</v>
      </c>
      <c r="N1411" s="6">
        <f t="shared" si="22"/>
        <v>3283582743.1800003</v>
      </c>
    </row>
    <row r="1412" spans="1:14" x14ac:dyDescent="0.35">
      <c r="A1412" t="s">
        <v>29</v>
      </c>
      <c r="B1412" t="s">
        <v>59</v>
      </c>
      <c r="C1412">
        <v>2025</v>
      </c>
      <c r="D1412" t="s">
        <v>15</v>
      </c>
      <c r="E1412">
        <v>40997.300000000003</v>
      </c>
      <c r="F1412">
        <v>73.3</v>
      </c>
      <c r="G1412">
        <v>261</v>
      </c>
      <c r="H1412">
        <v>198</v>
      </c>
      <c r="I1412" t="s">
        <v>40</v>
      </c>
      <c r="J1412">
        <v>5</v>
      </c>
      <c r="K1412" t="s">
        <v>22</v>
      </c>
      <c r="L1412">
        <v>192699</v>
      </c>
      <c r="M1412">
        <v>3.73</v>
      </c>
      <c r="N1412" s="6">
        <f t="shared" si="22"/>
        <v>7900138712.7000008</v>
      </c>
    </row>
    <row r="1413" spans="1:14" x14ac:dyDescent="0.35">
      <c r="A1413" t="s">
        <v>29</v>
      </c>
      <c r="B1413" t="s">
        <v>59</v>
      </c>
      <c r="C1413">
        <v>2025</v>
      </c>
      <c r="D1413" t="s">
        <v>38</v>
      </c>
      <c r="E1413">
        <v>76806.22</v>
      </c>
      <c r="F1413">
        <v>41.8</v>
      </c>
      <c r="G1413">
        <v>166</v>
      </c>
      <c r="H1413">
        <v>152</v>
      </c>
      <c r="I1413" t="s">
        <v>40</v>
      </c>
      <c r="J1413">
        <v>5</v>
      </c>
      <c r="K1413" t="s">
        <v>20</v>
      </c>
      <c r="L1413">
        <v>136111</v>
      </c>
      <c r="M1413">
        <v>3.64</v>
      </c>
      <c r="N1413" s="6">
        <f t="shared" si="22"/>
        <v>10454171410.42</v>
      </c>
    </row>
    <row r="1414" spans="1:14" x14ac:dyDescent="0.35">
      <c r="A1414" t="s">
        <v>29</v>
      </c>
      <c r="B1414" t="s">
        <v>53</v>
      </c>
      <c r="C1414">
        <v>2025</v>
      </c>
      <c r="D1414" t="s">
        <v>38</v>
      </c>
      <c r="E1414">
        <v>96810.26</v>
      </c>
      <c r="F1414">
        <v>47.9</v>
      </c>
      <c r="G1414">
        <v>153</v>
      </c>
      <c r="H1414">
        <v>146</v>
      </c>
      <c r="I1414" t="s">
        <v>16</v>
      </c>
      <c r="J1414">
        <v>4</v>
      </c>
      <c r="K1414" t="s">
        <v>20</v>
      </c>
      <c r="L1414">
        <v>113593</v>
      </c>
      <c r="M1414">
        <v>3.86</v>
      </c>
      <c r="N1414" s="6">
        <f t="shared" si="22"/>
        <v>10996967864.18</v>
      </c>
    </row>
    <row r="1415" spans="1:14" x14ac:dyDescent="0.35">
      <c r="A1415" t="s">
        <v>13</v>
      </c>
      <c r="B1415" t="s">
        <v>66</v>
      </c>
      <c r="C1415">
        <v>2025</v>
      </c>
      <c r="D1415" t="s">
        <v>38</v>
      </c>
      <c r="E1415">
        <v>47861.91</v>
      </c>
      <c r="F1415">
        <v>65.3</v>
      </c>
      <c r="G1415">
        <v>231</v>
      </c>
      <c r="H1415">
        <v>161</v>
      </c>
      <c r="I1415" t="s">
        <v>40</v>
      </c>
      <c r="J1415">
        <v>3</v>
      </c>
      <c r="K1415" t="s">
        <v>22</v>
      </c>
      <c r="L1415">
        <v>247700</v>
      </c>
      <c r="M1415">
        <v>3.21</v>
      </c>
      <c r="N1415" s="6">
        <f t="shared" si="22"/>
        <v>11855395107</v>
      </c>
    </row>
    <row r="1416" spans="1:14" x14ac:dyDescent="0.35">
      <c r="A1416" t="s">
        <v>67</v>
      </c>
      <c r="B1416" t="s">
        <v>98</v>
      </c>
      <c r="C1416">
        <v>2025</v>
      </c>
      <c r="D1416" t="s">
        <v>38</v>
      </c>
      <c r="E1416">
        <v>84123.81</v>
      </c>
      <c r="F1416">
        <v>68.5</v>
      </c>
      <c r="G1416">
        <v>247</v>
      </c>
      <c r="H1416">
        <v>149</v>
      </c>
      <c r="I1416" t="s">
        <v>32</v>
      </c>
      <c r="J1416">
        <v>4</v>
      </c>
      <c r="K1416" t="s">
        <v>20</v>
      </c>
      <c r="L1416">
        <v>60155</v>
      </c>
      <c r="M1416">
        <v>3.29</v>
      </c>
      <c r="N1416" s="6">
        <f t="shared" si="22"/>
        <v>5060467790.5500002</v>
      </c>
    </row>
    <row r="1417" spans="1:14" x14ac:dyDescent="0.35">
      <c r="A1417" t="s">
        <v>57</v>
      </c>
      <c r="B1417" t="s">
        <v>58</v>
      </c>
      <c r="C1417">
        <v>2025</v>
      </c>
      <c r="D1417" t="s">
        <v>15</v>
      </c>
      <c r="E1417">
        <v>60546.720000000001</v>
      </c>
      <c r="F1417">
        <v>113</v>
      </c>
      <c r="G1417">
        <v>423</v>
      </c>
      <c r="H1417">
        <v>200</v>
      </c>
      <c r="I1417" t="s">
        <v>33</v>
      </c>
      <c r="J1417">
        <v>3</v>
      </c>
      <c r="K1417" t="s">
        <v>22</v>
      </c>
      <c r="L1417">
        <v>27560</v>
      </c>
      <c r="M1417">
        <v>3.76</v>
      </c>
      <c r="N1417" s="6">
        <f t="shared" si="22"/>
        <v>1668667603.2</v>
      </c>
    </row>
    <row r="1418" spans="1:14" x14ac:dyDescent="0.35">
      <c r="A1418" t="s">
        <v>29</v>
      </c>
      <c r="B1418" t="s">
        <v>53</v>
      </c>
      <c r="C1418">
        <v>2025</v>
      </c>
      <c r="D1418" t="s">
        <v>20</v>
      </c>
      <c r="E1418">
        <v>170547.81</v>
      </c>
      <c r="F1418">
        <v>44.5</v>
      </c>
      <c r="G1418">
        <v>153</v>
      </c>
      <c r="H1418">
        <v>132</v>
      </c>
      <c r="I1418" t="s">
        <v>16</v>
      </c>
      <c r="J1418">
        <v>4</v>
      </c>
      <c r="K1418" t="s">
        <v>17</v>
      </c>
      <c r="L1418">
        <v>192321</v>
      </c>
      <c r="M1418">
        <v>3.6</v>
      </c>
      <c r="N1418" s="6">
        <f t="shared" si="22"/>
        <v>32799925367.009998</v>
      </c>
    </row>
    <row r="1419" spans="1:14" x14ac:dyDescent="0.35">
      <c r="A1419" t="s">
        <v>49</v>
      </c>
      <c r="B1419" t="s">
        <v>60</v>
      </c>
      <c r="C1419">
        <v>2025</v>
      </c>
      <c r="D1419" t="s">
        <v>20</v>
      </c>
      <c r="E1419">
        <v>100947.83</v>
      </c>
      <c r="F1419">
        <v>60.5</v>
      </c>
      <c r="G1419">
        <v>195</v>
      </c>
      <c r="H1419">
        <v>135</v>
      </c>
      <c r="I1419" t="s">
        <v>32</v>
      </c>
      <c r="J1419">
        <v>5</v>
      </c>
      <c r="K1419" t="s">
        <v>17</v>
      </c>
      <c r="L1419">
        <v>101360</v>
      </c>
      <c r="M1419">
        <v>3.44</v>
      </c>
      <c r="N1419" s="6">
        <f t="shared" si="22"/>
        <v>10232072048.799999</v>
      </c>
    </row>
    <row r="1420" spans="1:14" x14ac:dyDescent="0.35">
      <c r="A1420" t="s">
        <v>114</v>
      </c>
      <c r="B1420" t="s">
        <v>134</v>
      </c>
      <c r="C1420">
        <v>2025</v>
      </c>
      <c r="D1420" t="s">
        <v>15</v>
      </c>
      <c r="E1420">
        <v>93833.94</v>
      </c>
      <c r="F1420">
        <v>111.8</v>
      </c>
      <c r="G1420">
        <v>383</v>
      </c>
      <c r="H1420">
        <v>200</v>
      </c>
      <c r="I1420" t="s">
        <v>33</v>
      </c>
      <c r="J1420">
        <v>5</v>
      </c>
      <c r="K1420" t="s">
        <v>20</v>
      </c>
      <c r="L1420">
        <v>6307</v>
      </c>
      <c r="M1420">
        <v>3.42</v>
      </c>
      <c r="N1420" s="6">
        <f t="shared" si="22"/>
        <v>591810659.58000004</v>
      </c>
    </row>
    <row r="1421" spans="1:14" x14ac:dyDescent="0.35">
      <c r="A1421" t="s">
        <v>29</v>
      </c>
      <c r="B1421" t="s">
        <v>53</v>
      </c>
      <c r="C1421">
        <v>2025</v>
      </c>
      <c r="D1421" t="s">
        <v>43</v>
      </c>
      <c r="E1421">
        <v>127335.12</v>
      </c>
      <c r="F1421">
        <v>71.900000000000006</v>
      </c>
      <c r="G1421">
        <v>270</v>
      </c>
      <c r="H1421">
        <v>175</v>
      </c>
      <c r="I1421" t="s">
        <v>16</v>
      </c>
      <c r="J1421">
        <v>5</v>
      </c>
      <c r="K1421" t="s">
        <v>17</v>
      </c>
      <c r="L1421">
        <v>188107</v>
      </c>
      <c r="M1421">
        <v>3.78</v>
      </c>
      <c r="N1421" s="6">
        <f t="shared" si="22"/>
        <v>23952627417.84</v>
      </c>
    </row>
    <row r="1422" spans="1:14" x14ac:dyDescent="0.35">
      <c r="A1422" t="s">
        <v>75</v>
      </c>
      <c r="B1422" t="s">
        <v>101</v>
      </c>
      <c r="C1422">
        <v>2025</v>
      </c>
      <c r="D1422" t="s">
        <v>15</v>
      </c>
      <c r="E1422">
        <v>117871.06</v>
      </c>
      <c r="F1422">
        <v>81.900000000000006</v>
      </c>
      <c r="G1422">
        <v>280</v>
      </c>
      <c r="H1422">
        <v>199</v>
      </c>
      <c r="I1422" t="s">
        <v>16</v>
      </c>
      <c r="J1422">
        <v>5</v>
      </c>
      <c r="K1422" t="s">
        <v>17</v>
      </c>
      <c r="L1422">
        <v>14378</v>
      </c>
      <c r="M1422">
        <v>3.8</v>
      </c>
      <c r="N1422" s="6">
        <f t="shared" si="22"/>
        <v>1694750100.6800001</v>
      </c>
    </row>
    <row r="1423" spans="1:14" x14ac:dyDescent="0.35">
      <c r="A1423" t="s">
        <v>29</v>
      </c>
      <c r="B1423" t="s">
        <v>59</v>
      </c>
      <c r="C1423">
        <v>2025</v>
      </c>
      <c r="D1423" t="s">
        <v>15</v>
      </c>
      <c r="E1423">
        <v>126875.08</v>
      </c>
      <c r="F1423">
        <v>98.3</v>
      </c>
      <c r="G1423">
        <v>345</v>
      </c>
      <c r="H1423">
        <v>198</v>
      </c>
      <c r="I1423" t="s">
        <v>25</v>
      </c>
      <c r="J1423">
        <v>5</v>
      </c>
      <c r="K1423" t="s">
        <v>17</v>
      </c>
      <c r="L1423">
        <v>158417</v>
      </c>
      <c r="M1423">
        <v>3.71</v>
      </c>
      <c r="N1423" s="6">
        <f t="shared" si="22"/>
        <v>20099169548.360001</v>
      </c>
    </row>
    <row r="1424" spans="1:14" x14ac:dyDescent="0.35">
      <c r="A1424" t="s">
        <v>64</v>
      </c>
      <c r="B1424" t="s">
        <v>95</v>
      </c>
      <c r="C1424">
        <v>2025</v>
      </c>
      <c r="D1424" t="s">
        <v>15</v>
      </c>
      <c r="E1424">
        <v>83830.66</v>
      </c>
      <c r="F1424">
        <v>91.7</v>
      </c>
      <c r="G1424">
        <v>316</v>
      </c>
      <c r="H1424">
        <v>188</v>
      </c>
      <c r="I1424" t="s">
        <v>16</v>
      </c>
      <c r="J1424">
        <v>4</v>
      </c>
      <c r="K1424" t="s">
        <v>20</v>
      </c>
      <c r="L1424">
        <v>61677</v>
      </c>
      <c r="M1424">
        <v>3.43</v>
      </c>
      <c r="N1424" s="6">
        <f t="shared" si="22"/>
        <v>5170423616.8200006</v>
      </c>
    </row>
    <row r="1425" spans="1:14" x14ac:dyDescent="0.35">
      <c r="A1425" t="s">
        <v>29</v>
      </c>
      <c r="B1425" t="s">
        <v>39</v>
      </c>
      <c r="C1425">
        <v>2025</v>
      </c>
      <c r="D1425" t="s">
        <v>38</v>
      </c>
      <c r="E1425">
        <v>29411.54</v>
      </c>
      <c r="F1425">
        <v>61.2</v>
      </c>
      <c r="G1425">
        <v>220</v>
      </c>
      <c r="H1425">
        <v>127</v>
      </c>
      <c r="I1425" t="s">
        <v>32</v>
      </c>
      <c r="J1425">
        <v>5</v>
      </c>
      <c r="K1425" t="s">
        <v>47</v>
      </c>
      <c r="L1425">
        <v>206579</v>
      </c>
      <c r="M1425">
        <v>3.63</v>
      </c>
      <c r="N1425" s="6">
        <f t="shared" si="22"/>
        <v>6075806521.6599998</v>
      </c>
    </row>
    <row r="1426" spans="1:14" x14ac:dyDescent="0.35">
      <c r="A1426" t="s">
        <v>29</v>
      </c>
      <c r="B1426" t="s">
        <v>53</v>
      </c>
      <c r="C1426">
        <v>2025</v>
      </c>
      <c r="D1426" t="s">
        <v>20</v>
      </c>
      <c r="E1426">
        <v>131326.82</v>
      </c>
      <c r="F1426">
        <v>44.5</v>
      </c>
      <c r="G1426">
        <v>172</v>
      </c>
      <c r="H1426">
        <v>164</v>
      </c>
      <c r="I1426" t="s">
        <v>16</v>
      </c>
      <c r="J1426">
        <v>5</v>
      </c>
      <c r="K1426" t="s">
        <v>17</v>
      </c>
      <c r="L1426">
        <v>195107</v>
      </c>
      <c r="M1426">
        <v>3.68</v>
      </c>
      <c r="N1426" s="6">
        <f t="shared" si="22"/>
        <v>25622781869.740002</v>
      </c>
    </row>
    <row r="1427" spans="1:14" x14ac:dyDescent="0.35">
      <c r="A1427" t="s">
        <v>29</v>
      </c>
      <c r="B1427" t="s">
        <v>59</v>
      </c>
      <c r="C1427">
        <v>2025</v>
      </c>
      <c r="D1427" t="s">
        <v>38</v>
      </c>
      <c r="E1427">
        <v>106034.49</v>
      </c>
      <c r="F1427">
        <v>82.6</v>
      </c>
      <c r="G1427">
        <v>286</v>
      </c>
      <c r="H1427">
        <v>151</v>
      </c>
      <c r="I1427" t="s">
        <v>25</v>
      </c>
      <c r="J1427">
        <v>5</v>
      </c>
      <c r="K1427" t="s">
        <v>17</v>
      </c>
      <c r="L1427">
        <v>136623</v>
      </c>
      <c r="M1427">
        <v>3.7</v>
      </c>
      <c r="N1427" s="6">
        <f t="shared" si="22"/>
        <v>14486750127.27</v>
      </c>
    </row>
    <row r="1428" spans="1:14" x14ac:dyDescent="0.35">
      <c r="A1428" t="s">
        <v>26</v>
      </c>
      <c r="B1428" t="s">
        <v>52</v>
      </c>
      <c r="C1428">
        <v>2025</v>
      </c>
      <c r="D1428" t="s">
        <v>38</v>
      </c>
      <c r="E1428">
        <v>33502.19</v>
      </c>
      <c r="F1428">
        <v>82.4</v>
      </c>
      <c r="G1428">
        <v>304</v>
      </c>
      <c r="H1428">
        <v>144</v>
      </c>
      <c r="I1428" t="s">
        <v>25</v>
      </c>
      <c r="J1428">
        <v>4</v>
      </c>
      <c r="K1428" t="s">
        <v>47</v>
      </c>
      <c r="L1428">
        <v>70571</v>
      </c>
      <c r="M1428">
        <v>3.47</v>
      </c>
      <c r="N1428" s="6">
        <f t="shared" si="22"/>
        <v>2364283050.4900002</v>
      </c>
    </row>
    <row r="1429" spans="1:14" x14ac:dyDescent="0.35">
      <c r="A1429" t="s">
        <v>45</v>
      </c>
      <c r="B1429" t="s">
        <v>46</v>
      </c>
      <c r="C1429">
        <v>2025</v>
      </c>
      <c r="D1429" t="s">
        <v>20</v>
      </c>
      <c r="E1429">
        <v>98579.06</v>
      </c>
      <c r="F1429">
        <v>64.3</v>
      </c>
      <c r="G1429">
        <v>224</v>
      </c>
      <c r="H1429">
        <v>143</v>
      </c>
      <c r="I1429" t="s">
        <v>33</v>
      </c>
      <c r="J1429">
        <v>5</v>
      </c>
      <c r="K1429" t="s">
        <v>20</v>
      </c>
      <c r="L1429">
        <v>142672</v>
      </c>
      <c r="M1429">
        <v>3.25</v>
      </c>
      <c r="N1429" s="6">
        <f t="shared" si="22"/>
        <v>14064471648.32</v>
      </c>
    </row>
    <row r="1430" spans="1:14" x14ac:dyDescent="0.35">
      <c r="A1430" t="s">
        <v>45</v>
      </c>
      <c r="B1430" t="s">
        <v>48</v>
      </c>
      <c r="C1430">
        <v>2025</v>
      </c>
      <c r="D1430" t="s">
        <v>28</v>
      </c>
      <c r="E1430">
        <v>32535.18</v>
      </c>
      <c r="F1430">
        <v>92</v>
      </c>
      <c r="G1430">
        <v>307</v>
      </c>
      <c r="H1430">
        <v>175</v>
      </c>
      <c r="I1430" t="s">
        <v>40</v>
      </c>
      <c r="J1430">
        <v>4</v>
      </c>
      <c r="K1430" t="s">
        <v>47</v>
      </c>
      <c r="L1430">
        <v>218123</v>
      </c>
      <c r="M1430">
        <v>3.53</v>
      </c>
      <c r="N1430" s="6">
        <f t="shared" si="22"/>
        <v>7096671067.1400003</v>
      </c>
    </row>
    <row r="1431" spans="1:14" x14ac:dyDescent="0.35">
      <c r="A1431" t="s">
        <v>23</v>
      </c>
      <c r="B1431" t="s">
        <v>82</v>
      </c>
      <c r="C1431">
        <v>2025</v>
      </c>
      <c r="D1431" t="s">
        <v>20</v>
      </c>
      <c r="E1431">
        <v>61871.83</v>
      </c>
      <c r="F1431">
        <v>57.9</v>
      </c>
      <c r="G1431">
        <v>176</v>
      </c>
      <c r="H1431">
        <v>168</v>
      </c>
      <c r="I1431" t="s">
        <v>32</v>
      </c>
      <c r="J1431">
        <v>5</v>
      </c>
      <c r="K1431" t="s">
        <v>22</v>
      </c>
      <c r="L1431">
        <v>10487</v>
      </c>
      <c r="M1431">
        <v>3.16</v>
      </c>
      <c r="N1431" s="6">
        <f t="shared" si="22"/>
        <v>648849881.21000004</v>
      </c>
    </row>
    <row r="1432" spans="1:14" x14ac:dyDescent="0.35">
      <c r="A1432" t="s">
        <v>26</v>
      </c>
      <c r="B1432" t="s">
        <v>27</v>
      </c>
      <c r="C1432">
        <v>2025</v>
      </c>
      <c r="D1432" t="s">
        <v>15</v>
      </c>
      <c r="E1432">
        <v>72347.59</v>
      </c>
      <c r="F1432">
        <v>112</v>
      </c>
      <c r="G1432">
        <v>369</v>
      </c>
      <c r="H1432">
        <v>185</v>
      </c>
      <c r="I1432" t="s">
        <v>21</v>
      </c>
      <c r="J1432">
        <v>3</v>
      </c>
      <c r="K1432" t="s">
        <v>20</v>
      </c>
      <c r="L1432">
        <v>144057</v>
      </c>
      <c r="M1432">
        <v>3.62</v>
      </c>
      <c r="N1432" s="6">
        <f t="shared" si="22"/>
        <v>10422176772.629999</v>
      </c>
    </row>
    <row r="1433" spans="1:14" x14ac:dyDescent="0.35">
      <c r="A1433" t="s">
        <v>49</v>
      </c>
      <c r="B1433" t="s">
        <v>60</v>
      </c>
      <c r="C1433">
        <v>2025</v>
      </c>
      <c r="D1433" t="s">
        <v>15</v>
      </c>
      <c r="E1433">
        <v>47415.02</v>
      </c>
      <c r="F1433">
        <v>112.3</v>
      </c>
      <c r="G1433">
        <v>399</v>
      </c>
      <c r="H1433">
        <v>200</v>
      </c>
      <c r="I1433" t="s">
        <v>32</v>
      </c>
      <c r="J1433">
        <v>5</v>
      </c>
      <c r="K1433" t="s">
        <v>22</v>
      </c>
      <c r="L1433">
        <v>102665</v>
      </c>
      <c r="M1433">
        <v>3.98</v>
      </c>
      <c r="N1433" s="6">
        <f t="shared" si="22"/>
        <v>4867863028.2999992</v>
      </c>
    </row>
    <row r="1434" spans="1:14" x14ac:dyDescent="0.35">
      <c r="A1434" t="s">
        <v>73</v>
      </c>
      <c r="B1434" t="s">
        <v>107</v>
      </c>
      <c r="C1434">
        <v>2025</v>
      </c>
      <c r="D1434" t="s">
        <v>20</v>
      </c>
      <c r="E1434">
        <v>83405.89</v>
      </c>
      <c r="F1434">
        <v>75.400000000000006</v>
      </c>
      <c r="G1434">
        <v>277</v>
      </c>
      <c r="H1434">
        <v>164</v>
      </c>
      <c r="I1434" t="s">
        <v>25</v>
      </c>
      <c r="J1434">
        <v>5</v>
      </c>
      <c r="K1434" t="s">
        <v>20</v>
      </c>
      <c r="L1434">
        <v>11073</v>
      </c>
      <c r="M1434">
        <v>3.32</v>
      </c>
      <c r="N1434" s="6">
        <f t="shared" si="22"/>
        <v>923553419.97000003</v>
      </c>
    </row>
    <row r="1435" spans="1:14" x14ac:dyDescent="0.35">
      <c r="A1435" t="s">
        <v>29</v>
      </c>
      <c r="B1435" t="s">
        <v>30</v>
      </c>
      <c r="C1435">
        <v>2025</v>
      </c>
      <c r="D1435" t="s">
        <v>28</v>
      </c>
      <c r="E1435">
        <v>84190.57</v>
      </c>
      <c r="F1435">
        <v>98</v>
      </c>
      <c r="G1435">
        <v>350</v>
      </c>
      <c r="H1435">
        <v>182</v>
      </c>
      <c r="I1435" t="s">
        <v>33</v>
      </c>
      <c r="J1435">
        <v>4</v>
      </c>
      <c r="K1435" t="s">
        <v>20</v>
      </c>
      <c r="L1435">
        <v>181874</v>
      </c>
      <c r="M1435">
        <v>3.94</v>
      </c>
      <c r="N1435" s="6">
        <f t="shared" si="22"/>
        <v>15312075728.180002</v>
      </c>
    </row>
    <row r="1436" spans="1:14" x14ac:dyDescent="0.35">
      <c r="A1436" t="s">
        <v>45</v>
      </c>
      <c r="B1436" t="s">
        <v>77</v>
      </c>
      <c r="C1436">
        <v>2025</v>
      </c>
      <c r="D1436" t="s">
        <v>38</v>
      </c>
      <c r="E1436">
        <v>53719.72</v>
      </c>
      <c r="F1436">
        <v>48.4</v>
      </c>
      <c r="G1436">
        <v>150</v>
      </c>
      <c r="H1436">
        <v>160</v>
      </c>
      <c r="I1436" t="s">
        <v>32</v>
      </c>
      <c r="J1436">
        <v>3</v>
      </c>
      <c r="K1436" t="s">
        <v>22</v>
      </c>
      <c r="L1436">
        <v>246801</v>
      </c>
      <c r="M1436">
        <v>3.15</v>
      </c>
      <c r="N1436" s="6">
        <f t="shared" si="22"/>
        <v>13258080615.720001</v>
      </c>
    </row>
    <row r="1437" spans="1:14" x14ac:dyDescent="0.35">
      <c r="A1437" t="s">
        <v>29</v>
      </c>
      <c r="B1437" t="s">
        <v>59</v>
      </c>
      <c r="C1437">
        <v>2025</v>
      </c>
      <c r="D1437" t="s">
        <v>28</v>
      </c>
      <c r="E1437">
        <v>153915.44</v>
      </c>
      <c r="F1437">
        <v>92</v>
      </c>
      <c r="G1437">
        <v>309</v>
      </c>
      <c r="H1437">
        <v>177</v>
      </c>
      <c r="I1437" t="s">
        <v>25</v>
      </c>
      <c r="J1437">
        <v>5</v>
      </c>
      <c r="K1437" t="s">
        <v>17</v>
      </c>
      <c r="L1437">
        <v>210826</v>
      </c>
      <c r="M1437">
        <v>3.64</v>
      </c>
      <c r="N1437" s="6">
        <f t="shared" si="22"/>
        <v>32449376553.439999</v>
      </c>
    </row>
    <row r="1438" spans="1:14" x14ac:dyDescent="0.35">
      <c r="A1438" t="s">
        <v>23</v>
      </c>
      <c r="B1438" t="s">
        <v>83</v>
      </c>
      <c r="C1438">
        <v>2025</v>
      </c>
      <c r="D1438" t="s">
        <v>43</v>
      </c>
      <c r="E1438">
        <v>28857.9</v>
      </c>
      <c r="F1438">
        <v>80</v>
      </c>
      <c r="G1438">
        <v>326</v>
      </c>
      <c r="H1438">
        <v>147</v>
      </c>
      <c r="I1438" t="s">
        <v>21</v>
      </c>
      <c r="J1438">
        <v>4</v>
      </c>
      <c r="K1438" t="s">
        <v>47</v>
      </c>
      <c r="L1438">
        <v>24599</v>
      </c>
      <c r="M1438">
        <v>3.71</v>
      </c>
      <c r="N1438" s="6">
        <f t="shared" si="22"/>
        <v>709875482.10000002</v>
      </c>
    </row>
    <row r="1439" spans="1:14" x14ac:dyDescent="0.35">
      <c r="A1439" t="s">
        <v>57</v>
      </c>
      <c r="B1439" t="s">
        <v>72</v>
      </c>
      <c r="C1439">
        <v>2025</v>
      </c>
      <c r="D1439" t="s">
        <v>28</v>
      </c>
      <c r="E1439">
        <v>91074.2</v>
      </c>
      <c r="F1439">
        <v>83.3</v>
      </c>
      <c r="G1439">
        <v>309</v>
      </c>
      <c r="H1439">
        <v>165</v>
      </c>
      <c r="I1439" t="s">
        <v>16</v>
      </c>
      <c r="J1439">
        <v>5</v>
      </c>
      <c r="K1439" t="s">
        <v>20</v>
      </c>
      <c r="L1439">
        <v>78477</v>
      </c>
      <c r="M1439">
        <v>3.54</v>
      </c>
      <c r="N1439" s="6">
        <f t="shared" si="22"/>
        <v>7147229993.3999996</v>
      </c>
    </row>
    <row r="1440" spans="1:14" x14ac:dyDescent="0.35">
      <c r="A1440" t="s">
        <v>45</v>
      </c>
      <c r="B1440" t="s">
        <v>69</v>
      </c>
      <c r="C1440">
        <v>2025</v>
      </c>
      <c r="D1440" t="s">
        <v>20</v>
      </c>
      <c r="E1440">
        <v>100296.35</v>
      </c>
      <c r="F1440">
        <v>81.5</v>
      </c>
      <c r="G1440">
        <v>290</v>
      </c>
      <c r="H1440">
        <v>143</v>
      </c>
      <c r="I1440" t="s">
        <v>32</v>
      </c>
      <c r="J1440">
        <v>4</v>
      </c>
      <c r="K1440" t="s">
        <v>17</v>
      </c>
      <c r="L1440">
        <v>155370</v>
      </c>
      <c r="M1440">
        <v>3.84</v>
      </c>
      <c r="N1440" s="6">
        <f t="shared" si="22"/>
        <v>15583043899.5</v>
      </c>
    </row>
    <row r="1441" spans="1:14" x14ac:dyDescent="0.35">
      <c r="A1441" t="s">
        <v>18</v>
      </c>
      <c r="B1441" t="s">
        <v>19</v>
      </c>
      <c r="C1441">
        <v>2025</v>
      </c>
      <c r="D1441" t="s">
        <v>38</v>
      </c>
      <c r="E1441">
        <v>65608.600000000006</v>
      </c>
      <c r="F1441">
        <v>60.1</v>
      </c>
      <c r="G1441">
        <v>208</v>
      </c>
      <c r="H1441">
        <v>154</v>
      </c>
      <c r="I1441" t="s">
        <v>21</v>
      </c>
      <c r="J1441">
        <v>4</v>
      </c>
      <c r="K1441" t="s">
        <v>20</v>
      </c>
      <c r="L1441">
        <v>24977</v>
      </c>
      <c r="M1441">
        <v>3.36</v>
      </c>
      <c r="N1441" s="6">
        <f t="shared" si="22"/>
        <v>1638706002.2</v>
      </c>
    </row>
    <row r="1442" spans="1:14" x14ac:dyDescent="0.35">
      <c r="A1442" t="s">
        <v>26</v>
      </c>
      <c r="B1442" t="s">
        <v>27</v>
      </c>
      <c r="C1442">
        <v>2025</v>
      </c>
      <c r="D1442" t="s">
        <v>20</v>
      </c>
      <c r="E1442">
        <v>81244.23</v>
      </c>
      <c r="F1442">
        <v>54.9</v>
      </c>
      <c r="G1442">
        <v>181</v>
      </c>
      <c r="H1442">
        <v>149</v>
      </c>
      <c r="I1442" t="s">
        <v>21</v>
      </c>
      <c r="J1442">
        <v>5</v>
      </c>
      <c r="K1442" t="s">
        <v>20</v>
      </c>
      <c r="L1442">
        <v>70466</v>
      </c>
      <c r="M1442">
        <v>3.28</v>
      </c>
      <c r="N1442" s="6">
        <f t="shared" si="22"/>
        <v>5724955911.1799994</v>
      </c>
    </row>
    <row r="1443" spans="1:14" x14ac:dyDescent="0.35">
      <c r="A1443" t="s">
        <v>23</v>
      </c>
      <c r="B1443" t="s">
        <v>99</v>
      </c>
      <c r="C1443">
        <v>2025</v>
      </c>
      <c r="D1443" t="s">
        <v>20</v>
      </c>
      <c r="E1443">
        <v>46867.37</v>
      </c>
      <c r="F1443">
        <v>59.3</v>
      </c>
      <c r="G1443">
        <v>232</v>
      </c>
      <c r="H1443">
        <v>135</v>
      </c>
      <c r="I1443" t="s">
        <v>40</v>
      </c>
      <c r="J1443">
        <v>5</v>
      </c>
      <c r="K1443" t="s">
        <v>22</v>
      </c>
      <c r="L1443">
        <v>24354</v>
      </c>
      <c r="M1443">
        <v>3.3</v>
      </c>
      <c r="N1443" s="6">
        <f t="shared" si="22"/>
        <v>1141407928.98</v>
      </c>
    </row>
    <row r="1444" spans="1:14" x14ac:dyDescent="0.35">
      <c r="A1444" t="s">
        <v>45</v>
      </c>
      <c r="B1444" t="s">
        <v>69</v>
      </c>
      <c r="C1444">
        <v>2025</v>
      </c>
      <c r="D1444" t="s">
        <v>28</v>
      </c>
      <c r="E1444">
        <v>26705.48</v>
      </c>
      <c r="F1444">
        <v>85.3</v>
      </c>
      <c r="G1444">
        <v>273</v>
      </c>
      <c r="H1444">
        <v>169</v>
      </c>
      <c r="I1444" t="s">
        <v>16</v>
      </c>
      <c r="J1444">
        <v>4</v>
      </c>
      <c r="K1444" t="s">
        <v>47</v>
      </c>
      <c r="L1444">
        <v>188547</v>
      </c>
      <c r="M1444">
        <v>3.41</v>
      </c>
      <c r="N1444" s="6">
        <f t="shared" si="22"/>
        <v>5035238137.5599995</v>
      </c>
    </row>
    <row r="1445" spans="1:14" x14ac:dyDescent="0.35">
      <c r="A1445" t="s">
        <v>45</v>
      </c>
      <c r="B1445" t="s">
        <v>77</v>
      </c>
      <c r="C1445">
        <v>2025</v>
      </c>
      <c r="D1445" t="s">
        <v>15</v>
      </c>
      <c r="E1445">
        <v>98821.6</v>
      </c>
      <c r="F1445">
        <v>98.4</v>
      </c>
      <c r="G1445">
        <v>363</v>
      </c>
      <c r="H1445">
        <v>189</v>
      </c>
      <c r="I1445" t="s">
        <v>32</v>
      </c>
      <c r="J1445">
        <v>4</v>
      </c>
      <c r="K1445" t="s">
        <v>20</v>
      </c>
      <c r="L1445">
        <v>172137</v>
      </c>
      <c r="M1445">
        <v>3.93</v>
      </c>
      <c r="N1445" s="6">
        <f t="shared" si="22"/>
        <v>17010853759.200001</v>
      </c>
    </row>
    <row r="1446" spans="1:14" x14ac:dyDescent="0.35">
      <c r="A1446" t="s">
        <v>80</v>
      </c>
      <c r="B1446" t="s">
        <v>81</v>
      </c>
      <c r="C1446">
        <v>2025</v>
      </c>
      <c r="D1446" t="s">
        <v>43</v>
      </c>
      <c r="E1446">
        <v>186969.89</v>
      </c>
      <c r="F1446">
        <v>80.5</v>
      </c>
      <c r="G1446">
        <v>291</v>
      </c>
      <c r="H1446">
        <v>132</v>
      </c>
      <c r="I1446" t="s">
        <v>32</v>
      </c>
      <c r="J1446">
        <v>5</v>
      </c>
      <c r="K1446" t="s">
        <v>17</v>
      </c>
      <c r="L1446">
        <v>29154</v>
      </c>
      <c r="M1446">
        <v>4.28</v>
      </c>
      <c r="N1446" s="6">
        <f t="shared" si="22"/>
        <v>5450920173.0600004</v>
      </c>
    </row>
    <row r="1447" spans="1:14" x14ac:dyDescent="0.35">
      <c r="A1447" t="s">
        <v>29</v>
      </c>
      <c r="B1447" t="s">
        <v>53</v>
      </c>
      <c r="C1447">
        <v>2025</v>
      </c>
      <c r="D1447" t="s">
        <v>43</v>
      </c>
      <c r="E1447">
        <v>98006.33</v>
      </c>
      <c r="F1447">
        <v>50.5</v>
      </c>
      <c r="G1447">
        <v>177</v>
      </c>
      <c r="H1447">
        <v>138</v>
      </c>
      <c r="I1447" t="s">
        <v>16</v>
      </c>
      <c r="J1447">
        <v>4</v>
      </c>
      <c r="K1447" t="s">
        <v>20</v>
      </c>
      <c r="L1447">
        <v>113383</v>
      </c>
      <c r="M1447">
        <v>3.75</v>
      </c>
      <c r="N1447" s="6">
        <f t="shared" si="22"/>
        <v>11112251714.389999</v>
      </c>
    </row>
    <row r="1448" spans="1:14" x14ac:dyDescent="0.35">
      <c r="A1448" t="s">
        <v>45</v>
      </c>
      <c r="B1448" t="s">
        <v>77</v>
      </c>
      <c r="C1448">
        <v>2025</v>
      </c>
      <c r="D1448" t="s">
        <v>38</v>
      </c>
      <c r="E1448">
        <v>52113.75</v>
      </c>
      <c r="F1448">
        <v>54.9</v>
      </c>
      <c r="G1448">
        <v>221</v>
      </c>
      <c r="H1448">
        <v>148</v>
      </c>
      <c r="I1448" t="s">
        <v>33</v>
      </c>
      <c r="J1448">
        <v>4</v>
      </c>
      <c r="K1448" t="s">
        <v>22</v>
      </c>
      <c r="L1448">
        <v>186712</v>
      </c>
      <c r="M1448">
        <v>3.38</v>
      </c>
      <c r="N1448" s="6">
        <f t="shared" si="22"/>
        <v>9730262490</v>
      </c>
    </row>
    <row r="1449" spans="1:14" x14ac:dyDescent="0.35">
      <c r="A1449" t="s">
        <v>34</v>
      </c>
      <c r="B1449" t="s">
        <v>78</v>
      </c>
      <c r="C1449">
        <v>2025</v>
      </c>
      <c r="D1449" t="s">
        <v>20</v>
      </c>
      <c r="E1449">
        <v>91108.2</v>
      </c>
      <c r="F1449">
        <v>66.3</v>
      </c>
      <c r="G1449">
        <v>223</v>
      </c>
      <c r="H1449">
        <v>157</v>
      </c>
      <c r="I1449" t="s">
        <v>25</v>
      </c>
      <c r="J1449">
        <v>5</v>
      </c>
      <c r="K1449" t="s">
        <v>20</v>
      </c>
      <c r="L1449">
        <v>58124</v>
      </c>
      <c r="M1449">
        <v>3.6</v>
      </c>
      <c r="N1449" s="6">
        <f t="shared" si="22"/>
        <v>5295573016.8000002</v>
      </c>
    </row>
    <row r="1450" spans="1:14" x14ac:dyDescent="0.35">
      <c r="A1450" t="s">
        <v>29</v>
      </c>
      <c r="B1450" t="s">
        <v>30</v>
      </c>
      <c r="C1450">
        <v>2025</v>
      </c>
      <c r="D1450" t="s">
        <v>20</v>
      </c>
      <c r="E1450">
        <v>137916.62</v>
      </c>
      <c r="F1450">
        <v>66</v>
      </c>
      <c r="G1450">
        <v>216</v>
      </c>
      <c r="H1450">
        <v>158</v>
      </c>
      <c r="I1450" t="s">
        <v>21</v>
      </c>
      <c r="J1450">
        <v>5</v>
      </c>
      <c r="K1450" t="s">
        <v>17</v>
      </c>
      <c r="L1450">
        <v>132643</v>
      </c>
      <c r="M1450">
        <v>3.73</v>
      </c>
      <c r="N1450" s="6">
        <f t="shared" si="22"/>
        <v>18293674226.66</v>
      </c>
    </row>
    <row r="1451" spans="1:14" x14ac:dyDescent="0.35">
      <c r="A1451" t="s">
        <v>23</v>
      </c>
      <c r="B1451" t="s">
        <v>82</v>
      </c>
      <c r="C1451">
        <v>2025</v>
      </c>
      <c r="D1451" t="s">
        <v>15</v>
      </c>
      <c r="E1451">
        <v>62330.93</v>
      </c>
      <c r="F1451">
        <v>108</v>
      </c>
      <c r="G1451">
        <v>376</v>
      </c>
      <c r="H1451">
        <v>200</v>
      </c>
      <c r="I1451" t="s">
        <v>16</v>
      </c>
      <c r="J1451">
        <v>4</v>
      </c>
      <c r="K1451" t="s">
        <v>22</v>
      </c>
      <c r="L1451">
        <v>27154</v>
      </c>
      <c r="M1451">
        <v>3.92</v>
      </c>
      <c r="N1451" s="6">
        <f t="shared" si="22"/>
        <v>1692534073.22</v>
      </c>
    </row>
    <row r="1452" spans="1:14" x14ac:dyDescent="0.35">
      <c r="A1452" t="s">
        <v>45</v>
      </c>
      <c r="B1452" t="s">
        <v>88</v>
      </c>
      <c r="C1452">
        <v>2025</v>
      </c>
      <c r="D1452" t="s">
        <v>43</v>
      </c>
      <c r="E1452">
        <v>29108.23</v>
      </c>
      <c r="F1452">
        <v>44.5</v>
      </c>
      <c r="G1452">
        <v>170</v>
      </c>
      <c r="H1452">
        <v>165</v>
      </c>
      <c r="I1452" t="s">
        <v>32</v>
      </c>
      <c r="J1452">
        <v>5</v>
      </c>
      <c r="K1452" t="s">
        <v>47</v>
      </c>
      <c r="L1452">
        <v>179440</v>
      </c>
      <c r="M1452">
        <v>3.4</v>
      </c>
      <c r="N1452" s="6">
        <f t="shared" si="22"/>
        <v>5223180791.1999998</v>
      </c>
    </row>
    <row r="1453" spans="1:14" x14ac:dyDescent="0.35">
      <c r="A1453" t="s">
        <v>23</v>
      </c>
      <c r="B1453" t="s">
        <v>82</v>
      </c>
      <c r="C1453">
        <v>2025</v>
      </c>
      <c r="D1453" t="s">
        <v>15</v>
      </c>
      <c r="E1453">
        <v>81159.740000000005</v>
      </c>
      <c r="F1453">
        <v>104.4</v>
      </c>
      <c r="G1453">
        <v>379</v>
      </c>
      <c r="H1453">
        <v>200</v>
      </c>
      <c r="I1453" t="s">
        <v>16</v>
      </c>
      <c r="J1453">
        <v>4</v>
      </c>
      <c r="K1453" t="s">
        <v>20</v>
      </c>
      <c r="L1453">
        <v>28393</v>
      </c>
      <c r="M1453">
        <v>3.84</v>
      </c>
      <c r="N1453" s="6">
        <f t="shared" si="22"/>
        <v>2304368497.8200002</v>
      </c>
    </row>
    <row r="1454" spans="1:14" x14ac:dyDescent="0.35">
      <c r="A1454" t="s">
        <v>29</v>
      </c>
      <c r="B1454" t="s">
        <v>30</v>
      </c>
      <c r="C1454">
        <v>2025</v>
      </c>
      <c r="D1454" t="s">
        <v>38</v>
      </c>
      <c r="E1454">
        <v>80586.23</v>
      </c>
      <c r="F1454">
        <v>77.900000000000006</v>
      </c>
      <c r="G1454">
        <v>274</v>
      </c>
      <c r="H1454">
        <v>149</v>
      </c>
      <c r="I1454" t="s">
        <v>25</v>
      </c>
      <c r="J1454">
        <v>5</v>
      </c>
      <c r="K1454" t="s">
        <v>20</v>
      </c>
      <c r="L1454">
        <v>243472</v>
      </c>
      <c r="M1454">
        <v>3.8</v>
      </c>
      <c r="N1454" s="6">
        <f t="shared" si="22"/>
        <v>19620490590.559998</v>
      </c>
    </row>
    <row r="1455" spans="1:14" x14ac:dyDescent="0.35">
      <c r="A1455" t="s">
        <v>45</v>
      </c>
      <c r="B1455" t="s">
        <v>88</v>
      </c>
      <c r="C1455">
        <v>2025</v>
      </c>
      <c r="D1455" t="s">
        <v>43</v>
      </c>
      <c r="E1455">
        <v>79451.820000000007</v>
      </c>
      <c r="F1455">
        <v>66.3</v>
      </c>
      <c r="G1455">
        <v>253</v>
      </c>
      <c r="H1455">
        <v>158</v>
      </c>
      <c r="I1455" t="s">
        <v>32</v>
      </c>
      <c r="J1455">
        <v>5</v>
      </c>
      <c r="K1455" t="s">
        <v>20</v>
      </c>
      <c r="L1455">
        <v>216726</v>
      </c>
      <c r="M1455">
        <v>3.44</v>
      </c>
      <c r="N1455" s="6">
        <f t="shared" si="22"/>
        <v>17219275141.32</v>
      </c>
    </row>
    <row r="1456" spans="1:14" x14ac:dyDescent="0.35">
      <c r="A1456" t="s">
        <v>57</v>
      </c>
      <c r="B1456" t="s">
        <v>62</v>
      </c>
      <c r="C1456">
        <v>2025</v>
      </c>
      <c r="D1456" t="s">
        <v>38</v>
      </c>
      <c r="E1456">
        <v>47442.7</v>
      </c>
      <c r="F1456">
        <v>70.8</v>
      </c>
      <c r="G1456">
        <v>237</v>
      </c>
      <c r="H1456">
        <v>153</v>
      </c>
      <c r="I1456" t="s">
        <v>25</v>
      </c>
      <c r="J1456">
        <v>4</v>
      </c>
      <c r="K1456" t="s">
        <v>22</v>
      </c>
      <c r="L1456">
        <v>71700</v>
      </c>
      <c r="M1456">
        <v>3.47</v>
      </c>
      <c r="N1456" s="6">
        <f t="shared" si="22"/>
        <v>3401641590</v>
      </c>
    </row>
    <row r="1457" spans="1:14" x14ac:dyDescent="0.35">
      <c r="A1457" t="s">
        <v>45</v>
      </c>
      <c r="B1457" t="s">
        <v>63</v>
      </c>
      <c r="C1457">
        <v>2025</v>
      </c>
      <c r="D1457" t="s">
        <v>43</v>
      </c>
      <c r="E1457">
        <v>32451.41</v>
      </c>
      <c r="F1457">
        <v>72.900000000000006</v>
      </c>
      <c r="G1457">
        <v>268</v>
      </c>
      <c r="H1457">
        <v>148</v>
      </c>
      <c r="I1457" t="s">
        <v>33</v>
      </c>
      <c r="J1457">
        <v>4</v>
      </c>
      <c r="K1457" t="s">
        <v>47</v>
      </c>
      <c r="L1457">
        <v>104392</v>
      </c>
      <c r="M1457">
        <v>3.51</v>
      </c>
      <c r="N1457" s="6">
        <f t="shared" si="22"/>
        <v>3387667592.7199998</v>
      </c>
    </row>
    <row r="1458" spans="1:14" x14ac:dyDescent="0.35">
      <c r="A1458" t="s">
        <v>29</v>
      </c>
      <c r="B1458" t="s">
        <v>30</v>
      </c>
      <c r="C1458">
        <v>2025</v>
      </c>
      <c r="D1458" t="s">
        <v>38</v>
      </c>
      <c r="E1458">
        <v>108727.13</v>
      </c>
      <c r="F1458">
        <v>41.1</v>
      </c>
      <c r="G1458">
        <v>150</v>
      </c>
      <c r="H1458">
        <v>131</v>
      </c>
      <c r="I1458" t="s">
        <v>16</v>
      </c>
      <c r="J1458">
        <v>3</v>
      </c>
      <c r="K1458" t="s">
        <v>17</v>
      </c>
      <c r="L1458">
        <v>118818</v>
      </c>
      <c r="M1458">
        <v>3.3</v>
      </c>
      <c r="N1458" s="6">
        <f t="shared" si="22"/>
        <v>12918740132.34</v>
      </c>
    </row>
    <row r="1459" spans="1:14" x14ac:dyDescent="0.35">
      <c r="A1459" t="s">
        <v>49</v>
      </c>
      <c r="B1459" t="s">
        <v>87</v>
      </c>
      <c r="C1459">
        <v>2025</v>
      </c>
      <c r="D1459" t="s">
        <v>38</v>
      </c>
      <c r="E1459">
        <v>34994.42</v>
      </c>
      <c r="F1459">
        <v>79.099999999999994</v>
      </c>
      <c r="G1459">
        <v>269</v>
      </c>
      <c r="H1459">
        <v>142</v>
      </c>
      <c r="I1459" t="s">
        <v>32</v>
      </c>
      <c r="J1459">
        <v>3</v>
      </c>
      <c r="K1459" t="s">
        <v>47</v>
      </c>
      <c r="L1459">
        <v>123225</v>
      </c>
      <c r="M1459">
        <v>3.52</v>
      </c>
      <c r="N1459" s="6">
        <f t="shared" si="22"/>
        <v>4312187404.5</v>
      </c>
    </row>
    <row r="1460" spans="1:14" x14ac:dyDescent="0.35">
      <c r="A1460" t="s">
        <v>57</v>
      </c>
      <c r="B1460" t="s">
        <v>58</v>
      </c>
      <c r="C1460">
        <v>2025</v>
      </c>
      <c r="D1460" t="s">
        <v>28</v>
      </c>
      <c r="E1460">
        <v>70076.78</v>
      </c>
      <c r="F1460">
        <v>107.7</v>
      </c>
      <c r="G1460">
        <v>396</v>
      </c>
      <c r="H1460">
        <v>185</v>
      </c>
      <c r="I1460" t="s">
        <v>16</v>
      </c>
      <c r="J1460">
        <v>3</v>
      </c>
      <c r="K1460" t="s">
        <v>20</v>
      </c>
      <c r="L1460">
        <v>52702</v>
      </c>
      <c r="M1460">
        <v>3.92</v>
      </c>
      <c r="N1460" s="6">
        <f t="shared" si="22"/>
        <v>3693186459.5599999</v>
      </c>
    </row>
    <row r="1461" spans="1:14" x14ac:dyDescent="0.35">
      <c r="A1461" t="s">
        <v>13</v>
      </c>
      <c r="B1461" t="s">
        <v>66</v>
      </c>
      <c r="C1461">
        <v>2025</v>
      </c>
      <c r="D1461" t="s">
        <v>15</v>
      </c>
      <c r="E1461">
        <v>52326.27</v>
      </c>
      <c r="F1461">
        <v>115.4</v>
      </c>
      <c r="G1461">
        <v>383</v>
      </c>
      <c r="H1461">
        <v>200</v>
      </c>
      <c r="I1461" t="s">
        <v>21</v>
      </c>
      <c r="J1461">
        <v>5</v>
      </c>
      <c r="K1461" t="s">
        <v>22</v>
      </c>
      <c r="L1461">
        <v>248780</v>
      </c>
      <c r="M1461">
        <v>3.88</v>
      </c>
      <c r="N1461" s="6">
        <f t="shared" si="22"/>
        <v>13017729450.599998</v>
      </c>
    </row>
    <row r="1462" spans="1:14" x14ac:dyDescent="0.35">
      <c r="A1462" t="s">
        <v>64</v>
      </c>
      <c r="B1462" t="s">
        <v>95</v>
      </c>
      <c r="C1462">
        <v>2025</v>
      </c>
      <c r="D1462" t="s">
        <v>38</v>
      </c>
      <c r="E1462">
        <v>68260.210000000006</v>
      </c>
      <c r="F1462">
        <v>52.1</v>
      </c>
      <c r="G1462">
        <v>191</v>
      </c>
      <c r="H1462">
        <v>171</v>
      </c>
      <c r="I1462" t="s">
        <v>21</v>
      </c>
      <c r="J1462">
        <v>4</v>
      </c>
      <c r="K1462" t="s">
        <v>20</v>
      </c>
      <c r="L1462">
        <v>78488</v>
      </c>
      <c r="M1462">
        <v>3.02</v>
      </c>
      <c r="N1462" s="6">
        <f t="shared" si="22"/>
        <v>5357607362.4800005</v>
      </c>
    </row>
    <row r="1463" spans="1:14" x14ac:dyDescent="0.35">
      <c r="A1463" t="s">
        <v>114</v>
      </c>
      <c r="B1463" t="s">
        <v>137</v>
      </c>
      <c r="C1463">
        <v>2025</v>
      </c>
      <c r="D1463" t="s">
        <v>38</v>
      </c>
      <c r="E1463">
        <v>91715.74</v>
      </c>
      <c r="F1463">
        <v>62.6</v>
      </c>
      <c r="G1463">
        <v>234</v>
      </c>
      <c r="H1463">
        <v>155</v>
      </c>
      <c r="I1463" t="s">
        <v>32</v>
      </c>
      <c r="J1463">
        <v>5</v>
      </c>
      <c r="K1463" t="s">
        <v>20</v>
      </c>
      <c r="L1463">
        <v>2292</v>
      </c>
      <c r="M1463">
        <v>3.52</v>
      </c>
      <c r="N1463" s="6">
        <f t="shared" si="22"/>
        <v>210212476.08000001</v>
      </c>
    </row>
    <row r="1464" spans="1:14" x14ac:dyDescent="0.35">
      <c r="A1464" t="s">
        <v>57</v>
      </c>
      <c r="B1464" t="s">
        <v>79</v>
      </c>
      <c r="C1464">
        <v>2025</v>
      </c>
      <c r="D1464" t="s">
        <v>38</v>
      </c>
      <c r="E1464">
        <v>55304.32</v>
      </c>
      <c r="F1464">
        <v>58.4</v>
      </c>
      <c r="G1464">
        <v>191</v>
      </c>
      <c r="H1464">
        <v>164</v>
      </c>
      <c r="I1464" t="s">
        <v>21</v>
      </c>
      <c r="J1464">
        <v>5</v>
      </c>
      <c r="K1464" t="s">
        <v>22</v>
      </c>
      <c r="L1464">
        <v>32117</v>
      </c>
      <c r="M1464">
        <v>3.32</v>
      </c>
      <c r="N1464" s="6">
        <f t="shared" si="22"/>
        <v>1776208845.4400001</v>
      </c>
    </row>
    <row r="1465" spans="1:14" x14ac:dyDescent="0.35">
      <c r="A1465" t="s">
        <v>45</v>
      </c>
      <c r="B1465" t="s">
        <v>77</v>
      </c>
      <c r="C1465">
        <v>2025</v>
      </c>
      <c r="D1465" t="s">
        <v>15</v>
      </c>
      <c r="E1465">
        <v>30282.11</v>
      </c>
      <c r="F1465">
        <v>100</v>
      </c>
      <c r="G1465">
        <v>331</v>
      </c>
      <c r="H1465">
        <v>200</v>
      </c>
      <c r="I1465" t="s">
        <v>25</v>
      </c>
      <c r="J1465">
        <v>5</v>
      </c>
      <c r="K1465" t="s">
        <v>47</v>
      </c>
      <c r="L1465">
        <v>180781</v>
      </c>
      <c r="M1465">
        <v>4.04</v>
      </c>
      <c r="N1465" s="6">
        <f t="shared" si="22"/>
        <v>5474430127.9099998</v>
      </c>
    </row>
    <row r="1466" spans="1:14" x14ac:dyDescent="0.35">
      <c r="A1466" t="s">
        <v>45</v>
      </c>
      <c r="B1466" t="s">
        <v>77</v>
      </c>
      <c r="C1466">
        <v>2025</v>
      </c>
      <c r="D1466" t="s">
        <v>43</v>
      </c>
      <c r="E1466">
        <v>83813.38</v>
      </c>
      <c r="F1466">
        <v>70</v>
      </c>
      <c r="G1466">
        <v>271</v>
      </c>
      <c r="H1466">
        <v>166</v>
      </c>
      <c r="I1466" t="s">
        <v>21</v>
      </c>
      <c r="J1466">
        <v>3</v>
      </c>
      <c r="K1466" t="s">
        <v>20</v>
      </c>
      <c r="L1466">
        <v>193467</v>
      </c>
      <c r="M1466">
        <v>3.4</v>
      </c>
      <c r="N1466" s="6">
        <f t="shared" si="22"/>
        <v>16215123188.460001</v>
      </c>
    </row>
    <row r="1467" spans="1:14" x14ac:dyDescent="0.35">
      <c r="A1467" t="s">
        <v>29</v>
      </c>
      <c r="B1467" t="s">
        <v>31</v>
      </c>
      <c r="C1467">
        <v>2025</v>
      </c>
      <c r="D1467" t="s">
        <v>15</v>
      </c>
      <c r="E1467">
        <v>63323.17</v>
      </c>
      <c r="F1467">
        <v>90.5</v>
      </c>
      <c r="G1467">
        <v>314</v>
      </c>
      <c r="H1467">
        <v>195</v>
      </c>
      <c r="I1467" t="s">
        <v>33</v>
      </c>
      <c r="J1467">
        <v>5</v>
      </c>
      <c r="K1467" t="s">
        <v>22</v>
      </c>
      <c r="L1467">
        <v>404935</v>
      </c>
      <c r="M1467">
        <v>3.92</v>
      </c>
      <c r="N1467" s="6">
        <f t="shared" si="22"/>
        <v>25641767843.950001</v>
      </c>
    </row>
    <row r="1468" spans="1:14" x14ac:dyDescent="0.35">
      <c r="A1468" t="s">
        <v>45</v>
      </c>
      <c r="B1468" t="s">
        <v>48</v>
      </c>
      <c r="C1468">
        <v>2025</v>
      </c>
      <c r="D1468" t="s">
        <v>28</v>
      </c>
      <c r="E1468">
        <v>51946.07</v>
      </c>
      <c r="F1468">
        <v>98.3</v>
      </c>
      <c r="G1468">
        <v>331</v>
      </c>
      <c r="H1468">
        <v>185</v>
      </c>
      <c r="I1468" t="s">
        <v>40</v>
      </c>
      <c r="J1468">
        <v>5</v>
      </c>
      <c r="K1468" t="s">
        <v>22</v>
      </c>
      <c r="L1468">
        <v>247778</v>
      </c>
      <c r="M1468">
        <v>3.61</v>
      </c>
      <c r="N1468" s="6">
        <f t="shared" si="22"/>
        <v>12871093332.459999</v>
      </c>
    </row>
    <row r="1469" spans="1:14" x14ac:dyDescent="0.35">
      <c r="A1469" t="s">
        <v>57</v>
      </c>
      <c r="B1469" t="s">
        <v>62</v>
      </c>
      <c r="C1469">
        <v>2025</v>
      </c>
      <c r="D1469" t="s">
        <v>43</v>
      </c>
      <c r="E1469">
        <v>44718.1</v>
      </c>
      <c r="F1469">
        <v>71.7</v>
      </c>
      <c r="G1469">
        <v>258</v>
      </c>
      <c r="H1469">
        <v>157</v>
      </c>
      <c r="I1469" t="s">
        <v>32</v>
      </c>
      <c r="J1469">
        <v>5</v>
      </c>
      <c r="K1469" t="s">
        <v>22</v>
      </c>
      <c r="L1469">
        <v>41551</v>
      </c>
      <c r="M1469">
        <v>3.51</v>
      </c>
      <c r="N1469" s="6">
        <f t="shared" si="22"/>
        <v>1858081773.0999999</v>
      </c>
    </row>
    <row r="1470" spans="1:14" x14ac:dyDescent="0.35">
      <c r="A1470" t="s">
        <v>13</v>
      </c>
      <c r="B1470" t="s">
        <v>56</v>
      </c>
      <c r="C1470">
        <v>2025</v>
      </c>
      <c r="D1470" t="s">
        <v>20</v>
      </c>
      <c r="E1470">
        <v>112803.13</v>
      </c>
      <c r="F1470">
        <v>81.2</v>
      </c>
      <c r="G1470">
        <v>297</v>
      </c>
      <c r="H1470">
        <v>158</v>
      </c>
      <c r="I1470" t="s">
        <v>16</v>
      </c>
      <c r="J1470">
        <v>4</v>
      </c>
      <c r="K1470" t="s">
        <v>17</v>
      </c>
      <c r="L1470">
        <v>225327</v>
      </c>
      <c r="M1470">
        <v>3.76</v>
      </c>
      <c r="N1470" s="6">
        <f t="shared" si="22"/>
        <v>25417590873.510002</v>
      </c>
    </row>
    <row r="1471" spans="1:14" x14ac:dyDescent="0.35">
      <c r="A1471" t="s">
        <v>67</v>
      </c>
      <c r="B1471" t="s">
        <v>68</v>
      </c>
      <c r="C1471">
        <v>2025</v>
      </c>
      <c r="D1471" t="s">
        <v>28</v>
      </c>
      <c r="E1471">
        <v>126392.96000000001</v>
      </c>
      <c r="F1471">
        <v>109.8</v>
      </c>
      <c r="G1471">
        <v>384</v>
      </c>
      <c r="H1471">
        <v>176</v>
      </c>
      <c r="I1471" t="s">
        <v>40</v>
      </c>
      <c r="J1471">
        <v>4</v>
      </c>
      <c r="K1471" t="s">
        <v>17</v>
      </c>
      <c r="L1471">
        <v>38380</v>
      </c>
      <c r="M1471">
        <v>4.0199999999999996</v>
      </c>
      <c r="N1471" s="6">
        <f t="shared" si="22"/>
        <v>4850961804.8000002</v>
      </c>
    </row>
    <row r="1472" spans="1:14" x14ac:dyDescent="0.35">
      <c r="A1472" t="s">
        <v>18</v>
      </c>
      <c r="B1472" t="s">
        <v>19</v>
      </c>
      <c r="C1472">
        <v>2025</v>
      </c>
      <c r="D1472" t="s">
        <v>20</v>
      </c>
      <c r="E1472">
        <v>79560.179999999993</v>
      </c>
      <c r="F1472">
        <v>48.9</v>
      </c>
      <c r="G1472">
        <v>199</v>
      </c>
      <c r="H1472">
        <v>167</v>
      </c>
      <c r="I1472" t="s">
        <v>21</v>
      </c>
      <c r="J1472">
        <v>5</v>
      </c>
      <c r="K1472" t="s">
        <v>20</v>
      </c>
      <c r="L1472">
        <v>12847</v>
      </c>
      <c r="M1472">
        <v>3.03</v>
      </c>
      <c r="N1472" s="6">
        <f t="shared" si="22"/>
        <v>1022109632.4599999</v>
      </c>
    </row>
    <row r="1473" spans="1:14" x14ac:dyDescent="0.35">
      <c r="A1473" t="s">
        <v>49</v>
      </c>
      <c r="B1473" t="s">
        <v>71</v>
      </c>
      <c r="C1473">
        <v>2025</v>
      </c>
      <c r="D1473" t="s">
        <v>15</v>
      </c>
      <c r="E1473">
        <v>56648.45</v>
      </c>
      <c r="F1473">
        <v>77.2</v>
      </c>
      <c r="G1473">
        <v>256</v>
      </c>
      <c r="H1473">
        <v>200</v>
      </c>
      <c r="I1473" t="s">
        <v>16</v>
      </c>
      <c r="J1473">
        <v>4</v>
      </c>
      <c r="K1473" t="s">
        <v>22</v>
      </c>
      <c r="L1473">
        <v>120189</v>
      </c>
      <c r="M1473">
        <v>3.68</v>
      </c>
      <c r="N1473" s="6">
        <f t="shared" si="22"/>
        <v>6808520557.0499992</v>
      </c>
    </row>
    <row r="1474" spans="1:14" x14ac:dyDescent="0.35">
      <c r="A1474" t="s">
        <v>29</v>
      </c>
      <c r="B1474" t="s">
        <v>31</v>
      </c>
      <c r="C1474">
        <v>2025</v>
      </c>
      <c r="D1474" t="s">
        <v>20</v>
      </c>
      <c r="E1474">
        <v>126346.84</v>
      </c>
      <c r="F1474">
        <v>62.5</v>
      </c>
      <c r="G1474">
        <v>253</v>
      </c>
      <c r="H1474">
        <v>147</v>
      </c>
      <c r="I1474" t="s">
        <v>21</v>
      </c>
      <c r="J1474">
        <v>4</v>
      </c>
      <c r="K1474" t="s">
        <v>17</v>
      </c>
      <c r="L1474">
        <v>433007</v>
      </c>
      <c r="M1474">
        <v>3.92</v>
      </c>
      <c r="N1474" s="6">
        <f t="shared" ref="N1474:N1537" si="23">E1474*L1474</f>
        <v>54709066147.879997</v>
      </c>
    </row>
    <row r="1475" spans="1:14" x14ac:dyDescent="0.35">
      <c r="A1475" t="s">
        <v>102</v>
      </c>
      <c r="B1475" t="s">
        <v>117</v>
      </c>
      <c r="C1475">
        <v>2025</v>
      </c>
      <c r="D1475" t="s">
        <v>28</v>
      </c>
      <c r="E1475">
        <v>79465</v>
      </c>
      <c r="F1475">
        <v>100.9</v>
      </c>
      <c r="G1475">
        <v>373</v>
      </c>
      <c r="H1475">
        <v>183</v>
      </c>
      <c r="I1475" t="s">
        <v>25</v>
      </c>
      <c r="J1475">
        <v>5</v>
      </c>
      <c r="K1475" t="s">
        <v>20</v>
      </c>
      <c r="L1475">
        <v>9072</v>
      </c>
      <c r="M1475">
        <v>4</v>
      </c>
      <c r="N1475" s="6">
        <f t="shared" si="23"/>
        <v>720906480</v>
      </c>
    </row>
    <row r="1476" spans="1:14" x14ac:dyDescent="0.35">
      <c r="A1476" t="s">
        <v>13</v>
      </c>
      <c r="B1476" t="s">
        <v>14</v>
      </c>
      <c r="C1476">
        <v>2025</v>
      </c>
      <c r="D1476" t="s">
        <v>28</v>
      </c>
      <c r="E1476">
        <v>97039.06</v>
      </c>
      <c r="F1476">
        <v>100.7</v>
      </c>
      <c r="G1476">
        <v>357</v>
      </c>
      <c r="H1476">
        <v>191</v>
      </c>
      <c r="I1476" t="s">
        <v>33</v>
      </c>
      <c r="J1476">
        <v>4</v>
      </c>
      <c r="K1476" t="s">
        <v>20</v>
      </c>
      <c r="L1476">
        <v>224398</v>
      </c>
      <c r="M1476">
        <v>3.79</v>
      </c>
      <c r="N1476" s="6">
        <f t="shared" si="23"/>
        <v>21775370985.880001</v>
      </c>
    </row>
    <row r="1477" spans="1:14" x14ac:dyDescent="0.35">
      <c r="A1477" t="s">
        <v>23</v>
      </c>
      <c r="B1477" t="s">
        <v>37</v>
      </c>
      <c r="C1477">
        <v>2025</v>
      </c>
      <c r="D1477" t="s">
        <v>20</v>
      </c>
      <c r="E1477">
        <v>80502.600000000006</v>
      </c>
      <c r="F1477">
        <v>78.599999999999994</v>
      </c>
      <c r="G1477">
        <v>262</v>
      </c>
      <c r="H1477">
        <v>176</v>
      </c>
      <c r="I1477" t="s">
        <v>40</v>
      </c>
      <c r="J1477">
        <v>3</v>
      </c>
      <c r="K1477" t="s">
        <v>20</v>
      </c>
      <c r="L1477">
        <v>14992</v>
      </c>
      <c r="M1477">
        <v>3.62</v>
      </c>
      <c r="N1477" s="6">
        <f t="shared" si="23"/>
        <v>1206894979.2</v>
      </c>
    </row>
    <row r="1478" spans="1:14" x14ac:dyDescent="0.35">
      <c r="A1478" t="s">
        <v>29</v>
      </c>
      <c r="B1478" t="s">
        <v>30</v>
      </c>
      <c r="C1478">
        <v>2025</v>
      </c>
      <c r="D1478" t="s">
        <v>28</v>
      </c>
      <c r="E1478">
        <v>31639.64</v>
      </c>
      <c r="F1478">
        <v>77.2</v>
      </c>
      <c r="G1478">
        <v>287</v>
      </c>
      <c r="H1478">
        <v>172</v>
      </c>
      <c r="I1478" t="s">
        <v>33</v>
      </c>
      <c r="J1478">
        <v>5</v>
      </c>
      <c r="K1478" t="s">
        <v>47</v>
      </c>
      <c r="L1478">
        <v>146342</v>
      </c>
      <c r="M1478">
        <v>4</v>
      </c>
      <c r="N1478" s="6">
        <f t="shared" si="23"/>
        <v>4630208196.8800001</v>
      </c>
    </row>
    <row r="1479" spans="1:14" x14ac:dyDescent="0.35">
      <c r="A1479" t="s">
        <v>45</v>
      </c>
      <c r="B1479" t="s">
        <v>48</v>
      </c>
      <c r="C1479">
        <v>2025</v>
      </c>
      <c r="D1479" t="s">
        <v>15</v>
      </c>
      <c r="E1479">
        <v>81358.02</v>
      </c>
      <c r="F1479">
        <v>82.4</v>
      </c>
      <c r="G1479">
        <v>282</v>
      </c>
      <c r="H1479">
        <v>195</v>
      </c>
      <c r="I1479" t="s">
        <v>40</v>
      </c>
      <c r="J1479">
        <v>4</v>
      </c>
      <c r="K1479" t="s">
        <v>20</v>
      </c>
      <c r="L1479">
        <v>108251</v>
      </c>
      <c r="M1479">
        <v>3.65</v>
      </c>
      <c r="N1479" s="6">
        <f t="shared" si="23"/>
        <v>8807087023.0200005</v>
      </c>
    </row>
    <row r="1480" spans="1:14" x14ac:dyDescent="0.35">
      <c r="A1480" t="s">
        <v>45</v>
      </c>
      <c r="B1480" t="s">
        <v>77</v>
      </c>
      <c r="C1480">
        <v>2025</v>
      </c>
      <c r="D1480" t="s">
        <v>38</v>
      </c>
      <c r="E1480">
        <v>73207.320000000007</v>
      </c>
      <c r="F1480">
        <v>69.3</v>
      </c>
      <c r="G1480">
        <v>232</v>
      </c>
      <c r="H1480">
        <v>152</v>
      </c>
      <c r="I1480" t="s">
        <v>32</v>
      </c>
      <c r="J1480">
        <v>4</v>
      </c>
      <c r="K1480" t="s">
        <v>20</v>
      </c>
      <c r="L1480">
        <v>205374</v>
      </c>
      <c r="M1480">
        <v>3.21</v>
      </c>
      <c r="N1480" s="6">
        <f t="shared" si="23"/>
        <v>15034880137.680002</v>
      </c>
    </row>
    <row r="1481" spans="1:14" x14ac:dyDescent="0.35">
      <c r="A1481" t="s">
        <v>34</v>
      </c>
      <c r="B1481" t="s">
        <v>106</v>
      </c>
      <c r="C1481">
        <v>2025</v>
      </c>
      <c r="D1481" t="s">
        <v>20</v>
      </c>
      <c r="E1481">
        <v>112650.99</v>
      </c>
      <c r="F1481">
        <v>53.9</v>
      </c>
      <c r="G1481">
        <v>165</v>
      </c>
      <c r="H1481">
        <v>148</v>
      </c>
      <c r="I1481" t="s">
        <v>21</v>
      </c>
      <c r="J1481">
        <v>4</v>
      </c>
      <c r="K1481" t="s">
        <v>17</v>
      </c>
      <c r="L1481">
        <v>79068</v>
      </c>
      <c r="M1481">
        <v>3.36</v>
      </c>
      <c r="N1481" s="6">
        <f t="shared" si="23"/>
        <v>8907088477.3199997</v>
      </c>
    </row>
    <row r="1482" spans="1:14" x14ac:dyDescent="0.35">
      <c r="A1482" t="s">
        <v>29</v>
      </c>
      <c r="B1482" t="s">
        <v>39</v>
      </c>
      <c r="C1482">
        <v>2025</v>
      </c>
      <c r="D1482" t="s">
        <v>43</v>
      </c>
      <c r="E1482">
        <v>58831.27</v>
      </c>
      <c r="F1482">
        <v>45</v>
      </c>
      <c r="G1482">
        <v>150</v>
      </c>
      <c r="H1482">
        <v>147</v>
      </c>
      <c r="I1482" t="s">
        <v>40</v>
      </c>
      <c r="J1482">
        <v>5</v>
      </c>
      <c r="K1482" t="s">
        <v>22</v>
      </c>
      <c r="L1482">
        <v>150860</v>
      </c>
      <c r="M1482">
        <v>3.42</v>
      </c>
      <c r="N1482" s="6">
        <f t="shared" si="23"/>
        <v>8875285392.1999989</v>
      </c>
    </row>
    <row r="1483" spans="1:14" x14ac:dyDescent="0.35">
      <c r="A1483" t="s">
        <v>13</v>
      </c>
      <c r="B1483" t="s">
        <v>66</v>
      </c>
      <c r="C1483">
        <v>2025</v>
      </c>
      <c r="D1483" t="s">
        <v>28</v>
      </c>
      <c r="E1483">
        <v>70858.100000000006</v>
      </c>
      <c r="F1483">
        <v>90.5</v>
      </c>
      <c r="G1483">
        <v>274</v>
      </c>
      <c r="H1483">
        <v>163</v>
      </c>
      <c r="I1483" t="s">
        <v>16</v>
      </c>
      <c r="J1483">
        <v>5</v>
      </c>
      <c r="K1483" t="s">
        <v>20</v>
      </c>
      <c r="L1483">
        <v>251846</v>
      </c>
      <c r="M1483">
        <v>3.59</v>
      </c>
      <c r="N1483" s="6">
        <f t="shared" si="23"/>
        <v>17845329052.600002</v>
      </c>
    </row>
    <row r="1484" spans="1:14" x14ac:dyDescent="0.35">
      <c r="A1484" t="s">
        <v>45</v>
      </c>
      <c r="B1484" t="s">
        <v>54</v>
      </c>
      <c r="C1484">
        <v>2025</v>
      </c>
      <c r="D1484" t="s">
        <v>38</v>
      </c>
      <c r="E1484">
        <v>73712.39</v>
      </c>
      <c r="F1484">
        <v>44.1</v>
      </c>
      <c r="G1484">
        <v>173</v>
      </c>
      <c r="H1484">
        <v>126</v>
      </c>
      <c r="I1484" t="s">
        <v>40</v>
      </c>
      <c r="J1484">
        <v>4</v>
      </c>
      <c r="K1484" t="s">
        <v>20</v>
      </c>
      <c r="L1484">
        <v>243890</v>
      </c>
      <c r="M1484">
        <v>3.08</v>
      </c>
      <c r="N1484" s="6">
        <f t="shared" si="23"/>
        <v>17977714797.099998</v>
      </c>
    </row>
    <row r="1485" spans="1:14" x14ac:dyDescent="0.35">
      <c r="A1485" t="s">
        <v>49</v>
      </c>
      <c r="B1485" t="s">
        <v>71</v>
      </c>
      <c r="C1485">
        <v>2025</v>
      </c>
      <c r="D1485" t="s">
        <v>43</v>
      </c>
      <c r="E1485">
        <v>65291.37</v>
      </c>
      <c r="F1485">
        <v>83.7</v>
      </c>
      <c r="G1485">
        <v>283</v>
      </c>
      <c r="H1485">
        <v>150</v>
      </c>
      <c r="I1485" t="s">
        <v>25</v>
      </c>
      <c r="J1485">
        <v>5</v>
      </c>
      <c r="K1485" t="s">
        <v>20</v>
      </c>
      <c r="L1485">
        <v>99183</v>
      </c>
      <c r="M1485">
        <v>3.55</v>
      </c>
      <c r="N1485" s="6">
        <f t="shared" si="23"/>
        <v>6475793950.71</v>
      </c>
    </row>
    <row r="1486" spans="1:14" x14ac:dyDescent="0.35">
      <c r="A1486" t="s">
        <v>29</v>
      </c>
      <c r="B1486" t="s">
        <v>53</v>
      </c>
      <c r="C1486">
        <v>2025</v>
      </c>
      <c r="D1486" t="s">
        <v>38</v>
      </c>
      <c r="E1486">
        <v>64862.04</v>
      </c>
      <c r="F1486">
        <v>68.099999999999994</v>
      </c>
      <c r="G1486">
        <v>237</v>
      </c>
      <c r="H1486">
        <v>145</v>
      </c>
      <c r="I1486" t="s">
        <v>16</v>
      </c>
      <c r="J1486">
        <v>5</v>
      </c>
      <c r="K1486" t="s">
        <v>22</v>
      </c>
      <c r="L1486">
        <v>237113</v>
      </c>
      <c r="M1486">
        <v>3.85</v>
      </c>
      <c r="N1486" s="6">
        <f t="shared" si="23"/>
        <v>15379632890.52</v>
      </c>
    </row>
    <row r="1487" spans="1:14" x14ac:dyDescent="0.35">
      <c r="A1487" t="s">
        <v>34</v>
      </c>
      <c r="B1487" t="s">
        <v>35</v>
      </c>
      <c r="C1487">
        <v>2025</v>
      </c>
      <c r="D1487" t="s">
        <v>43</v>
      </c>
      <c r="E1487">
        <v>131964.76</v>
      </c>
      <c r="F1487">
        <v>47</v>
      </c>
      <c r="G1487">
        <v>157</v>
      </c>
      <c r="H1487">
        <v>160</v>
      </c>
      <c r="I1487" t="s">
        <v>33</v>
      </c>
      <c r="J1487">
        <v>4</v>
      </c>
      <c r="K1487" t="s">
        <v>17</v>
      </c>
      <c r="L1487">
        <v>62952</v>
      </c>
      <c r="M1487">
        <v>3.64</v>
      </c>
      <c r="N1487" s="6">
        <f t="shared" si="23"/>
        <v>8307445571.5200005</v>
      </c>
    </row>
    <row r="1488" spans="1:14" x14ac:dyDescent="0.35">
      <c r="A1488" t="s">
        <v>45</v>
      </c>
      <c r="B1488" t="s">
        <v>46</v>
      </c>
      <c r="C1488">
        <v>2025</v>
      </c>
      <c r="D1488" t="s">
        <v>43</v>
      </c>
      <c r="E1488">
        <v>37099.25</v>
      </c>
      <c r="F1488">
        <v>64.7</v>
      </c>
      <c r="G1488">
        <v>205</v>
      </c>
      <c r="H1488">
        <v>171</v>
      </c>
      <c r="I1488" t="s">
        <v>32</v>
      </c>
      <c r="J1488">
        <v>5</v>
      </c>
      <c r="K1488" t="s">
        <v>22</v>
      </c>
      <c r="L1488">
        <v>163441</v>
      </c>
      <c r="M1488">
        <v>3.69</v>
      </c>
      <c r="N1488" s="6">
        <f t="shared" si="23"/>
        <v>6063538519.25</v>
      </c>
    </row>
    <row r="1489" spans="1:14" x14ac:dyDescent="0.35">
      <c r="A1489" t="s">
        <v>67</v>
      </c>
      <c r="B1489" t="s">
        <v>98</v>
      </c>
      <c r="C1489">
        <v>2025</v>
      </c>
      <c r="D1489" t="s">
        <v>43</v>
      </c>
      <c r="E1489">
        <v>55204.45</v>
      </c>
      <c r="F1489">
        <v>65.400000000000006</v>
      </c>
      <c r="G1489">
        <v>223</v>
      </c>
      <c r="H1489">
        <v>164</v>
      </c>
      <c r="I1489" t="s">
        <v>32</v>
      </c>
      <c r="J1489">
        <v>4</v>
      </c>
      <c r="K1489" t="s">
        <v>22</v>
      </c>
      <c r="L1489">
        <v>48087</v>
      </c>
      <c r="M1489">
        <v>3.24</v>
      </c>
      <c r="N1489" s="6">
        <f t="shared" si="23"/>
        <v>2654616387.1500001</v>
      </c>
    </row>
    <row r="1490" spans="1:14" x14ac:dyDescent="0.35">
      <c r="A1490" t="s">
        <v>57</v>
      </c>
      <c r="B1490" t="s">
        <v>62</v>
      </c>
      <c r="C1490">
        <v>2025</v>
      </c>
      <c r="D1490" t="s">
        <v>43</v>
      </c>
      <c r="E1490">
        <v>63604.01</v>
      </c>
      <c r="F1490">
        <v>40</v>
      </c>
      <c r="G1490">
        <v>150</v>
      </c>
      <c r="H1490">
        <v>148</v>
      </c>
      <c r="I1490" t="s">
        <v>32</v>
      </c>
      <c r="J1490">
        <v>4</v>
      </c>
      <c r="K1490" t="s">
        <v>22</v>
      </c>
      <c r="L1490">
        <v>36824</v>
      </c>
      <c r="M1490">
        <v>3.23</v>
      </c>
      <c r="N1490" s="6">
        <f t="shared" si="23"/>
        <v>2342154064.2400002</v>
      </c>
    </row>
    <row r="1491" spans="1:14" x14ac:dyDescent="0.35">
      <c r="A1491" t="s">
        <v>34</v>
      </c>
      <c r="B1491" t="s">
        <v>35</v>
      </c>
      <c r="C1491">
        <v>2025</v>
      </c>
      <c r="D1491" t="s">
        <v>43</v>
      </c>
      <c r="E1491">
        <v>99348.31</v>
      </c>
      <c r="F1491">
        <v>48.9</v>
      </c>
      <c r="G1491">
        <v>189</v>
      </c>
      <c r="H1491">
        <v>150</v>
      </c>
      <c r="I1491" t="s">
        <v>33</v>
      </c>
      <c r="J1491">
        <v>4</v>
      </c>
      <c r="K1491" t="s">
        <v>20</v>
      </c>
      <c r="L1491">
        <v>79812</v>
      </c>
      <c r="M1491">
        <v>3.77</v>
      </c>
      <c r="N1491" s="6">
        <f t="shared" si="23"/>
        <v>7929187317.7200003</v>
      </c>
    </row>
    <row r="1492" spans="1:14" x14ac:dyDescent="0.35">
      <c r="A1492" t="s">
        <v>34</v>
      </c>
      <c r="B1492" t="s">
        <v>78</v>
      </c>
      <c r="C1492">
        <v>2025</v>
      </c>
      <c r="D1492" t="s">
        <v>38</v>
      </c>
      <c r="E1492">
        <v>124226.17</v>
      </c>
      <c r="F1492">
        <v>74.2</v>
      </c>
      <c r="G1492">
        <v>253</v>
      </c>
      <c r="H1492">
        <v>164</v>
      </c>
      <c r="I1492" t="s">
        <v>21</v>
      </c>
      <c r="J1492">
        <v>4</v>
      </c>
      <c r="K1492" t="s">
        <v>17</v>
      </c>
      <c r="L1492">
        <v>40173</v>
      </c>
      <c r="M1492">
        <v>3.67</v>
      </c>
      <c r="N1492" s="6">
        <f t="shared" si="23"/>
        <v>4990537927.4099998</v>
      </c>
    </row>
    <row r="1493" spans="1:14" x14ac:dyDescent="0.35">
      <c r="A1493" t="s">
        <v>23</v>
      </c>
      <c r="B1493" t="s">
        <v>37</v>
      </c>
      <c r="C1493">
        <v>2025</v>
      </c>
      <c r="D1493" t="s">
        <v>38</v>
      </c>
      <c r="E1493">
        <v>34616.61</v>
      </c>
      <c r="F1493">
        <v>73.900000000000006</v>
      </c>
      <c r="G1493">
        <v>287</v>
      </c>
      <c r="H1493">
        <v>167</v>
      </c>
      <c r="I1493" t="s">
        <v>33</v>
      </c>
      <c r="J1493">
        <v>4</v>
      </c>
      <c r="K1493" t="s">
        <v>47</v>
      </c>
      <c r="L1493">
        <v>24423</v>
      </c>
      <c r="M1493">
        <v>3.83</v>
      </c>
      <c r="N1493" s="6">
        <f t="shared" si="23"/>
        <v>845441466.02999997</v>
      </c>
    </row>
    <row r="1494" spans="1:14" x14ac:dyDescent="0.35">
      <c r="A1494" t="s">
        <v>34</v>
      </c>
      <c r="B1494" t="s">
        <v>35</v>
      </c>
      <c r="C1494">
        <v>2025</v>
      </c>
      <c r="D1494" t="s">
        <v>28</v>
      </c>
      <c r="E1494">
        <v>183986.43</v>
      </c>
      <c r="F1494">
        <v>100.6</v>
      </c>
      <c r="G1494">
        <v>365</v>
      </c>
      <c r="H1494">
        <v>193</v>
      </c>
      <c r="I1494" t="s">
        <v>32</v>
      </c>
      <c r="J1494">
        <v>5</v>
      </c>
      <c r="K1494" t="s">
        <v>17</v>
      </c>
      <c r="L1494">
        <v>50432</v>
      </c>
      <c r="M1494">
        <v>4.09</v>
      </c>
      <c r="N1494" s="6">
        <f t="shared" si="23"/>
        <v>9278803637.7600002</v>
      </c>
    </row>
    <row r="1495" spans="1:14" x14ac:dyDescent="0.35">
      <c r="A1495" t="s">
        <v>29</v>
      </c>
      <c r="B1495" t="s">
        <v>53</v>
      </c>
      <c r="C1495">
        <v>2025</v>
      </c>
      <c r="D1495" t="s">
        <v>15</v>
      </c>
      <c r="E1495">
        <v>56352.74</v>
      </c>
      <c r="F1495">
        <v>82.9</v>
      </c>
      <c r="G1495">
        <v>297</v>
      </c>
      <c r="H1495">
        <v>200</v>
      </c>
      <c r="I1495" t="s">
        <v>16</v>
      </c>
      <c r="J1495">
        <v>4</v>
      </c>
      <c r="K1495" t="s">
        <v>22</v>
      </c>
      <c r="L1495">
        <v>197115</v>
      </c>
      <c r="M1495">
        <v>3.86</v>
      </c>
      <c r="N1495" s="6">
        <f t="shared" si="23"/>
        <v>11107970345.1</v>
      </c>
    </row>
    <row r="1496" spans="1:14" x14ac:dyDescent="0.35">
      <c r="A1496" t="s">
        <v>23</v>
      </c>
      <c r="B1496" t="s">
        <v>37</v>
      </c>
      <c r="C1496">
        <v>2025</v>
      </c>
      <c r="D1496" t="s">
        <v>38</v>
      </c>
      <c r="E1496">
        <v>63436.73</v>
      </c>
      <c r="F1496">
        <v>52.8</v>
      </c>
      <c r="G1496">
        <v>186</v>
      </c>
      <c r="H1496">
        <v>130</v>
      </c>
      <c r="I1496" t="s">
        <v>16</v>
      </c>
      <c r="J1496">
        <v>5</v>
      </c>
      <c r="K1496" t="s">
        <v>22</v>
      </c>
      <c r="L1496">
        <v>13397</v>
      </c>
      <c r="M1496">
        <v>3.49</v>
      </c>
      <c r="N1496" s="6">
        <f t="shared" si="23"/>
        <v>849861871.81000006</v>
      </c>
    </row>
    <row r="1497" spans="1:14" x14ac:dyDescent="0.35">
      <c r="A1497" t="s">
        <v>64</v>
      </c>
      <c r="B1497" t="s">
        <v>95</v>
      </c>
      <c r="C1497">
        <v>2025</v>
      </c>
      <c r="D1497" t="s">
        <v>38</v>
      </c>
      <c r="E1497">
        <v>84667.26</v>
      </c>
      <c r="F1497">
        <v>78.3</v>
      </c>
      <c r="G1497">
        <v>258</v>
      </c>
      <c r="H1497">
        <v>141</v>
      </c>
      <c r="I1497" t="s">
        <v>16</v>
      </c>
      <c r="J1497">
        <v>3</v>
      </c>
      <c r="K1497" t="s">
        <v>20</v>
      </c>
      <c r="L1497">
        <v>39763</v>
      </c>
      <c r="M1497">
        <v>3.26</v>
      </c>
      <c r="N1497" s="6">
        <f t="shared" si="23"/>
        <v>3366624259.3799996</v>
      </c>
    </row>
    <row r="1498" spans="1:14" x14ac:dyDescent="0.35">
      <c r="A1498" t="s">
        <v>64</v>
      </c>
      <c r="B1498" t="s">
        <v>85</v>
      </c>
      <c r="C1498">
        <v>2025</v>
      </c>
      <c r="D1498" t="s">
        <v>43</v>
      </c>
      <c r="E1498">
        <v>92031.99</v>
      </c>
      <c r="F1498">
        <v>74.599999999999994</v>
      </c>
      <c r="G1498">
        <v>257</v>
      </c>
      <c r="H1498">
        <v>166</v>
      </c>
      <c r="I1498" t="s">
        <v>40</v>
      </c>
      <c r="J1498">
        <v>5</v>
      </c>
      <c r="K1498" t="s">
        <v>20</v>
      </c>
      <c r="L1498">
        <v>29936</v>
      </c>
      <c r="M1498">
        <v>3.7</v>
      </c>
      <c r="N1498" s="6">
        <f t="shared" si="23"/>
        <v>2755069652.6400003</v>
      </c>
    </row>
    <row r="1499" spans="1:14" x14ac:dyDescent="0.35">
      <c r="A1499" t="s">
        <v>57</v>
      </c>
      <c r="B1499" t="s">
        <v>79</v>
      </c>
      <c r="C1499">
        <v>2025</v>
      </c>
      <c r="D1499" t="s">
        <v>20</v>
      </c>
      <c r="E1499">
        <v>66422.789999999994</v>
      </c>
      <c r="F1499">
        <v>77.900000000000006</v>
      </c>
      <c r="G1499">
        <v>263</v>
      </c>
      <c r="H1499">
        <v>149</v>
      </c>
      <c r="I1499" t="s">
        <v>25</v>
      </c>
      <c r="J1499">
        <v>5</v>
      </c>
      <c r="K1499" t="s">
        <v>20</v>
      </c>
      <c r="L1499">
        <v>56669</v>
      </c>
      <c r="M1499">
        <v>3.69</v>
      </c>
      <c r="N1499" s="6">
        <f t="shared" si="23"/>
        <v>3764113086.5099998</v>
      </c>
    </row>
    <row r="1500" spans="1:14" x14ac:dyDescent="0.35">
      <c r="A1500" t="s">
        <v>29</v>
      </c>
      <c r="B1500" t="s">
        <v>53</v>
      </c>
      <c r="C1500">
        <v>2025</v>
      </c>
      <c r="D1500" t="s">
        <v>20</v>
      </c>
      <c r="E1500">
        <v>52220.2</v>
      </c>
      <c r="F1500">
        <v>69.099999999999994</v>
      </c>
      <c r="G1500">
        <v>211</v>
      </c>
      <c r="H1500">
        <v>172</v>
      </c>
      <c r="I1500" t="s">
        <v>16</v>
      </c>
      <c r="J1500">
        <v>5</v>
      </c>
      <c r="K1500" t="s">
        <v>22</v>
      </c>
      <c r="L1500">
        <v>119997</v>
      </c>
      <c r="M1500">
        <v>3.75</v>
      </c>
      <c r="N1500" s="6">
        <f t="shared" si="23"/>
        <v>6266267339.3999996</v>
      </c>
    </row>
    <row r="1501" spans="1:14" x14ac:dyDescent="0.35">
      <c r="A1501" t="s">
        <v>23</v>
      </c>
      <c r="B1501" t="s">
        <v>83</v>
      </c>
      <c r="C1501">
        <v>2025</v>
      </c>
      <c r="D1501" t="s">
        <v>28</v>
      </c>
      <c r="E1501">
        <v>84366.720000000001</v>
      </c>
      <c r="F1501">
        <v>76.7</v>
      </c>
      <c r="G1501">
        <v>244</v>
      </c>
      <c r="H1501">
        <v>185</v>
      </c>
      <c r="I1501" t="s">
        <v>21</v>
      </c>
      <c r="J1501">
        <v>4</v>
      </c>
      <c r="K1501" t="s">
        <v>20</v>
      </c>
      <c r="L1501">
        <v>6773</v>
      </c>
      <c r="M1501">
        <v>3.64</v>
      </c>
      <c r="N1501" s="6">
        <f t="shared" si="23"/>
        <v>571415794.56000006</v>
      </c>
    </row>
    <row r="1502" spans="1:14" x14ac:dyDescent="0.35">
      <c r="A1502" t="s">
        <v>26</v>
      </c>
      <c r="B1502" t="s">
        <v>61</v>
      </c>
      <c r="C1502">
        <v>2025</v>
      </c>
      <c r="D1502" t="s">
        <v>28</v>
      </c>
      <c r="E1502">
        <v>93514.06</v>
      </c>
      <c r="F1502">
        <v>80.2</v>
      </c>
      <c r="G1502">
        <v>278</v>
      </c>
      <c r="H1502">
        <v>179</v>
      </c>
      <c r="I1502" t="s">
        <v>21</v>
      </c>
      <c r="J1502">
        <v>5</v>
      </c>
      <c r="K1502" t="s">
        <v>20</v>
      </c>
      <c r="L1502">
        <v>120989</v>
      </c>
      <c r="M1502">
        <v>3.34</v>
      </c>
      <c r="N1502" s="6">
        <f t="shared" si="23"/>
        <v>11314172605.34</v>
      </c>
    </row>
    <row r="1503" spans="1:14" x14ac:dyDescent="0.35">
      <c r="A1503" t="s">
        <v>29</v>
      </c>
      <c r="B1503" t="s">
        <v>39</v>
      </c>
      <c r="C1503">
        <v>2025</v>
      </c>
      <c r="D1503" t="s">
        <v>43</v>
      </c>
      <c r="E1503">
        <v>67256.69</v>
      </c>
      <c r="F1503">
        <v>74.099999999999994</v>
      </c>
      <c r="G1503">
        <v>249</v>
      </c>
      <c r="H1503">
        <v>156</v>
      </c>
      <c r="I1503" t="s">
        <v>16</v>
      </c>
      <c r="J1503">
        <v>5</v>
      </c>
      <c r="K1503" t="s">
        <v>20</v>
      </c>
      <c r="L1503">
        <v>149284</v>
      </c>
      <c r="M1503">
        <v>3.76</v>
      </c>
      <c r="N1503" s="6">
        <f t="shared" si="23"/>
        <v>10040347709.960001</v>
      </c>
    </row>
    <row r="1504" spans="1:14" x14ac:dyDescent="0.35">
      <c r="A1504" t="s">
        <v>73</v>
      </c>
      <c r="B1504" t="s">
        <v>100</v>
      </c>
      <c r="C1504">
        <v>2025</v>
      </c>
      <c r="D1504" t="s">
        <v>43</v>
      </c>
      <c r="E1504">
        <v>65308.05</v>
      </c>
      <c r="F1504">
        <v>45.9</v>
      </c>
      <c r="G1504">
        <v>171</v>
      </c>
      <c r="H1504">
        <v>156</v>
      </c>
      <c r="I1504" t="s">
        <v>40</v>
      </c>
      <c r="J1504">
        <v>5</v>
      </c>
      <c r="K1504" t="s">
        <v>20</v>
      </c>
      <c r="L1504">
        <v>19253</v>
      </c>
      <c r="M1504">
        <v>3.04</v>
      </c>
      <c r="N1504" s="6">
        <f t="shared" si="23"/>
        <v>1257375886.6500001</v>
      </c>
    </row>
    <row r="1505" spans="1:14" x14ac:dyDescent="0.35">
      <c r="A1505" t="s">
        <v>29</v>
      </c>
      <c r="B1505" t="s">
        <v>31</v>
      </c>
      <c r="C1505">
        <v>2025</v>
      </c>
      <c r="D1505" t="s">
        <v>20</v>
      </c>
      <c r="E1505">
        <v>154034.20000000001</v>
      </c>
      <c r="F1505">
        <v>80.599999999999994</v>
      </c>
      <c r="G1505">
        <v>277</v>
      </c>
      <c r="H1505">
        <v>146</v>
      </c>
      <c r="I1505" t="s">
        <v>32</v>
      </c>
      <c r="J1505">
        <v>5</v>
      </c>
      <c r="K1505" t="s">
        <v>17</v>
      </c>
      <c r="L1505">
        <v>428866</v>
      </c>
      <c r="M1505">
        <v>3.69</v>
      </c>
      <c r="N1505" s="6">
        <f t="shared" si="23"/>
        <v>66060031217.200005</v>
      </c>
    </row>
    <row r="1506" spans="1:14" x14ac:dyDescent="0.35">
      <c r="A1506" t="s">
        <v>45</v>
      </c>
      <c r="B1506" t="s">
        <v>46</v>
      </c>
      <c r="C1506">
        <v>2025</v>
      </c>
      <c r="D1506" t="s">
        <v>43</v>
      </c>
      <c r="E1506">
        <v>26964.92</v>
      </c>
      <c r="F1506">
        <v>56.1</v>
      </c>
      <c r="G1506">
        <v>166</v>
      </c>
      <c r="H1506">
        <v>165</v>
      </c>
      <c r="I1506" t="s">
        <v>25</v>
      </c>
      <c r="J1506">
        <v>5</v>
      </c>
      <c r="K1506" t="s">
        <v>47</v>
      </c>
      <c r="L1506">
        <v>131090</v>
      </c>
      <c r="M1506">
        <v>3.27</v>
      </c>
      <c r="N1506" s="6">
        <f t="shared" si="23"/>
        <v>3534831362.7999997</v>
      </c>
    </row>
    <row r="1507" spans="1:14" x14ac:dyDescent="0.35">
      <c r="A1507" t="s">
        <v>26</v>
      </c>
      <c r="B1507" t="s">
        <v>61</v>
      </c>
      <c r="C1507">
        <v>2025</v>
      </c>
      <c r="D1507" t="s">
        <v>28</v>
      </c>
      <c r="E1507">
        <v>74000.570000000007</v>
      </c>
      <c r="F1507">
        <v>102.9</v>
      </c>
      <c r="G1507">
        <v>371</v>
      </c>
      <c r="H1507">
        <v>187</v>
      </c>
      <c r="I1507" t="s">
        <v>21</v>
      </c>
      <c r="J1507">
        <v>5</v>
      </c>
      <c r="K1507" t="s">
        <v>20</v>
      </c>
      <c r="L1507">
        <v>137133</v>
      </c>
      <c r="M1507">
        <v>3.72</v>
      </c>
      <c r="N1507" s="6">
        <f t="shared" si="23"/>
        <v>10147920165.810001</v>
      </c>
    </row>
    <row r="1508" spans="1:14" x14ac:dyDescent="0.35">
      <c r="A1508" t="s">
        <v>45</v>
      </c>
      <c r="B1508" t="s">
        <v>48</v>
      </c>
      <c r="C1508">
        <v>2025</v>
      </c>
      <c r="D1508" t="s">
        <v>20</v>
      </c>
      <c r="E1508">
        <v>81058.7</v>
      </c>
      <c r="F1508">
        <v>78.3</v>
      </c>
      <c r="G1508">
        <v>260</v>
      </c>
      <c r="H1508">
        <v>160</v>
      </c>
      <c r="I1508" t="s">
        <v>25</v>
      </c>
      <c r="J1508">
        <v>4</v>
      </c>
      <c r="K1508" t="s">
        <v>20</v>
      </c>
      <c r="L1508">
        <v>230802</v>
      </c>
      <c r="M1508">
        <v>3.44</v>
      </c>
      <c r="N1508" s="6">
        <f t="shared" si="23"/>
        <v>18708510077.399998</v>
      </c>
    </row>
    <row r="1509" spans="1:14" x14ac:dyDescent="0.35">
      <c r="A1509" t="s">
        <v>29</v>
      </c>
      <c r="B1509" t="s">
        <v>30</v>
      </c>
      <c r="C1509">
        <v>2025</v>
      </c>
      <c r="D1509" t="s">
        <v>15</v>
      </c>
      <c r="E1509">
        <v>112635.62</v>
      </c>
      <c r="F1509">
        <v>91.1</v>
      </c>
      <c r="G1509">
        <v>305</v>
      </c>
      <c r="H1509">
        <v>195</v>
      </c>
      <c r="I1509" t="s">
        <v>16</v>
      </c>
      <c r="J1509">
        <v>5</v>
      </c>
      <c r="K1509" t="s">
        <v>17</v>
      </c>
      <c r="L1509">
        <v>126461</v>
      </c>
      <c r="M1509">
        <v>4.1399999999999997</v>
      </c>
      <c r="N1509" s="6">
        <f t="shared" si="23"/>
        <v>14244013140.82</v>
      </c>
    </row>
    <row r="1510" spans="1:14" x14ac:dyDescent="0.35">
      <c r="A1510" t="s">
        <v>29</v>
      </c>
      <c r="B1510" t="s">
        <v>59</v>
      </c>
      <c r="C1510">
        <v>2025</v>
      </c>
      <c r="D1510" t="s">
        <v>15</v>
      </c>
      <c r="E1510">
        <v>92160.09</v>
      </c>
      <c r="F1510">
        <v>115.6</v>
      </c>
      <c r="G1510">
        <v>400</v>
      </c>
      <c r="H1510">
        <v>200</v>
      </c>
      <c r="I1510" t="s">
        <v>40</v>
      </c>
      <c r="J1510">
        <v>4</v>
      </c>
      <c r="K1510" t="s">
        <v>20</v>
      </c>
      <c r="L1510">
        <v>139912</v>
      </c>
      <c r="M1510">
        <v>4.17</v>
      </c>
      <c r="N1510" s="6">
        <f t="shared" si="23"/>
        <v>12894302512.08</v>
      </c>
    </row>
    <row r="1511" spans="1:14" x14ac:dyDescent="0.35">
      <c r="A1511" t="s">
        <v>64</v>
      </c>
      <c r="B1511" t="s">
        <v>70</v>
      </c>
      <c r="C1511">
        <v>2025</v>
      </c>
      <c r="D1511" t="s">
        <v>43</v>
      </c>
      <c r="E1511">
        <v>69070.75</v>
      </c>
      <c r="F1511">
        <v>82</v>
      </c>
      <c r="G1511">
        <v>304</v>
      </c>
      <c r="H1511">
        <v>143</v>
      </c>
      <c r="I1511" t="s">
        <v>25</v>
      </c>
      <c r="J1511">
        <v>4</v>
      </c>
      <c r="K1511" t="s">
        <v>20</v>
      </c>
      <c r="L1511">
        <v>73019</v>
      </c>
      <c r="M1511">
        <v>3.53</v>
      </c>
      <c r="N1511" s="6">
        <f t="shared" si="23"/>
        <v>5043477094.25</v>
      </c>
    </row>
    <row r="1512" spans="1:14" x14ac:dyDescent="0.35">
      <c r="A1512" t="s">
        <v>45</v>
      </c>
      <c r="B1512" t="s">
        <v>54</v>
      </c>
      <c r="C1512">
        <v>2025</v>
      </c>
      <c r="D1512" t="s">
        <v>43</v>
      </c>
      <c r="E1512">
        <v>28078.09</v>
      </c>
      <c r="F1512">
        <v>44.7</v>
      </c>
      <c r="G1512">
        <v>150</v>
      </c>
      <c r="H1512">
        <v>156</v>
      </c>
      <c r="I1512" t="s">
        <v>40</v>
      </c>
      <c r="J1512">
        <v>3</v>
      </c>
      <c r="K1512" t="s">
        <v>47</v>
      </c>
      <c r="L1512">
        <v>207345</v>
      </c>
      <c r="M1512">
        <v>3.08</v>
      </c>
      <c r="N1512" s="6">
        <f t="shared" si="23"/>
        <v>5821851571.0500002</v>
      </c>
    </row>
    <row r="1513" spans="1:14" x14ac:dyDescent="0.35">
      <c r="A1513" t="s">
        <v>13</v>
      </c>
      <c r="B1513" t="s">
        <v>14</v>
      </c>
      <c r="C1513">
        <v>2025</v>
      </c>
      <c r="D1513" t="s">
        <v>43</v>
      </c>
      <c r="E1513">
        <v>34913.449999999997</v>
      </c>
      <c r="F1513">
        <v>57.9</v>
      </c>
      <c r="G1513">
        <v>187</v>
      </c>
      <c r="H1513">
        <v>145</v>
      </c>
      <c r="I1513" t="s">
        <v>32</v>
      </c>
      <c r="J1513">
        <v>5</v>
      </c>
      <c r="K1513" t="s">
        <v>47</v>
      </c>
      <c r="L1513">
        <v>204604</v>
      </c>
      <c r="M1513">
        <v>3.5</v>
      </c>
      <c r="N1513" s="6">
        <f t="shared" si="23"/>
        <v>7143431523.7999992</v>
      </c>
    </row>
    <row r="1514" spans="1:14" x14ac:dyDescent="0.35">
      <c r="A1514" t="s">
        <v>45</v>
      </c>
      <c r="B1514" t="s">
        <v>54</v>
      </c>
      <c r="C1514">
        <v>2025</v>
      </c>
      <c r="D1514" t="s">
        <v>15</v>
      </c>
      <c r="E1514">
        <v>113906.34</v>
      </c>
      <c r="F1514">
        <v>84.5</v>
      </c>
      <c r="G1514">
        <v>315</v>
      </c>
      <c r="H1514">
        <v>200</v>
      </c>
      <c r="I1514" t="s">
        <v>16</v>
      </c>
      <c r="J1514">
        <v>3</v>
      </c>
      <c r="K1514" t="s">
        <v>17</v>
      </c>
      <c r="L1514">
        <v>193570</v>
      </c>
      <c r="M1514">
        <v>3.68</v>
      </c>
      <c r="N1514" s="6">
        <f t="shared" si="23"/>
        <v>22048850233.799999</v>
      </c>
    </row>
    <row r="1515" spans="1:14" x14ac:dyDescent="0.35">
      <c r="A1515" t="s">
        <v>29</v>
      </c>
      <c r="B1515" t="s">
        <v>39</v>
      </c>
      <c r="C1515">
        <v>2025</v>
      </c>
      <c r="D1515" t="s">
        <v>28</v>
      </c>
      <c r="E1515">
        <v>67690.460000000006</v>
      </c>
      <c r="F1515">
        <v>92.6</v>
      </c>
      <c r="G1515">
        <v>317</v>
      </c>
      <c r="H1515">
        <v>179</v>
      </c>
      <c r="I1515" t="s">
        <v>32</v>
      </c>
      <c r="J1515">
        <v>4</v>
      </c>
      <c r="K1515" t="s">
        <v>20</v>
      </c>
      <c r="L1515">
        <v>187975</v>
      </c>
      <c r="M1515">
        <v>3.94</v>
      </c>
      <c r="N1515" s="6">
        <f t="shared" si="23"/>
        <v>12724114218.500002</v>
      </c>
    </row>
    <row r="1516" spans="1:14" x14ac:dyDescent="0.35">
      <c r="A1516" t="s">
        <v>13</v>
      </c>
      <c r="B1516" t="s">
        <v>14</v>
      </c>
      <c r="C1516">
        <v>2025</v>
      </c>
      <c r="D1516" t="s">
        <v>43</v>
      </c>
      <c r="E1516">
        <v>71667.28</v>
      </c>
      <c r="F1516">
        <v>81.5</v>
      </c>
      <c r="G1516">
        <v>282</v>
      </c>
      <c r="H1516">
        <v>156</v>
      </c>
      <c r="I1516" t="s">
        <v>25</v>
      </c>
      <c r="J1516">
        <v>3</v>
      </c>
      <c r="K1516" t="s">
        <v>20</v>
      </c>
      <c r="L1516">
        <v>285418</v>
      </c>
      <c r="M1516">
        <v>3.48</v>
      </c>
      <c r="N1516" s="6">
        <f t="shared" si="23"/>
        <v>20455131723.040001</v>
      </c>
    </row>
    <row r="1517" spans="1:14" x14ac:dyDescent="0.35">
      <c r="A1517" t="s">
        <v>73</v>
      </c>
      <c r="B1517" t="s">
        <v>107</v>
      </c>
      <c r="C1517">
        <v>2025</v>
      </c>
      <c r="D1517" t="s">
        <v>20</v>
      </c>
      <c r="E1517">
        <v>103197.25</v>
      </c>
      <c r="F1517">
        <v>46.4</v>
      </c>
      <c r="G1517">
        <v>161</v>
      </c>
      <c r="H1517">
        <v>163</v>
      </c>
      <c r="I1517" t="s">
        <v>25</v>
      </c>
      <c r="J1517">
        <v>4</v>
      </c>
      <c r="K1517" t="s">
        <v>17</v>
      </c>
      <c r="L1517">
        <v>20886</v>
      </c>
      <c r="M1517">
        <v>3.24</v>
      </c>
      <c r="N1517" s="6">
        <f t="shared" si="23"/>
        <v>2155377763.5</v>
      </c>
    </row>
    <row r="1518" spans="1:14" x14ac:dyDescent="0.35">
      <c r="A1518" t="s">
        <v>64</v>
      </c>
      <c r="B1518" t="s">
        <v>65</v>
      </c>
      <c r="C1518">
        <v>2025</v>
      </c>
      <c r="D1518" t="s">
        <v>15</v>
      </c>
      <c r="E1518">
        <v>150935.25</v>
      </c>
      <c r="F1518">
        <v>119.6</v>
      </c>
      <c r="G1518">
        <v>423</v>
      </c>
      <c r="H1518">
        <v>200</v>
      </c>
      <c r="I1518" t="s">
        <v>32</v>
      </c>
      <c r="J1518">
        <v>5</v>
      </c>
      <c r="K1518" t="s">
        <v>17</v>
      </c>
      <c r="L1518">
        <v>49006</v>
      </c>
      <c r="M1518">
        <v>3.99</v>
      </c>
      <c r="N1518" s="6">
        <f t="shared" si="23"/>
        <v>7396732861.5</v>
      </c>
    </row>
    <row r="1519" spans="1:14" x14ac:dyDescent="0.35">
      <c r="A1519" t="s">
        <v>45</v>
      </c>
      <c r="B1519" t="s">
        <v>46</v>
      </c>
      <c r="C1519">
        <v>2025</v>
      </c>
      <c r="D1519" t="s">
        <v>28</v>
      </c>
      <c r="E1519">
        <v>32710.87</v>
      </c>
      <c r="F1519">
        <v>88.5</v>
      </c>
      <c r="G1519">
        <v>321</v>
      </c>
      <c r="H1519">
        <v>192</v>
      </c>
      <c r="I1519" t="s">
        <v>16</v>
      </c>
      <c r="J1519">
        <v>5</v>
      </c>
      <c r="K1519" t="s">
        <v>47</v>
      </c>
      <c r="L1519">
        <v>169948</v>
      </c>
      <c r="M1519">
        <v>3.62</v>
      </c>
      <c r="N1519" s="6">
        <f t="shared" si="23"/>
        <v>5559146934.7600002</v>
      </c>
    </row>
    <row r="1520" spans="1:14" x14ac:dyDescent="0.35">
      <c r="A1520" t="s">
        <v>45</v>
      </c>
      <c r="B1520" t="s">
        <v>69</v>
      </c>
      <c r="C1520">
        <v>2025</v>
      </c>
      <c r="D1520" t="s">
        <v>15</v>
      </c>
      <c r="E1520">
        <v>118077.25</v>
      </c>
      <c r="F1520">
        <v>109.3</v>
      </c>
      <c r="G1520">
        <v>391</v>
      </c>
      <c r="H1520">
        <v>191</v>
      </c>
      <c r="I1520" t="s">
        <v>40</v>
      </c>
      <c r="J1520">
        <v>5</v>
      </c>
      <c r="K1520" t="s">
        <v>17</v>
      </c>
      <c r="L1520">
        <v>103364</v>
      </c>
      <c r="M1520">
        <v>3.72</v>
      </c>
      <c r="N1520" s="6">
        <f t="shared" si="23"/>
        <v>12204936869</v>
      </c>
    </row>
    <row r="1521" spans="1:14" x14ac:dyDescent="0.35">
      <c r="A1521" t="s">
        <v>29</v>
      </c>
      <c r="B1521" t="s">
        <v>31</v>
      </c>
      <c r="C1521">
        <v>2025</v>
      </c>
      <c r="D1521" t="s">
        <v>43</v>
      </c>
      <c r="E1521">
        <v>92379.520000000004</v>
      </c>
      <c r="F1521">
        <v>84.7</v>
      </c>
      <c r="G1521">
        <v>300</v>
      </c>
      <c r="H1521">
        <v>130</v>
      </c>
      <c r="I1521" t="s">
        <v>40</v>
      </c>
      <c r="J1521">
        <v>4</v>
      </c>
      <c r="K1521" t="s">
        <v>20</v>
      </c>
      <c r="L1521">
        <v>461008</v>
      </c>
      <c r="M1521">
        <v>3.78</v>
      </c>
      <c r="N1521" s="6">
        <f t="shared" si="23"/>
        <v>42587697756.160004</v>
      </c>
    </row>
    <row r="1522" spans="1:14" x14ac:dyDescent="0.35">
      <c r="A1522" t="s">
        <v>41</v>
      </c>
      <c r="B1522" t="s">
        <v>42</v>
      </c>
      <c r="C1522">
        <v>2025</v>
      </c>
      <c r="D1522" t="s">
        <v>20</v>
      </c>
      <c r="E1522">
        <v>106306.01</v>
      </c>
      <c r="F1522">
        <v>80.2</v>
      </c>
      <c r="G1522">
        <v>270</v>
      </c>
      <c r="H1522">
        <v>140</v>
      </c>
      <c r="I1522" t="s">
        <v>25</v>
      </c>
      <c r="J1522">
        <v>5</v>
      </c>
      <c r="K1522" t="s">
        <v>17</v>
      </c>
      <c r="L1522">
        <v>8757</v>
      </c>
      <c r="M1522">
        <v>3.62</v>
      </c>
      <c r="N1522" s="6">
        <f t="shared" si="23"/>
        <v>930921729.56999993</v>
      </c>
    </row>
    <row r="1523" spans="1:14" x14ac:dyDescent="0.35">
      <c r="A1523" t="s">
        <v>34</v>
      </c>
      <c r="B1523" t="s">
        <v>84</v>
      </c>
      <c r="C1523">
        <v>2025</v>
      </c>
      <c r="D1523" t="s">
        <v>20</v>
      </c>
      <c r="E1523">
        <v>111590.33</v>
      </c>
      <c r="F1523">
        <v>69.8</v>
      </c>
      <c r="G1523">
        <v>216</v>
      </c>
      <c r="H1523">
        <v>161</v>
      </c>
      <c r="I1523" t="s">
        <v>21</v>
      </c>
      <c r="J1523">
        <v>4</v>
      </c>
      <c r="K1523" t="s">
        <v>17</v>
      </c>
      <c r="L1523">
        <v>58457</v>
      </c>
      <c r="M1523">
        <v>3.3</v>
      </c>
      <c r="N1523" s="6">
        <f t="shared" si="23"/>
        <v>6523235920.8100004</v>
      </c>
    </row>
    <row r="1524" spans="1:14" x14ac:dyDescent="0.35">
      <c r="A1524" t="s">
        <v>57</v>
      </c>
      <c r="B1524" t="s">
        <v>72</v>
      </c>
      <c r="C1524">
        <v>2025</v>
      </c>
      <c r="D1524" t="s">
        <v>20</v>
      </c>
      <c r="E1524">
        <v>79279.61</v>
      </c>
      <c r="F1524">
        <v>59.6</v>
      </c>
      <c r="G1524">
        <v>194</v>
      </c>
      <c r="H1524">
        <v>139</v>
      </c>
      <c r="I1524" t="s">
        <v>16</v>
      </c>
      <c r="J1524">
        <v>5</v>
      </c>
      <c r="K1524" t="s">
        <v>20</v>
      </c>
      <c r="L1524">
        <v>67161</v>
      </c>
      <c r="M1524">
        <v>3.21</v>
      </c>
      <c r="N1524" s="6">
        <f t="shared" si="23"/>
        <v>5324497887.21</v>
      </c>
    </row>
    <row r="1525" spans="1:14" x14ac:dyDescent="0.35">
      <c r="A1525" t="s">
        <v>29</v>
      </c>
      <c r="B1525" t="s">
        <v>39</v>
      </c>
      <c r="C1525">
        <v>2025</v>
      </c>
      <c r="D1525" t="s">
        <v>38</v>
      </c>
      <c r="E1525">
        <v>41533.410000000003</v>
      </c>
      <c r="F1525">
        <v>81.099999999999994</v>
      </c>
      <c r="G1525">
        <v>287</v>
      </c>
      <c r="H1525">
        <v>145</v>
      </c>
      <c r="I1525" t="s">
        <v>32</v>
      </c>
      <c r="J1525">
        <v>4</v>
      </c>
      <c r="K1525" t="s">
        <v>22</v>
      </c>
      <c r="L1525">
        <v>205263</v>
      </c>
      <c r="M1525">
        <v>3.88</v>
      </c>
      <c r="N1525" s="6">
        <f t="shared" si="23"/>
        <v>8525272336.8300009</v>
      </c>
    </row>
    <row r="1526" spans="1:14" x14ac:dyDescent="0.35">
      <c r="A1526" t="s">
        <v>29</v>
      </c>
      <c r="B1526" t="s">
        <v>39</v>
      </c>
      <c r="C1526">
        <v>2025</v>
      </c>
      <c r="D1526" t="s">
        <v>20</v>
      </c>
      <c r="E1526">
        <v>131664.51</v>
      </c>
      <c r="F1526">
        <v>56.1</v>
      </c>
      <c r="G1526">
        <v>197</v>
      </c>
      <c r="H1526">
        <v>167</v>
      </c>
      <c r="I1526" t="s">
        <v>21</v>
      </c>
      <c r="J1526">
        <v>5</v>
      </c>
      <c r="K1526" t="s">
        <v>17</v>
      </c>
      <c r="L1526">
        <v>124407</v>
      </c>
      <c r="M1526">
        <v>3.58</v>
      </c>
      <c r="N1526" s="6">
        <f t="shared" si="23"/>
        <v>16379986695.570002</v>
      </c>
    </row>
    <row r="1527" spans="1:14" x14ac:dyDescent="0.35">
      <c r="A1527" t="s">
        <v>26</v>
      </c>
      <c r="B1527" t="s">
        <v>61</v>
      </c>
      <c r="C1527">
        <v>2025</v>
      </c>
      <c r="D1527" t="s">
        <v>38</v>
      </c>
      <c r="E1527">
        <v>31082.43</v>
      </c>
      <c r="F1527">
        <v>50.7</v>
      </c>
      <c r="G1527">
        <v>177</v>
      </c>
      <c r="H1527">
        <v>143</v>
      </c>
      <c r="I1527" t="s">
        <v>21</v>
      </c>
      <c r="J1527">
        <v>5</v>
      </c>
      <c r="K1527" t="s">
        <v>47</v>
      </c>
      <c r="L1527">
        <v>76695</v>
      </c>
      <c r="M1527">
        <v>3.1</v>
      </c>
      <c r="N1527" s="6">
        <f t="shared" si="23"/>
        <v>2383866968.8499999</v>
      </c>
    </row>
    <row r="1528" spans="1:14" x14ac:dyDescent="0.35">
      <c r="A1528" t="s">
        <v>45</v>
      </c>
      <c r="B1528" t="s">
        <v>46</v>
      </c>
      <c r="C1528">
        <v>2025</v>
      </c>
      <c r="D1528" t="s">
        <v>20</v>
      </c>
      <c r="E1528">
        <v>111062.23</v>
      </c>
      <c r="F1528">
        <v>40.6</v>
      </c>
      <c r="G1528">
        <v>162</v>
      </c>
      <c r="H1528">
        <v>136</v>
      </c>
      <c r="I1528" t="s">
        <v>16</v>
      </c>
      <c r="J1528">
        <v>4</v>
      </c>
      <c r="K1528" t="s">
        <v>17</v>
      </c>
      <c r="L1528">
        <v>149002</v>
      </c>
      <c r="M1528">
        <v>3.28</v>
      </c>
      <c r="N1528" s="6">
        <f t="shared" si="23"/>
        <v>16548494394.459999</v>
      </c>
    </row>
    <row r="1529" spans="1:14" x14ac:dyDescent="0.35">
      <c r="A1529" t="s">
        <v>57</v>
      </c>
      <c r="B1529" t="s">
        <v>79</v>
      </c>
      <c r="C1529">
        <v>2025</v>
      </c>
      <c r="D1529" t="s">
        <v>20</v>
      </c>
      <c r="E1529">
        <v>56654.61</v>
      </c>
      <c r="F1529">
        <v>62.9</v>
      </c>
      <c r="G1529">
        <v>233</v>
      </c>
      <c r="H1529">
        <v>156</v>
      </c>
      <c r="I1529" t="s">
        <v>25</v>
      </c>
      <c r="J1529">
        <v>5</v>
      </c>
      <c r="K1529" t="s">
        <v>22</v>
      </c>
      <c r="L1529">
        <v>41791</v>
      </c>
      <c r="M1529">
        <v>3.47</v>
      </c>
      <c r="N1529" s="6">
        <f t="shared" si="23"/>
        <v>2367652806.5100002</v>
      </c>
    </row>
    <row r="1530" spans="1:14" x14ac:dyDescent="0.35">
      <c r="A1530" t="s">
        <v>13</v>
      </c>
      <c r="B1530" t="s">
        <v>14</v>
      </c>
      <c r="C1530">
        <v>2025</v>
      </c>
      <c r="D1530" t="s">
        <v>43</v>
      </c>
      <c r="E1530">
        <v>85586.86</v>
      </c>
      <c r="F1530">
        <v>50.5</v>
      </c>
      <c r="G1530">
        <v>179</v>
      </c>
      <c r="H1530">
        <v>160</v>
      </c>
      <c r="I1530" t="s">
        <v>16</v>
      </c>
      <c r="J1530">
        <v>3</v>
      </c>
      <c r="K1530" t="s">
        <v>20</v>
      </c>
      <c r="L1530">
        <v>259718</v>
      </c>
      <c r="M1530">
        <v>3</v>
      </c>
      <c r="N1530" s="6">
        <f t="shared" si="23"/>
        <v>22228448105.48</v>
      </c>
    </row>
    <row r="1531" spans="1:14" x14ac:dyDescent="0.35">
      <c r="A1531" t="s">
        <v>57</v>
      </c>
      <c r="B1531" t="s">
        <v>62</v>
      </c>
      <c r="C1531">
        <v>2025</v>
      </c>
      <c r="D1531" t="s">
        <v>43</v>
      </c>
      <c r="E1531">
        <v>32151.97</v>
      </c>
      <c r="F1531">
        <v>58.3</v>
      </c>
      <c r="G1531">
        <v>176</v>
      </c>
      <c r="H1531">
        <v>169</v>
      </c>
      <c r="I1531" t="s">
        <v>32</v>
      </c>
      <c r="J1531">
        <v>4</v>
      </c>
      <c r="K1531" t="s">
        <v>47</v>
      </c>
      <c r="L1531">
        <v>25887</v>
      </c>
      <c r="M1531">
        <v>3.14</v>
      </c>
      <c r="N1531" s="6">
        <f t="shared" si="23"/>
        <v>832318047.38999999</v>
      </c>
    </row>
    <row r="1532" spans="1:14" x14ac:dyDescent="0.35">
      <c r="A1532" t="s">
        <v>29</v>
      </c>
      <c r="B1532" t="s">
        <v>59</v>
      </c>
      <c r="C1532">
        <v>2025</v>
      </c>
      <c r="D1532" t="s">
        <v>15</v>
      </c>
      <c r="E1532">
        <v>99111.24</v>
      </c>
      <c r="F1532">
        <v>103.7</v>
      </c>
      <c r="G1532">
        <v>345</v>
      </c>
      <c r="H1532">
        <v>182</v>
      </c>
      <c r="I1532" t="s">
        <v>16</v>
      </c>
      <c r="J1532">
        <v>5</v>
      </c>
      <c r="K1532" t="s">
        <v>20</v>
      </c>
      <c r="L1532">
        <v>160176</v>
      </c>
      <c r="M1532">
        <v>4.04</v>
      </c>
      <c r="N1532" s="6">
        <f t="shared" si="23"/>
        <v>15875241978.240002</v>
      </c>
    </row>
    <row r="1533" spans="1:14" x14ac:dyDescent="0.35">
      <c r="A1533" t="s">
        <v>49</v>
      </c>
      <c r="B1533" t="s">
        <v>50</v>
      </c>
      <c r="C1533">
        <v>2025</v>
      </c>
      <c r="D1533" t="s">
        <v>38</v>
      </c>
      <c r="E1533">
        <v>46056.18</v>
      </c>
      <c r="F1533">
        <v>74.8</v>
      </c>
      <c r="G1533">
        <v>259</v>
      </c>
      <c r="H1533">
        <v>153</v>
      </c>
      <c r="I1533" t="s">
        <v>40</v>
      </c>
      <c r="J1533">
        <v>5</v>
      </c>
      <c r="K1533" t="s">
        <v>22</v>
      </c>
      <c r="L1533">
        <v>143815</v>
      </c>
      <c r="M1533">
        <v>3.55</v>
      </c>
      <c r="N1533" s="6">
        <f t="shared" si="23"/>
        <v>6623569526.6999998</v>
      </c>
    </row>
    <row r="1534" spans="1:14" x14ac:dyDescent="0.35">
      <c r="A1534" t="s">
        <v>26</v>
      </c>
      <c r="B1534" t="s">
        <v>52</v>
      </c>
      <c r="C1534">
        <v>2025</v>
      </c>
      <c r="D1534" t="s">
        <v>15</v>
      </c>
      <c r="E1534">
        <v>88002.42</v>
      </c>
      <c r="F1534">
        <v>95.9</v>
      </c>
      <c r="G1534">
        <v>334</v>
      </c>
      <c r="H1534">
        <v>200</v>
      </c>
      <c r="I1534" t="s">
        <v>21</v>
      </c>
      <c r="J1534">
        <v>5</v>
      </c>
      <c r="K1534" t="s">
        <v>20</v>
      </c>
      <c r="L1534">
        <v>60132</v>
      </c>
      <c r="M1534">
        <v>3.63</v>
      </c>
      <c r="N1534" s="6">
        <f t="shared" si="23"/>
        <v>5291761519.4399996</v>
      </c>
    </row>
    <row r="1535" spans="1:14" x14ac:dyDescent="0.35">
      <c r="A1535" t="s">
        <v>23</v>
      </c>
      <c r="B1535" t="s">
        <v>83</v>
      </c>
      <c r="C1535">
        <v>2025</v>
      </c>
      <c r="D1535" t="s">
        <v>38</v>
      </c>
      <c r="E1535">
        <v>57562.96</v>
      </c>
      <c r="F1535">
        <v>48</v>
      </c>
      <c r="G1535">
        <v>172</v>
      </c>
      <c r="H1535">
        <v>154</v>
      </c>
      <c r="I1535" t="s">
        <v>21</v>
      </c>
      <c r="J1535">
        <v>5</v>
      </c>
      <c r="K1535" t="s">
        <v>22</v>
      </c>
      <c r="L1535">
        <v>18527</v>
      </c>
      <c r="M1535">
        <v>3.44</v>
      </c>
      <c r="N1535" s="6">
        <f t="shared" si="23"/>
        <v>1066468959.92</v>
      </c>
    </row>
    <row r="1536" spans="1:14" x14ac:dyDescent="0.35">
      <c r="A1536" t="s">
        <v>29</v>
      </c>
      <c r="B1536" t="s">
        <v>30</v>
      </c>
      <c r="C1536">
        <v>2025</v>
      </c>
      <c r="D1536" t="s">
        <v>43</v>
      </c>
      <c r="E1536">
        <v>39764.730000000003</v>
      </c>
      <c r="F1536">
        <v>62.8</v>
      </c>
      <c r="G1536">
        <v>218</v>
      </c>
      <c r="H1536">
        <v>135</v>
      </c>
      <c r="I1536" t="s">
        <v>16</v>
      </c>
      <c r="J1536">
        <v>5</v>
      </c>
      <c r="K1536" t="s">
        <v>22</v>
      </c>
      <c r="L1536">
        <v>177083</v>
      </c>
      <c r="M1536">
        <v>3.7</v>
      </c>
      <c r="N1536" s="6">
        <f t="shared" si="23"/>
        <v>7041657682.5900002</v>
      </c>
    </row>
    <row r="1537" spans="1:14" x14ac:dyDescent="0.35">
      <c r="A1537" t="s">
        <v>45</v>
      </c>
      <c r="B1537" t="s">
        <v>77</v>
      </c>
      <c r="C1537">
        <v>2025</v>
      </c>
      <c r="D1537" t="s">
        <v>28</v>
      </c>
      <c r="E1537">
        <v>23723.54</v>
      </c>
      <c r="F1537">
        <v>84.2</v>
      </c>
      <c r="G1537">
        <v>308</v>
      </c>
      <c r="H1537">
        <v>185</v>
      </c>
      <c r="I1537" t="s">
        <v>16</v>
      </c>
      <c r="J1537">
        <v>4</v>
      </c>
      <c r="K1537" t="s">
        <v>47</v>
      </c>
      <c r="L1537">
        <v>224275</v>
      </c>
      <c r="M1537">
        <v>3.65</v>
      </c>
      <c r="N1537" s="6">
        <f t="shared" si="23"/>
        <v>5320596933.5</v>
      </c>
    </row>
    <row r="1538" spans="1:14" x14ac:dyDescent="0.35">
      <c r="A1538" t="s">
        <v>29</v>
      </c>
      <c r="B1538" t="s">
        <v>31</v>
      </c>
      <c r="C1538">
        <v>2025</v>
      </c>
      <c r="D1538" t="s">
        <v>28</v>
      </c>
      <c r="E1538">
        <v>71009.25</v>
      </c>
      <c r="F1538">
        <v>81</v>
      </c>
      <c r="G1538">
        <v>305</v>
      </c>
      <c r="H1538">
        <v>162</v>
      </c>
      <c r="I1538" t="s">
        <v>25</v>
      </c>
      <c r="J1538">
        <v>4</v>
      </c>
      <c r="K1538" t="s">
        <v>20</v>
      </c>
      <c r="L1538">
        <v>465765</v>
      </c>
      <c r="M1538">
        <v>3.91</v>
      </c>
      <c r="N1538" s="6">
        <f t="shared" ref="N1538:N1601" si="24">E1538*L1538</f>
        <v>33073623326.25</v>
      </c>
    </row>
    <row r="1539" spans="1:14" x14ac:dyDescent="0.35">
      <c r="A1539" t="s">
        <v>13</v>
      </c>
      <c r="B1539" t="s">
        <v>55</v>
      </c>
      <c r="C1539">
        <v>2025</v>
      </c>
      <c r="D1539" t="s">
        <v>38</v>
      </c>
      <c r="E1539">
        <v>36800.160000000003</v>
      </c>
      <c r="F1539">
        <v>48.1</v>
      </c>
      <c r="G1539">
        <v>169</v>
      </c>
      <c r="H1539">
        <v>152</v>
      </c>
      <c r="I1539" t="s">
        <v>21</v>
      </c>
      <c r="J1539">
        <v>5</v>
      </c>
      <c r="K1539" t="s">
        <v>22</v>
      </c>
      <c r="L1539">
        <v>290748</v>
      </c>
      <c r="M1539">
        <v>3.43</v>
      </c>
      <c r="N1539" s="6">
        <f t="shared" si="24"/>
        <v>10699572919.68</v>
      </c>
    </row>
    <row r="1540" spans="1:14" x14ac:dyDescent="0.35">
      <c r="A1540" t="s">
        <v>29</v>
      </c>
      <c r="B1540" t="s">
        <v>53</v>
      </c>
      <c r="C1540">
        <v>2025</v>
      </c>
      <c r="D1540" t="s">
        <v>20</v>
      </c>
      <c r="E1540">
        <v>81977.77</v>
      </c>
      <c r="F1540">
        <v>68.400000000000006</v>
      </c>
      <c r="G1540">
        <v>192</v>
      </c>
      <c r="H1540">
        <v>155</v>
      </c>
      <c r="I1540" t="s">
        <v>16</v>
      </c>
      <c r="J1540">
        <v>5</v>
      </c>
      <c r="K1540" t="s">
        <v>20</v>
      </c>
      <c r="L1540">
        <v>146854</v>
      </c>
      <c r="M1540">
        <v>3.53</v>
      </c>
      <c r="N1540" s="6">
        <f t="shared" si="24"/>
        <v>12038763435.58</v>
      </c>
    </row>
    <row r="1541" spans="1:14" x14ac:dyDescent="0.35">
      <c r="A1541" t="s">
        <v>29</v>
      </c>
      <c r="B1541" t="s">
        <v>39</v>
      </c>
      <c r="C1541">
        <v>2025</v>
      </c>
      <c r="D1541" t="s">
        <v>15</v>
      </c>
      <c r="E1541">
        <v>94641.12</v>
      </c>
      <c r="F1541">
        <v>111.8</v>
      </c>
      <c r="G1541">
        <v>362</v>
      </c>
      <c r="H1541">
        <v>200</v>
      </c>
      <c r="I1541" t="s">
        <v>21</v>
      </c>
      <c r="J1541">
        <v>4</v>
      </c>
      <c r="K1541" t="s">
        <v>20</v>
      </c>
      <c r="L1541">
        <v>235320</v>
      </c>
      <c r="M1541">
        <v>4.03</v>
      </c>
      <c r="N1541" s="6">
        <f t="shared" si="24"/>
        <v>22270948358.399998</v>
      </c>
    </row>
    <row r="1542" spans="1:14" x14ac:dyDescent="0.35">
      <c r="A1542" t="s">
        <v>73</v>
      </c>
      <c r="B1542" t="s">
        <v>107</v>
      </c>
      <c r="C1542">
        <v>2025</v>
      </c>
      <c r="D1542" t="s">
        <v>43</v>
      </c>
      <c r="E1542">
        <v>73079.97</v>
      </c>
      <c r="F1542">
        <v>50.5</v>
      </c>
      <c r="G1542">
        <v>174</v>
      </c>
      <c r="H1542">
        <v>143</v>
      </c>
      <c r="I1542" t="s">
        <v>33</v>
      </c>
      <c r="J1542">
        <v>4</v>
      </c>
      <c r="K1542" t="s">
        <v>20</v>
      </c>
      <c r="L1542">
        <v>11643</v>
      </c>
      <c r="M1542">
        <v>3.03</v>
      </c>
      <c r="N1542" s="6">
        <f t="shared" si="24"/>
        <v>850870090.71000004</v>
      </c>
    </row>
    <row r="1543" spans="1:14" x14ac:dyDescent="0.35">
      <c r="A1543" t="s">
        <v>29</v>
      </c>
      <c r="B1543" t="s">
        <v>39</v>
      </c>
      <c r="C1543">
        <v>2025</v>
      </c>
      <c r="D1543" t="s">
        <v>38</v>
      </c>
      <c r="E1543">
        <v>106992.78</v>
      </c>
      <c r="F1543">
        <v>50.9</v>
      </c>
      <c r="G1543">
        <v>162</v>
      </c>
      <c r="H1543">
        <v>152</v>
      </c>
      <c r="I1543" t="s">
        <v>33</v>
      </c>
      <c r="J1543">
        <v>5</v>
      </c>
      <c r="K1543" t="s">
        <v>17</v>
      </c>
      <c r="L1543">
        <v>178229</v>
      </c>
      <c r="M1543">
        <v>3.58</v>
      </c>
      <c r="N1543" s="6">
        <f t="shared" si="24"/>
        <v>19069216186.619999</v>
      </c>
    </row>
    <row r="1544" spans="1:14" x14ac:dyDescent="0.35">
      <c r="A1544" t="s">
        <v>23</v>
      </c>
      <c r="B1544" t="s">
        <v>82</v>
      </c>
      <c r="C1544">
        <v>2025</v>
      </c>
      <c r="D1544" t="s">
        <v>28</v>
      </c>
      <c r="E1544">
        <v>51965.01</v>
      </c>
      <c r="F1544">
        <v>75.8</v>
      </c>
      <c r="G1544">
        <v>297</v>
      </c>
      <c r="H1544">
        <v>177</v>
      </c>
      <c r="I1544" t="s">
        <v>33</v>
      </c>
      <c r="J1544">
        <v>5</v>
      </c>
      <c r="K1544" t="s">
        <v>22</v>
      </c>
      <c r="L1544">
        <v>28326</v>
      </c>
      <c r="M1544">
        <v>3.65</v>
      </c>
      <c r="N1544" s="6">
        <f t="shared" si="24"/>
        <v>1471960873.26</v>
      </c>
    </row>
    <row r="1545" spans="1:14" x14ac:dyDescent="0.35">
      <c r="A1545" t="s">
        <v>34</v>
      </c>
      <c r="B1545" t="s">
        <v>78</v>
      </c>
      <c r="C1545">
        <v>2025</v>
      </c>
      <c r="D1545" t="s">
        <v>28</v>
      </c>
      <c r="E1545">
        <v>136371.95000000001</v>
      </c>
      <c r="F1545">
        <v>98.8</v>
      </c>
      <c r="G1545">
        <v>323</v>
      </c>
      <c r="H1545">
        <v>180</v>
      </c>
      <c r="I1545" t="s">
        <v>33</v>
      </c>
      <c r="J1545">
        <v>4</v>
      </c>
      <c r="K1545" t="s">
        <v>17</v>
      </c>
      <c r="L1545">
        <v>34019</v>
      </c>
      <c r="M1545">
        <v>4.25</v>
      </c>
      <c r="N1545" s="6">
        <f t="shared" si="24"/>
        <v>4639237367.0500002</v>
      </c>
    </row>
    <row r="1546" spans="1:14" x14ac:dyDescent="0.35">
      <c r="A1546" t="s">
        <v>57</v>
      </c>
      <c r="B1546" t="s">
        <v>79</v>
      </c>
      <c r="C1546">
        <v>2025</v>
      </c>
      <c r="D1546" t="s">
        <v>38</v>
      </c>
      <c r="E1546">
        <v>45556.75</v>
      </c>
      <c r="F1546">
        <v>57.9</v>
      </c>
      <c r="G1546">
        <v>221</v>
      </c>
      <c r="H1546">
        <v>153</v>
      </c>
      <c r="I1546" t="s">
        <v>33</v>
      </c>
      <c r="J1546">
        <v>5</v>
      </c>
      <c r="K1546" t="s">
        <v>22</v>
      </c>
      <c r="L1546">
        <v>46977</v>
      </c>
      <c r="M1546">
        <v>3.32</v>
      </c>
      <c r="N1546" s="6">
        <f t="shared" si="24"/>
        <v>2140119444.75</v>
      </c>
    </row>
    <row r="1547" spans="1:14" x14ac:dyDescent="0.35">
      <c r="A1547" t="s">
        <v>49</v>
      </c>
      <c r="B1547" t="s">
        <v>90</v>
      </c>
      <c r="C1547">
        <v>2025</v>
      </c>
      <c r="D1547" t="s">
        <v>43</v>
      </c>
      <c r="E1547">
        <v>66375.02</v>
      </c>
      <c r="F1547">
        <v>59.8</v>
      </c>
      <c r="G1547">
        <v>232</v>
      </c>
      <c r="H1547">
        <v>143</v>
      </c>
      <c r="I1547" t="s">
        <v>33</v>
      </c>
      <c r="J1547">
        <v>4</v>
      </c>
      <c r="K1547" t="s">
        <v>20</v>
      </c>
      <c r="L1547">
        <v>125248</v>
      </c>
      <c r="M1547">
        <v>3.22</v>
      </c>
      <c r="N1547" s="6">
        <f t="shared" si="24"/>
        <v>8313338504.96</v>
      </c>
    </row>
    <row r="1548" spans="1:14" x14ac:dyDescent="0.35">
      <c r="A1548" t="s">
        <v>23</v>
      </c>
      <c r="B1548" t="s">
        <v>82</v>
      </c>
      <c r="C1548">
        <v>2025</v>
      </c>
      <c r="D1548" t="s">
        <v>15</v>
      </c>
      <c r="E1548">
        <v>68553.58</v>
      </c>
      <c r="F1548">
        <v>80.599999999999994</v>
      </c>
      <c r="G1548">
        <v>282</v>
      </c>
      <c r="H1548">
        <v>193</v>
      </c>
      <c r="I1548" t="s">
        <v>21</v>
      </c>
      <c r="J1548">
        <v>5</v>
      </c>
      <c r="K1548" t="s">
        <v>20</v>
      </c>
      <c r="L1548">
        <v>27343</v>
      </c>
      <c r="M1548">
        <v>3.55</v>
      </c>
      <c r="N1548" s="6">
        <f t="shared" si="24"/>
        <v>1874460537.9400001</v>
      </c>
    </row>
    <row r="1549" spans="1:14" x14ac:dyDescent="0.35">
      <c r="A1549" t="s">
        <v>45</v>
      </c>
      <c r="B1549" t="s">
        <v>46</v>
      </c>
      <c r="C1549">
        <v>2025</v>
      </c>
      <c r="D1549" t="s">
        <v>28</v>
      </c>
      <c r="E1549">
        <v>57737.75</v>
      </c>
      <c r="F1549">
        <v>106.1</v>
      </c>
      <c r="G1549">
        <v>383</v>
      </c>
      <c r="H1549">
        <v>189</v>
      </c>
      <c r="I1549" t="s">
        <v>33</v>
      </c>
      <c r="J1549">
        <v>4</v>
      </c>
      <c r="K1549" t="s">
        <v>22</v>
      </c>
      <c r="L1549">
        <v>108943</v>
      </c>
      <c r="M1549">
        <v>4.12</v>
      </c>
      <c r="N1549" s="6">
        <f t="shared" si="24"/>
        <v>6290123698.25</v>
      </c>
    </row>
    <row r="1550" spans="1:14" x14ac:dyDescent="0.35">
      <c r="A1550" t="s">
        <v>57</v>
      </c>
      <c r="B1550" t="s">
        <v>62</v>
      </c>
      <c r="C1550">
        <v>2025</v>
      </c>
      <c r="D1550" t="s">
        <v>28</v>
      </c>
      <c r="E1550">
        <v>54602.2</v>
      </c>
      <c r="F1550">
        <v>96</v>
      </c>
      <c r="G1550">
        <v>344</v>
      </c>
      <c r="H1550">
        <v>181</v>
      </c>
      <c r="I1550" t="s">
        <v>25</v>
      </c>
      <c r="J1550">
        <v>3</v>
      </c>
      <c r="K1550" t="s">
        <v>22</v>
      </c>
      <c r="L1550">
        <v>50891</v>
      </c>
      <c r="M1550">
        <v>3.53</v>
      </c>
      <c r="N1550" s="6">
        <f t="shared" si="24"/>
        <v>2778760560.1999998</v>
      </c>
    </row>
    <row r="1551" spans="1:14" x14ac:dyDescent="0.35">
      <c r="A1551" t="s">
        <v>26</v>
      </c>
      <c r="B1551" t="s">
        <v>27</v>
      </c>
      <c r="C1551">
        <v>2025</v>
      </c>
      <c r="D1551" t="s">
        <v>28</v>
      </c>
      <c r="E1551">
        <v>76787.3</v>
      </c>
      <c r="F1551">
        <v>75.400000000000006</v>
      </c>
      <c r="G1551">
        <v>275</v>
      </c>
      <c r="H1551">
        <v>171</v>
      </c>
      <c r="I1551" t="s">
        <v>21</v>
      </c>
      <c r="J1551">
        <v>4</v>
      </c>
      <c r="K1551" t="s">
        <v>20</v>
      </c>
      <c r="L1551">
        <v>116634</v>
      </c>
      <c r="M1551">
        <v>3.71</v>
      </c>
      <c r="N1551" s="6">
        <f t="shared" si="24"/>
        <v>8956009948.2000008</v>
      </c>
    </row>
    <row r="1552" spans="1:14" x14ac:dyDescent="0.35">
      <c r="A1552" t="s">
        <v>111</v>
      </c>
      <c r="B1552" t="s">
        <v>112</v>
      </c>
      <c r="C1552">
        <v>2025</v>
      </c>
      <c r="D1552" t="s">
        <v>20</v>
      </c>
      <c r="E1552">
        <v>55513.599999999999</v>
      </c>
      <c r="F1552">
        <v>48.7</v>
      </c>
      <c r="G1552">
        <v>150</v>
      </c>
      <c r="H1552">
        <v>162</v>
      </c>
      <c r="I1552" t="s">
        <v>40</v>
      </c>
      <c r="J1552">
        <v>4</v>
      </c>
      <c r="K1552" t="s">
        <v>22</v>
      </c>
      <c r="L1552">
        <v>22327</v>
      </c>
      <c r="M1552">
        <v>3.32</v>
      </c>
      <c r="N1552" s="6">
        <f t="shared" si="24"/>
        <v>1239452147.2</v>
      </c>
    </row>
    <row r="1553" spans="1:14" x14ac:dyDescent="0.35">
      <c r="A1553" t="s">
        <v>64</v>
      </c>
      <c r="B1553" t="s">
        <v>97</v>
      </c>
      <c r="C1553">
        <v>2025</v>
      </c>
      <c r="D1553" t="s">
        <v>38</v>
      </c>
      <c r="E1553">
        <v>84529.75</v>
      </c>
      <c r="F1553">
        <v>77.3</v>
      </c>
      <c r="G1553">
        <v>276</v>
      </c>
      <c r="H1553">
        <v>176</v>
      </c>
      <c r="I1553" t="s">
        <v>32</v>
      </c>
      <c r="J1553">
        <v>4</v>
      </c>
      <c r="K1553" t="s">
        <v>20</v>
      </c>
      <c r="L1553">
        <v>25679</v>
      </c>
      <c r="M1553">
        <v>3.71</v>
      </c>
      <c r="N1553" s="6">
        <f t="shared" si="24"/>
        <v>2170639450.25</v>
      </c>
    </row>
    <row r="1554" spans="1:14" x14ac:dyDescent="0.35">
      <c r="A1554" t="s">
        <v>29</v>
      </c>
      <c r="B1554" t="s">
        <v>39</v>
      </c>
      <c r="C1554">
        <v>2025</v>
      </c>
      <c r="D1554" t="s">
        <v>38</v>
      </c>
      <c r="E1554">
        <v>97308.1</v>
      </c>
      <c r="F1554">
        <v>56.4</v>
      </c>
      <c r="G1554">
        <v>188</v>
      </c>
      <c r="H1554">
        <v>153</v>
      </c>
      <c r="I1554" t="s">
        <v>21</v>
      </c>
      <c r="J1554">
        <v>4</v>
      </c>
      <c r="K1554" t="s">
        <v>20</v>
      </c>
      <c r="L1554">
        <v>239872</v>
      </c>
      <c r="M1554">
        <v>3.7</v>
      </c>
      <c r="N1554" s="6">
        <f t="shared" si="24"/>
        <v>23341488563.200001</v>
      </c>
    </row>
    <row r="1555" spans="1:14" x14ac:dyDescent="0.35">
      <c r="A1555" t="s">
        <v>29</v>
      </c>
      <c r="B1555" t="s">
        <v>59</v>
      </c>
      <c r="C1555">
        <v>2025</v>
      </c>
      <c r="D1555" t="s">
        <v>20</v>
      </c>
      <c r="E1555">
        <v>35653.980000000003</v>
      </c>
      <c r="F1555">
        <v>52</v>
      </c>
      <c r="G1555">
        <v>162</v>
      </c>
      <c r="H1555">
        <v>146</v>
      </c>
      <c r="I1555" t="s">
        <v>16</v>
      </c>
      <c r="J1555">
        <v>4</v>
      </c>
      <c r="K1555" t="s">
        <v>22</v>
      </c>
      <c r="L1555">
        <v>228295</v>
      </c>
      <c r="M1555">
        <v>3.58</v>
      </c>
      <c r="N1555" s="6">
        <f t="shared" si="24"/>
        <v>8139625364.1000004</v>
      </c>
    </row>
    <row r="1556" spans="1:14" x14ac:dyDescent="0.35">
      <c r="A1556" t="s">
        <v>49</v>
      </c>
      <c r="B1556" t="s">
        <v>60</v>
      </c>
      <c r="C1556">
        <v>2025</v>
      </c>
      <c r="D1556" t="s">
        <v>28</v>
      </c>
      <c r="E1556">
        <v>80040.399999999994</v>
      </c>
      <c r="F1556">
        <v>81.099999999999994</v>
      </c>
      <c r="G1556">
        <v>284</v>
      </c>
      <c r="H1556">
        <v>181</v>
      </c>
      <c r="I1556" t="s">
        <v>16</v>
      </c>
      <c r="J1556">
        <v>5</v>
      </c>
      <c r="K1556" t="s">
        <v>20</v>
      </c>
      <c r="L1556">
        <v>146157</v>
      </c>
      <c r="M1556">
        <v>3.67</v>
      </c>
      <c r="N1556" s="6">
        <f t="shared" si="24"/>
        <v>11698464742.799999</v>
      </c>
    </row>
    <row r="1557" spans="1:14" x14ac:dyDescent="0.35">
      <c r="A1557" t="s">
        <v>23</v>
      </c>
      <c r="B1557" t="s">
        <v>83</v>
      </c>
      <c r="C1557">
        <v>2025</v>
      </c>
      <c r="D1557" t="s">
        <v>38</v>
      </c>
      <c r="E1557">
        <v>64750.83</v>
      </c>
      <c r="F1557">
        <v>60.4</v>
      </c>
      <c r="G1557">
        <v>230</v>
      </c>
      <c r="H1557">
        <v>137</v>
      </c>
      <c r="I1557" t="s">
        <v>21</v>
      </c>
      <c r="J1557">
        <v>4</v>
      </c>
      <c r="K1557" t="s">
        <v>22</v>
      </c>
      <c r="L1557">
        <v>23069</v>
      </c>
      <c r="M1557">
        <v>3.62</v>
      </c>
      <c r="N1557" s="6">
        <f t="shared" si="24"/>
        <v>1493736897.27</v>
      </c>
    </row>
    <row r="1558" spans="1:14" x14ac:dyDescent="0.35">
      <c r="A1558" t="s">
        <v>80</v>
      </c>
      <c r="B1558" t="s">
        <v>94</v>
      </c>
      <c r="C1558">
        <v>2025</v>
      </c>
      <c r="D1558" t="s">
        <v>20</v>
      </c>
      <c r="E1558">
        <v>111303.96</v>
      </c>
      <c r="F1558">
        <v>67.099999999999994</v>
      </c>
      <c r="G1558">
        <v>242</v>
      </c>
      <c r="H1558">
        <v>145</v>
      </c>
      <c r="I1558" t="s">
        <v>25</v>
      </c>
      <c r="J1558">
        <v>5</v>
      </c>
      <c r="K1558" t="s">
        <v>17</v>
      </c>
      <c r="L1558">
        <v>5234</v>
      </c>
      <c r="M1558">
        <v>3.75</v>
      </c>
      <c r="N1558" s="6">
        <f t="shared" si="24"/>
        <v>582564926.63999999</v>
      </c>
    </row>
    <row r="1559" spans="1:14" x14ac:dyDescent="0.35">
      <c r="A1559" t="s">
        <v>34</v>
      </c>
      <c r="B1559" t="s">
        <v>106</v>
      </c>
      <c r="C1559">
        <v>2025</v>
      </c>
      <c r="D1559" t="s">
        <v>20</v>
      </c>
      <c r="E1559">
        <v>198768.13</v>
      </c>
      <c r="F1559">
        <v>55.6</v>
      </c>
      <c r="G1559">
        <v>194</v>
      </c>
      <c r="H1559">
        <v>170</v>
      </c>
      <c r="I1559" t="s">
        <v>21</v>
      </c>
      <c r="J1559">
        <v>5</v>
      </c>
      <c r="K1559" t="s">
        <v>17</v>
      </c>
      <c r="L1559">
        <v>77200</v>
      </c>
      <c r="M1559">
        <v>3.68</v>
      </c>
      <c r="N1559" s="6">
        <f t="shared" si="24"/>
        <v>15344899636</v>
      </c>
    </row>
    <row r="1560" spans="1:14" x14ac:dyDescent="0.35">
      <c r="A1560" t="s">
        <v>13</v>
      </c>
      <c r="B1560" t="s">
        <v>14</v>
      </c>
      <c r="C1560">
        <v>2025</v>
      </c>
      <c r="D1560" t="s">
        <v>20</v>
      </c>
      <c r="E1560">
        <v>116578.08</v>
      </c>
      <c r="F1560">
        <v>55.4</v>
      </c>
      <c r="G1560">
        <v>182</v>
      </c>
      <c r="H1560">
        <v>147</v>
      </c>
      <c r="I1560" t="s">
        <v>25</v>
      </c>
      <c r="J1560">
        <v>3</v>
      </c>
      <c r="K1560" t="s">
        <v>17</v>
      </c>
      <c r="L1560">
        <v>202014</v>
      </c>
      <c r="M1560">
        <v>3.21</v>
      </c>
      <c r="N1560" s="6">
        <f t="shared" si="24"/>
        <v>23550404253.119999</v>
      </c>
    </row>
    <row r="1561" spans="1:14" x14ac:dyDescent="0.35">
      <c r="A1561" t="s">
        <v>67</v>
      </c>
      <c r="B1561" t="s">
        <v>89</v>
      </c>
      <c r="C1561">
        <v>2025</v>
      </c>
      <c r="D1561" t="s">
        <v>43</v>
      </c>
      <c r="E1561">
        <v>77807.960000000006</v>
      </c>
      <c r="F1561">
        <v>46.7</v>
      </c>
      <c r="G1561">
        <v>186</v>
      </c>
      <c r="H1561">
        <v>131</v>
      </c>
      <c r="I1561" t="s">
        <v>25</v>
      </c>
      <c r="J1561">
        <v>5</v>
      </c>
      <c r="K1561" t="s">
        <v>20</v>
      </c>
      <c r="L1561">
        <v>67104</v>
      </c>
      <c r="M1561">
        <v>3.14</v>
      </c>
      <c r="N1561" s="6">
        <f t="shared" si="24"/>
        <v>5221225347.8400002</v>
      </c>
    </row>
    <row r="1562" spans="1:14" x14ac:dyDescent="0.35">
      <c r="A1562" t="s">
        <v>13</v>
      </c>
      <c r="B1562" t="s">
        <v>51</v>
      </c>
      <c r="C1562">
        <v>2025</v>
      </c>
      <c r="D1562" t="s">
        <v>38</v>
      </c>
      <c r="E1562">
        <v>78903.539999999994</v>
      </c>
      <c r="F1562">
        <v>67.099999999999994</v>
      </c>
      <c r="G1562">
        <v>237</v>
      </c>
      <c r="H1562">
        <v>169</v>
      </c>
      <c r="I1562" t="s">
        <v>25</v>
      </c>
      <c r="J1562">
        <v>5</v>
      </c>
      <c r="K1562" t="s">
        <v>20</v>
      </c>
      <c r="L1562">
        <v>283626</v>
      </c>
      <c r="M1562">
        <v>3.43</v>
      </c>
      <c r="N1562" s="6">
        <f t="shared" si="24"/>
        <v>22379095436.039997</v>
      </c>
    </row>
    <row r="1563" spans="1:14" x14ac:dyDescent="0.35">
      <c r="A1563" t="s">
        <v>67</v>
      </c>
      <c r="B1563" t="s">
        <v>98</v>
      </c>
      <c r="C1563">
        <v>2025</v>
      </c>
      <c r="D1563" t="s">
        <v>43</v>
      </c>
      <c r="E1563">
        <v>119850.54</v>
      </c>
      <c r="F1563">
        <v>74.400000000000006</v>
      </c>
      <c r="G1563">
        <v>257</v>
      </c>
      <c r="H1563">
        <v>160</v>
      </c>
      <c r="I1563" t="s">
        <v>40</v>
      </c>
      <c r="J1563">
        <v>5</v>
      </c>
      <c r="K1563" t="s">
        <v>17</v>
      </c>
      <c r="L1563">
        <v>48973</v>
      </c>
      <c r="M1563">
        <v>3.68</v>
      </c>
      <c r="N1563" s="6">
        <f t="shared" si="24"/>
        <v>5869440495.4200001</v>
      </c>
    </row>
    <row r="1564" spans="1:14" x14ac:dyDescent="0.35">
      <c r="A1564" t="s">
        <v>45</v>
      </c>
      <c r="B1564" t="s">
        <v>48</v>
      </c>
      <c r="C1564">
        <v>2025</v>
      </c>
      <c r="D1564" t="s">
        <v>20</v>
      </c>
      <c r="E1564">
        <v>45553.77</v>
      </c>
      <c r="F1564">
        <v>71.900000000000006</v>
      </c>
      <c r="G1564">
        <v>240</v>
      </c>
      <c r="H1564">
        <v>134</v>
      </c>
      <c r="I1564" t="s">
        <v>21</v>
      </c>
      <c r="J1564">
        <v>5</v>
      </c>
      <c r="K1564" t="s">
        <v>22</v>
      </c>
      <c r="L1564">
        <v>119429</v>
      </c>
      <c r="M1564">
        <v>3.24</v>
      </c>
      <c r="N1564" s="6">
        <f t="shared" si="24"/>
        <v>5440441197.3299999</v>
      </c>
    </row>
    <row r="1565" spans="1:14" x14ac:dyDescent="0.35">
      <c r="A1565" t="s">
        <v>45</v>
      </c>
      <c r="B1565" t="s">
        <v>48</v>
      </c>
      <c r="C1565">
        <v>2025</v>
      </c>
      <c r="D1565" t="s">
        <v>20</v>
      </c>
      <c r="E1565">
        <v>26326.68</v>
      </c>
      <c r="F1565">
        <v>42.7</v>
      </c>
      <c r="G1565">
        <v>150</v>
      </c>
      <c r="H1565">
        <v>152</v>
      </c>
      <c r="I1565" t="s">
        <v>25</v>
      </c>
      <c r="J1565">
        <v>4</v>
      </c>
      <c r="K1565" t="s">
        <v>47</v>
      </c>
      <c r="L1565">
        <v>129109</v>
      </c>
      <c r="M1565">
        <v>3.09</v>
      </c>
      <c r="N1565" s="6">
        <f t="shared" si="24"/>
        <v>3399011328.1199999</v>
      </c>
    </row>
    <row r="1566" spans="1:14" x14ac:dyDescent="0.35">
      <c r="A1566" t="s">
        <v>29</v>
      </c>
      <c r="B1566" t="s">
        <v>30</v>
      </c>
      <c r="C1566">
        <v>2025</v>
      </c>
      <c r="D1566" t="s">
        <v>20</v>
      </c>
      <c r="E1566">
        <v>130541.56</v>
      </c>
      <c r="F1566">
        <v>71.2</v>
      </c>
      <c r="G1566">
        <v>238</v>
      </c>
      <c r="H1566">
        <v>152</v>
      </c>
      <c r="I1566" t="s">
        <v>32</v>
      </c>
      <c r="J1566">
        <v>4</v>
      </c>
      <c r="K1566" t="s">
        <v>17</v>
      </c>
      <c r="L1566">
        <v>190536</v>
      </c>
      <c r="M1566">
        <v>3.76</v>
      </c>
      <c r="N1566" s="6">
        <f t="shared" si="24"/>
        <v>24872866676.16</v>
      </c>
    </row>
    <row r="1567" spans="1:14" x14ac:dyDescent="0.35">
      <c r="A1567" t="s">
        <v>41</v>
      </c>
      <c r="B1567" t="s">
        <v>42</v>
      </c>
      <c r="C1567">
        <v>2025</v>
      </c>
      <c r="D1567" t="s">
        <v>38</v>
      </c>
      <c r="E1567">
        <v>60986.5</v>
      </c>
      <c r="F1567">
        <v>42.7</v>
      </c>
      <c r="G1567">
        <v>150</v>
      </c>
      <c r="H1567">
        <v>137</v>
      </c>
      <c r="I1567" t="s">
        <v>25</v>
      </c>
      <c r="J1567">
        <v>5</v>
      </c>
      <c r="K1567" t="s">
        <v>22</v>
      </c>
      <c r="L1567">
        <v>2488</v>
      </c>
      <c r="M1567">
        <v>3.18</v>
      </c>
      <c r="N1567" s="6">
        <f t="shared" si="24"/>
        <v>151734412</v>
      </c>
    </row>
    <row r="1568" spans="1:14" x14ac:dyDescent="0.35">
      <c r="A1568" t="s">
        <v>45</v>
      </c>
      <c r="B1568" t="s">
        <v>63</v>
      </c>
      <c r="C1568">
        <v>2025</v>
      </c>
      <c r="D1568" t="s">
        <v>20</v>
      </c>
      <c r="E1568">
        <v>96175.42</v>
      </c>
      <c r="F1568">
        <v>50.5</v>
      </c>
      <c r="G1568">
        <v>159</v>
      </c>
      <c r="H1568">
        <v>164</v>
      </c>
      <c r="I1568" t="s">
        <v>32</v>
      </c>
      <c r="J1568">
        <v>3</v>
      </c>
      <c r="K1568" t="s">
        <v>20</v>
      </c>
      <c r="L1568">
        <v>232340</v>
      </c>
      <c r="M1568">
        <v>3.27</v>
      </c>
      <c r="N1568" s="6">
        <f t="shared" si="24"/>
        <v>22345397082.799999</v>
      </c>
    </row>
    <row r="1569" spans="1:14" x14ac:dyDescent="0.35">
      <c r="A1569" t="s">
        <v>64</v>
      </c>
      <c r="B1569" t="s">
        <v>65</v>
      </c>
      <c r="C1569">
        <v>2025</v>
      </c>
      <c r="D1569" t="s">
        <v>15</v>
      </c>
      <c r="E1569">
        <v>162797.03</v>
      </c>
      <c r="F1569">
        <v>103.1</v>
      </c>
      <c r="G1569">
        <v>369</v>
      </c>
      <c r="H1569">
        <v>193</v>
      </c>
      <c r="I1569" t="s">
        <v>25</v>
      </c>
      <c r="J1569">
        <v>5</v>
      </c>
      <c r="K1569" t="s">
        <v>17</v>
      </c>
      <c r="L1569">
        <v>27119</v>
      </c>
      <c r="M1569">
        <v>3.48</v>
      </c>
      <c r="N1569" s="6">
        <f t="shared" si="24"/>
        <v>4414892656.5699997</v>
      </c>
    </row>
    <row r="1570" spans="1:14" x14ac:dyDescent="0.35">
      <c r="A1570" t="s">
        <v>57</v>
      </c>
      <c r="B1570" t="s">
        <v>79</v>
      </c>
      <c r="C1570">
        <v>2025</v>
      </c>
      <c r="D1570" t="s">
        <v>20</v>
      </c>
      <c r="E1570">
        <v>59495.32</v>
      </c>
      <c r="F1570">
        <v>76.8</v>
      </c>
      <c r="G1570">
        <v>282</v>
      </c>
      <c r="H1570">
        <v>161</v>
      </c>
      <c r="I1570" t="s">
        <v>16</v>
      </c>
      <c r="J1570">
        <v>5</v>
      </c>
      <c r="K1570" t="s">
        <v>22</v>
      </c>
      <c r="L1570">
        <v>62617</v>
      </c>
      <c r="M1570">
        <v>3.81</v>
      </c>
      <c r="N1570" s="6">
        <f t="shared" si="24"/>
        <v>3725418452.4400001</v>
      </c>
    </row>
    <row r="1571" spans="1:14" x14ac:dyDescent="0.35">
      <c r="A1571" t="s">
        <v>41</v>
      </c>
      <c r="B1571" t="s">
        <v>92</v>
      </c>
      <c r="C1571">
        <v>2025</v>
      </c>
      <c r="D1571" t="s">
        <v>28</v>
      </c>
      <c r="E1571">
        <v>66660.45</v>
      </c>
      <c r="F1571">
        <v>93.7</v>
      </c>
      <c r="G1571">
        <v>290</v>
      </c>
      <c r="H1571">
        <v>186</v>
      </c>
      <c r="I1571" t="s">
        <v>33</v>
      </c>
      <c r="J1571">
        <v>5</v>
      </c>
      <c r="K1571" t="s">
        <v>20</v>
      </c>
      <c r="L1571">
        <v>12789</v>
      </c>
      <c r="M1571">
        <v>3.33</v>
      </c>
      <c r="N1571" s="6">
        <f t="shared" si="24"/>
        <v>852520495.04999995</v>
      </c>
    </row>
    <row r="1572" spans="1:14" x14ac:dyDescent="0.35">
      <c r="A1572" t="s">
        <v>49</v>
      </c>
      <c r="B1572" t="s">
        <v>90</v>
      </c>
      <c r="C1572">
        <v>2025</v>
      </c>
      <c r="D1572" t="s">
        <v>28</v>
      </c>
      <c r="E1572">
        <v>70681.91</v>
      </c>
      <c r="F1572">
        <v>86.7</v>
      </c>
      <c r="G1572">
        <v>309</v>
      </c>
      <c r="H1572">
        <v>176</v>
      </c>
      <c r="I1572" t="s">
        <v>21</v>
      </c>
      <c r="J1572">
        <v>4</v>
      </c>
      <c r="K1572" t="s">
        <v>20</v>
      </c>
      <c r="L1572">
        <v>50014</v>
      </c>
      <c r="M1572">
        <v>3.59</v>
      </c>
      <c r="N1572" s="6">
        <f t="shared" si="24"/>
        <v>3535085046.7400002</v>
      </c>
    </row>
    <row r="1573" spans="1:14" x14ac:dyDescent="0.35">
      <c r="A1573" t="s">
        <v>34</v>
      </c>
      <c r="B1573" t="s">
        <v>35</v>
      </c>
      <c r="C1573">
        <v>2025</v>
      </c>
      <c r="D1573" t="s">
        <v>15</v>
      </c>
      <c r="E1573">
        <v>94342.22</v>
      </c>
      <c r="F1573">
        <v>95.8</v>
      </c>
      <c r="G1573">
        <v>324</v>
      </c>
      <c r="H1573">
        <v>192</v>
      </c>
      <c r="I1573" t="s">
        <v>21</v>
      </c>
      <c r="J1573">
        <v>4</v>
      </c>
      <c r="K1573" t="s">
        <v>20</v>
      </c>
      <c r="L1573">
        <v>56423</v>
      </c>
      <c r="M1573">
        <v>3.88</v>
      </c>
      <c r="N1573" s="6">
        <f t="shared" si="24"/>
        <v>5323071079.0600004</v>
      </c>
    </row>
    <row r="1574" spans="1:14" x14ac:dyDescent="0.35">
      <c r="A1574" t="s">
        <v>29</v>
      </c>
      <c r="B1574" t="s">
        <v>59</v>
      </c>
      <c r="C1574">
        <v>2025</v>
      </c>
      <c r="D1574" t="s">
        <v>28</v>
      </c>
      <c r="E1574">
        <v>100199.56</v>
      </c>
      <c r="F1574">
        <v>90.8</v>
      </c>
      <c r="G1574">
        <v>321</v>
      </c>
      <c r="H1574">
        <v>171</v>
      </c>
      <c r="I1574" t="s">
        <v>32</v>
      </c>
      <c r="J1574">
        <v>4</v>
      </c>
      <c r="K1574" t="s">
        <v>17</v>
      </c>
      <c r="L1574">
        <v>197625</v>
      </c>
      <c r="M1574">
        <v>3.78</v>
      </c>
      <c r="N1574" s="6">
        <f t="shared" si="24"/>
        <v>19801938045</v>
      </c>
    </row>
    <row r="1575" spans="1:14" x14ac:dyDescent="0.35">
      <c r="A1575" t="s">
        <v>29</v>
      </c>
      <c r="B1575" t="s">
        <v>31</v>
      </c>
      <c r="C1575">
        <v>2025</v>
      </c>
      <c r="D1575" t="s">
        <v>15</v>
      </c>
      <c r="E1575">
        <v>135068.35</v>
      </c>
      <c r="F1575">
        <v>116.4</v>
      </c>
      <c r="G1575">
        <v>393</v>
      </c>
      <c r="H1575">
        <v>193</v>
      </c>
      <c r="I1575" t="s">
        <v>40</v>
      </c>
      <c r="J1575">
        <v>5</v>
      </c>
      <c r="K1575" t="s">
        <v>17</v>
      </c>
      <c r="L1575">
        <v>419874</v>
      </c>
      <c r="M1575">
        <v>4.32</v>
      </c>
      <c r="N1575" s="6">
        <f t="shared" si="24"/>
        <v>56711688387.900002</v>
      </c>
    </row>
    <row r="1576" spans="1:14" x14ac:dyDescent="0.35">
      <c r="A1576" t="s">
        <v>29</v>
      </c>
      <c r="B1576" t="s">
        <v>31</v>
      </c>
      <c r="C1576">
        <v>2025</v>
      </c>
      <c r="D1576" t="s">
        <v>43</v>
      </c>
      <c r="E1576">
        <v>28188.639999999999</v>
      </c>
      <c r="F1576">
        <v>40.299999999999997</v>
      </c>
      <c r="G1576">
        <v>150</v>
      </c>
      <c r="H1576">
        <v>141</v>
      </c>
      <c r="I1576" t="s">
        <v>21</v>
      </c>
      <c r="J1576">
        <v>3</v>
      </c>
      <c r="K1576" t="s">
        <v>47</v>
      </c>
      <c r="L1576">
        <v>412935</v>
      </c>
      <c r="M1576">
        <v>3.53</v>
      </c>
      <c r="N1576" s="6">
        <f t="shared" si="24"/>
        <v>11640076058.4</v>
      </c>
    </row>
    <row r="1577" spans="1:14" x14ac:dyDescent="0.35">
      <c r="A1577" t="s">
        <v>45</v>
      </c>
      <c r="B1577" t="s">
        <v>54</v>
      </c>
      <c r="C1577">
        <v>2025</v>
      </c>
      <c r="D1577" t="s">
        <v>43</v>
      </c>
      <c r="E1577">
        <v>32633.03</v>
      </c>
      <c r="F1577">
        <v>80</v>
      </c>
      <c r="G1577">
        <v>279</v>
      </c>
      <c r="H1577">
        <v>144</v>
      </c>
      <c r="I1577" t="s">
        <v>16</v>
      </c>
      <c r="J1577">
        <v>5</v>
      </c>
      <c r="K1577" t="s">
        <v>47</v>
      </c>
      <c r="L1577">
        <v>106393</v>
      </c>
      <c r="M1577">
        <v>3.6</v>
      </c>
      <c r="N1577" s="6">
        <f t="shared" si="24"/>
        <v>3471925960.79</v>
      </c>
    </row>
    <row r="1578" spans="1:14" x14ac:dyDescent="0.35">
      <c r="A1578" t="s">
        <v>29</v>
      </c>
      <c r="B1578" t="s">
        <v>39</v>
      </c>
      <c r="C1578">
        <v>2025</v>
      </c>
      <c r="D1578" t="s">
        <v>15</v>
      </c>
      <c r="E1578">
        <v>61791.69</v>
      </c>
      <c r="F1578">
        <v>82</v>
      </c>
      <c r="G1578">
        <v>283</v>
      </c>
      <c r="H1578">
        <v>200</v>
      </c>
      <c r="I1578" t="s">
        <v>40</v>
      </c>
      <c r="J1578">
        <v>5</v>
      </c>
      <c r="K1578" t="s">
        <v>22</v>
      </c>
      <c r="L1578">
        <v>214239</v>
      </c>
      <c r="M1578">
        <v>3.64</v>
      </c>
      <c r="N1578" s="6">
        <f t="shared" si="24"/>
        <v>13238189873.91</v>
      </c>
    </row>
    <row r="1579" spans="1:14" x14ac:dyDescent="0.35">
      <c r="A1579" t="s">
        <v>49</v>
      </c>
      <c r="B1579" t="s">
        <v>87</v>
      </c>
      <c r="C1579">
        <v>2025</v>
      </c>
      <c r="D1579" t="s">
        <v>15</v>
      </c>
      <c r="E1579">
        <v>97448.38</v>
      </c>
      <c r="F1579">
        <v>102</v>
      </c>
      <c r="G1579">
        <v>335</v>
      </c>
      <c r="H1579">
        <v>187</v>
      </c>
      <c r="I1579" t="s">
        <v>33</v>
      </c>
      <c r="J1579">
        <v>3</v>
      </c>
      <c r="K1579" t="s">
        <v>20</v>
      </c>
      <c r="L1579">
        <v>81695</v>
      </c>
      <c r="M1579">
        <v>3.65</v>
      </c>
      <c r="N1579" s="6">
        <f t="shared" si="24"/>
        <v>7961045404.1000004</v>
      </c>
    </row>
    <row r="1580" spans="1:14" x14ac:dyDescent="0.35">
      <c r="A1580" t="s">
        <v>73</v>
      </c>
      <c r="B1580" t="s">
        <v>74</v>
      </c>
      <c r="C1580">
        <v>2025</v>
      </c>
      <c r="D1580" t="s">
        <v>38</v>
      </c>
      <c r="E1580">
        <v>75082.66</v>
      </c>
      <c r="F1580">
        <v>69</v>
      </c>
      <c r="G1580">
        <v>236</v>
      </c>
      <c r="H1580">
        <v>173</v>
      </c>
      <c r="I1580" t="s">
        <v>40</v>
      </c>
      <c r="J1580">
        <v>5</v>
      </c>
      <c r="K1580" t="s">
        <v>20</v>
      </c>
      <c r="L1580">
        <v>6090</v>
      </c>
      <c r="M1580">
        <v>3.63</v>
      </c>
      <c r="N1580" s="6">
        <f t="shared" si="24"/>
        <v>457253399.40000004</v>
      </c>
    </row>
    <row r="1581" spans="1:14" x14ac:dyDescent="0.35">
      <c r="A1581" t="s">
        <v>29</v>
      </c>
      <c r="B1581" t="s">
        <v>31</v>
      </c>
      <c r="C1581">
        <v>2025</v>
      </c>
      <c r="D1581" t="s">
        <v>20</v>
      </c>
      <c r="E1581">
        <v>56042.12</v>
      </c>
      <c r="F1581">
        <v>66.900000000000006</v>
      </c>
      <c r="G1581">
        <v>222</v>
      </c>
      <c r="H1581">
        <v>139</v>
      </c>
      <c r="I1581" t="s">
        <v>33</v>
      </c>
      <c r="J1581">
        <v>4</v>
      </c>
      <c r="K1581" t="s">
        <v>22</v>
      </c>
      <c r="L1581">
        <v>439817</v>
      </c>
      <c r="M1581">
        <v>3.53</v>
      </c>
      <c r="N1581" s="6">
        <f t="shared" si="24"/>
        <v>24648277092.040001</v>
      </c>
    </row>
    <row r="1582" spans="1:14" x14ac:dyDescent="0.35">
      <c r="A1582" t="s">
        <v>29</v>
      </c>
      <c r="B1582" t="s">
        <v>31</v>
      </c>
      <c r="C1582">
        <v>2025</v>
      </c>
      <c r="D1582" t="s">
        <v>38</v>
      </c>
      <c r="E1582">
        <v>102064.68</v>
      </c>
      <c r="F1582">
        <v>49.3</v>
      </c>
      <c r="G1582">
        <v>183</v>
      </c>
      <c r="H1582">
        <v>163</v>
      </c>
      <c r="I1582" t="s">
        <v>21</v>
      </c>
      <c r="J1582">
        <v>5</v>
      </c>
      <c r="K1582" t="s">
        <v>17</v>
      </c>
      <c r="L1582">
        <v>469259</v>
      </c>
      <c r="M1582">
        <v>3.73</v>
      </c>
      <c r="N1582" s="6">
        <f t="shared" si="24"/>
        <v>47894769672.119995</v>
      </c>
    </row>
    <row r="1583" spans="1:14" x14ac:dyDescent="0.35">
      <c r="A1583" t="s">
        <v>75</v>
      </c>
      <c r="B1583" t="s">
        <v>76</v>
      </c>
      <c r="C1583">
        <v>2025</v>
      </c>
      <c r="D1583" t="s">
        <v>28</v>
      </c>
      <c r="E1583">
        <v>105185.41</v>
      </c>
      <c r="F1583">
        <v>109.2</v>
      </c>
      <c r="G1583">
        <v>352</v>
      </c>
      <c r="H1583">
        <v>187</v>
      </c>
      <c r="I1583" t="s">
        <v>32</v>
      </c>
      <c r="J1583">
        <v>4</v>
      </c>
      <c r="K1583" t="s">
        <v>17</v>
      </c>
      <c r="L1583">
        <v>20140</v>
      </c>
      <c r="M1583">
        <v>3.46</v>
      </c>
      <c r="N1583" s="6">
        <f t="shared" si="24"/>
        <v>2118434157.4000001</v>
      </c>
    </row>
    <row r="1584" spans="1:14" x14ac:dyDescent="0.35">
      <c r="A1584" t="s">
        <v>29</v>
      </c>
      <c r="B1584" t="s">
        <v>59</v>
      </c>
      <c r="C1584">
        <v>2025</v>
      </c>
      <c r="D1584" t="s">
        <v>20</v>
      </c>
      <c r="E1584">
        <v>155604.37</v>
      </c>
      <c r="F1584">
        <v>46.7</v>
      </c>
      <c r="G1584">
        <v>150</v>
      </c>
      <c r="H1584">
        <v>177</v>
      </c>
      <c r="I1584" t="s">
        <v>25</v>
      </c>
      <c r="J1584">
        <v>4</v>
      </c>
      <c r="K1584" t="s">
        <v>17</v>
      </c>
      <c r="L1584">
        <v>240825</v>
      </c>
      <c r="M1584">
        <v>3.17</v>
      </c>
      <c r="N1584" s="6">
        <f t="shared" si="24"/>
        <v>37473422405.25</v>
      </c>
    </row>
    <row r="1585" spans="1:14" x14ac:dyDescent="0.35">
      <c r="A1585" t="s">
        <v>64</v>
      </c>
      <c r="B1585" t="s">
        <v>97</v>
      </c>
      <c r="C1585">
        <v>2025</v>
      </c>
      <c r="D1585" t="s">
        <v>20</v>
      </c>
      <c r="E1585">
        <v>134002.07</v>
      </c>
      <c r="F1585">
        <v>78.3</v>
      </c>
      <c r="G1585">
        <v>245</v>
      </c>
      <c r="H1585">
        <v>132</v>
      </c>
      <c r="I1585" t="s">
        <v>33</v>
      </c>
      <c r="J1585">
        <v>5</v>
      </c>
      <c r="K1585" t="s">
        <v>17</v>
      </c>
      <c r="L1585">
        <v>54751</v>
      </c>
      <c r="M1585">
        <v>3.42</v>
      </c>
      <c r="N1585" s="6">
        <f t="shared" si="24"/>
        <v>7336747334.5700006</v>
      </c>
    </row>
    <row r="1586" spans="1:14" x14ac:dyDescent="0.35">
      <c r="A1586" t="s">
        <v>34</v>
      </c>
      <c r="B1586" t="s">
        <v>106</v>
      </c>
      <c r="C1586">
        <v>2025</v>
      </c>
      <c r="D1586" t="s">
        <v>38</v>
      </c>
      <c r="E1586">
        <v>125283.58</v>
      </c>
      <c r="F1586">
        <v>75.599999999999994</v>
      </c>
      <c r="G1586">
        <v>264</v>
      </c>
      <c r="H1586">
        <v>138</v>
      </c>
      <c r="I1586" t="s">
        <v>16</v>
      </c>
      <c r="J1586">
        <v>4</v>
      </c>
      <c r="K1586" t="s">
        <v>17</v>
      </c>
      <c r="L1586">
        <v>50741</v>
      </c>
      <c r="M1586">
        <v>4.1900000000000004</v>
      </c>
      <c r="N1586" s="6">
        <f t="shared" si="24"/>
        <v>6357014132.7799997</v>
      </c>
    </row>
    <row r="1587" spans="1:14" x14ac:dyDescent="0.35">
      <c r="A1587" t="s">
        <v>29</v>
      </c>
      <c r="B1587" t="s">
        <v>30</v>
      </c>
      <c r="C1587">
        <v>2025</v>
      </c>
      <c r="D1587" t="s">
        <v>20</v>
      </c>
      <c r="E1587">
        <v>127858.88</v>
      </c>
      <c r="F1587">
        <v>71.8</v>
      </c>
      <c r="G1587">
        <v>285</v>
      </c>
      <c r="H1587">
        <v>142</v>
      </c>
      <c r="I1587" t="s">
        <v>21</v>
      </c>
      <c r="J1587">
        <v>5</v>
      </c>
      <c r="K1587" t="s">
        <v>17</v>
      </c>
      <c r="L1587">
        <v>125874</v>
      </c>
      <c r="M1587">
        <v>3.89</v>
      </c>
      <c r="N1587" s="6">
        <f t="shared" si="24"/>
        <v>16094108661.120001</v>
      </c>
    </row>
    <row r="1588" spans="1:14" x14ac:dyDescent="0.35">
      <c r="A1588" t="s">
        <v>29</v>
      </c>
      <c r="B1588" t="s">
        <v>53</v>
      </c>
      <c r="C1588">
        <v>2025</v>
      </c>
      <c r="D1588" t="s">
        <v>43</v>
      </c>
      <c r="E1588">
        <v>114028.98</v>
      </c>
      <c r="F1588">
        <v>65.3</v>
      </c>
      <c r="G1588">
        <v>249</v>
      </c>
      <c r="H1588">
        <v>137</v>
      </c>
      <c r="I1588" t="s">
        <v>16</v>
      </c>
      <c r="J1588">
        <v>5</v>
      </c>
      <c r="K1588" t="s">
        <v>17</v>
      </c>
      <c r="L1588">
        <v>169238</v>
      </c>
      <c r="M1588">
        <v>3.54</v>
      </c>
      <c r="N1588" s="6">
        <f t="shared" si="24"/>
        <v>19298036517.239998</v>
      </c>
    </row>
    <row r="1589" spans="1:14" x14ac:dyDescent="0.35">
      <c r="A1589" t="s">
        <v>41</v>
      </c>
      <c r="B1589" t="s">
        <v>92</v>
      </c>
      <c r="C1589">
        <v>2025</v>
      </c>
      <c r="D1589" t="s">
        <v>43</v>
      </c>
      <c r="E1589">
        <v>47756.59</v>
      </c>
      <c r="F1589">
        <v>60.7</v>
      </c>
      <c r="G1589">
        <v>225</v>
      </c>
      <c r="H1589">
        <v>158</v>
      </c>
      <c r="I1589" t="s">
        <v>40</v>
      </c>
      <c r="J1589">
        <v>4</v>
      </c>
      <c r="K1589" t="s">
        <v>22</v>
      </c>
      <c r="L1589">
        <v>6983</v>
      </c>
      <c r="M1589">
        <v>3.23</v>
      </c>
      <c r="N1589" s="6">
        <f t="shared" si="24"/>
        <v>333484267.96999997</v>
      </c>
    </row>
    <row r="1590" spans="1:14" x14ac:dyDescent="0.35">
      <c r="A1590" t="s">
        <v>49</v>
      </c>
      <c r="B1590" t="s">
        <v>90</v>
      </c>
      <c r="C1590">
        <v>2025</v>
      </c>
      <c r="D1590" t="s">
        <v>43</v>
      </c>
      <c r="E1590">
        <v>33127.96</v>
      </c>
      <c r="F1590">
        <v>41.6</v>
      </c>
      <c r="G1590">
        <v>164</v>
      </c>
      <c r="H1590">
        <v>129</v>
      </c>
      <c r="I1590" t="s">
        <v>21</v>
      </c>
      <c r="J1590">
        <v>5</v>
      </c>
      <c r="K1590" t="s">
        <v>47</v>
      </c>
      <c r="L1590">
        <v>138439</v>
      </c>
      <c r="M1590">
        <v>3.06</v>
      </c>
      <c r="N1590" s="6">
        <f t="shared" si="24"/>
        <v>4586201654.4399996</v>
      </c>
    </row>
    <row r="1591" spans="1:14" x14ac:dyDescent="0.35">
      <c r="A1591" t="s">
        <v>26</v>
      </c>
      <c r="B1591" t="s">
        <v>36</v>
      </c>
      <c r="C1591">
        <v>2025</v>
      </c>
      <c r="D1591" t="s">
        <v>20</v>
      </c>
      <c r="E1591">
        <v>52664.7</v>
      </c>
      <c r="F1591">
        <v>45</v>
      </c>
      <c r="G1591">
        <v>151</v>
      </c>
      <c r="H1591">
        <v>133</v>
      </c>
      <c r="I1591" t="s">
        <v>21</v>
      </c>
      <c r="J1591">
        <v>5</v>
      </c>
      <c r="K1591" t="s">
        <v>22</v>
      </c>
      <c r="L1591">
        <v>62015</v>
      </c>
      <c r="M1591">
        <v>3.3</v>
      </c>
      <c r="N1591" s="6">
        <f t="shared" si="24"/>
        <v>3266001370.5</v>
      </c>
    </row>
    <row r="1592" spans="1:14" x14ac:dyDescent="0.35">
      <c r="A1592" t="s">
        <v>75</v>
      </c>
      <c r="B1592" t="s">
        <v>101</v>
      </c>
      <c r="C1592">
        <v>2025</v>
      </c>
      <c r="D1592" t="s">
        <v>20</v>
      </c>
      <c r="E1592">
        <v>100224.89</v>
      </c>
      <c r="F1592">
        <v>43.2</v>
      </c>
      <c r="G1592">
        <v>157</v>
      </c>
      <c r="H1592">
        <v>137</v>
      </c>
      <c r="I1592" t="s">
        <v>40</v>
      </c>
      <c r="J1592">
        <v>4</v>
      </c>
      <c r="K1592" t="s">
        <v>17</v>
      </c>
      <c r="L1592">
        <v>10726</v>
      </c>
      <c r="M1592">
        <v>3</v>
      </c>
      <c r="N1592" s="6">
        <f t="shared" si="24"/>
        <v>1075012170.1400001</v>
      </c>
    </row>
    <row r="1593" spans="1:14" x14ac:dyDescent="0.35">
      <c r="A1593" t="s">
        <v>64</v>
      </c>
      <c r="B1593" t="s">
        <v>97</v>
      </c>
      <c r="C1593">
        <v>2025</v>
      </c>
      <c r="D1593" t="s">
        <v>38</v>
      </c>
      <c r="E1593">
        <v>66795.11</v>
      </c>
      <c r="F1593">
        <v>65</v>
      </c>
      <c r="G1593">
        <v>246</v>
      </c>
      <c r="H1593">
        <v>171</v>
      </c>
      <c r="I1593" t="s">
        <v>33</v>
      </c>
      <c r="J1593">
        <v>5</v>
      </c>
      <c r="K1593" t="s">
        <v>20</v>
      </c>
      <c r="L1593">
        <v>50876</v>
      </c>
      <c r="M1593">
        <v>3.34</v>
      </c>
      <c r="N1593" s="6">
        <f t="shared" si="24"/>
        <v>3398268016.3600001</v>
      </c>
    </row>
    <row r="1594" spans="1:14" x14ac:dyDescent="0.35">
      <c r="A1594" t="s">
        <v>64</v>
      </c>
      <c r="B1594" t="s">
        <v>70</v>
      </c>
      <c r="C1594">
        <v>2025</v>
      </c>
      <c r="D1594" t="s">
        <v>28</v>
      </c>
      <c r="E1594">
        <v>102396.37</v>
      </c>
      <c r="F1594">
        <v>96.6</v>
      </c>
      <c r="G1594">
        <v>340</v>
      </c>
      <c r="H1594">
        <v>184</v>
      </c>
      <c r="I1594" t="s">
        <v>32</v>
      </c>
      <c r="J1594">
        <v>5</v>
      </c>
      <c r="K1594" t="s">
        <v>17</v>
      </c>
      <c r="L1594">
        <v>35285</v>
      </c>
      <c r="M1594">
        <v>3.65</v>
      </c>
      <c r="N1594" s="6">
        <f t="shared" si="24"/>
        <v>3613055915.4499998</v>
      </c>
    </row>
    <row r="1595" spans="1:14" x14ac:dyDescent="0.35">
      <c r="A1595" t="s">
        <v>45</v>
      </c>
      <c r="B1595" t="s">
        <v>46</v>
      </c>
      <c r="C1595">
        <v>2025</v>
      </c>
      <c r="D1595" t="s">
        <v>28</v>
      </c>
      <c r="E1595">
        <v>53276.57</v>
      </c>
      <c r="F1595">
        <v>102.1</v>
      </c>
      <c r="G1595">
        <v>367</v>
      </c>
      <c r="H1595">
        <v>177</v>
      </c>
      <c r="I1595" t="s">
        <v>33</v>
      </c>
      <c r="J1595">
        <v>4</v>
      </c>
      <c r="K1595" t="s">
        <v>22</v>
      </c>
      <c r="L1595">
        <v>242908</v>
      </c>
      <c r="M1595">
        <v>4.26</v>
      </c>
      <c r="N1595" s="6">
        <f t="shared" si="24"/>
        <v>12941305065.559999</v>
      </c>
    </row>
    <row r="1596" spans="1:14" x14ac:dyDescent="0.35">
      <c r="A1596" t="s">
        <v>64</v>
      </c>
      <c r="B1596" t="s">
        <v>95</v>
      </c>
      <c r="C1596">
        <v>2025</v>
      </c>
      <c r="D1596" t="s">
        <v>38</v>
      </c>
      <c r="E1596">
        <v>102104.07</v>
      </c>
      <c r="F1596">
        <v>55.1</v>
      </c>
      <c r="G1596">
        <v>174</v>
      </c>
      <c r="H1596">
        <v>165</v>
      </c>
      <c r="I1596" t="s">
        <v>21</v>
      </c>
      <c r="J1596">
        <v>3</v>
      </c>
      <c r="K1596" t="s">
        <v>17</v>
      </c>
      <c r="L1596">
        <v>30235</v>
      </c>
      <c r="M1596">
        <v>3.27</v>
      </c>
      <c r="N1596" s="6">
        <f t="shared" si="24"/>
        <v>3087116556.4500003</v>
      </c>
    </row>
    <row r="1597" spans="1:14" x14ac:dyDescent="0.35">
      <c r="A1597" t="s">
        <v>13</v>
      </c>
      <c r="B1597" t="s">
        <v>66</v>
      </c>
      <c r="C1597">
        <v>2025</v>
      </c>
      <c r="D1597" t="s">
        <v>43</v>
      </c>
      <c r="E1597">
        <v>62840.41</v>
      </c>
      <c r="F1597">
        <v>71.400000000000006</v>
      </c>
      <c r="G1597">
        <v>268</v>
      </c>
      <c r="H1597">
        <v>159</v>
      </c>
      <c r="I1597" t="s">
        <v>32</v>
      </c>
      <c r="J1597">
        <v>5</v>
      </c>
      <c r="K1597" t="s">
        <v>22</v>
      </c>
      <c r="L1597">
        <v>242781</v>
      </c>
      <c r="M1597">
        <v>3.79</v>
      </c>
      <c r="N1597" s="6">
        <f t="shared" si="24"/>
        <v>15256457580.210001</v>
      </c>
    </row>
    <row r="1598" spans="1:14" x14ac:dyDescent="0.35">
      <c r="A1598" t="s">
        <v>29</v>
      </c>
      <c r="B1598" t="s">
        <v>39</v>
      </c>
      <c r="C1598">
        <v>2025</v>
      </c>
      <c r="D1598" t="s">
        <v>20</v>
      </c>
      <c r="E1598">
        <v>84149.31</v>
      </c>
      <c r="F1598">
        <v>75.3</v>
      </c>
      <c r="G1598">
        <v>252</v>
      </c>
      <c r="H1598">
        <v>143</v>
      </c>
      <c r="I1598" t="s">
        <v>40</v>
      </c>
      <c r="J1598">
        <v>4</v>
      </c>
      <c r="K1598" t="s">
        <v>20</v>
      </c>
      <c r="L1598">
        <v>224851</v>
      </c>
      <c r="M1598">
        <v>3.64</v>
      </c>
      <c r="N1598" s="6">
        <f t="shared" si="24"/>
        <v>18921056502.810001</v>
      </c>
    </row>
    <row r="1599" spans="1:14" x14ac:dyDescent="0.35">
      <c r="A1599" t="s">
        <v>64</v>
      </c>
      <c r="B1599" t="s">
        <v>85</v>
      </c>
      <c r="C1599">
        <v>2025</v>
      </c>
      <c r="D1599" t="s">
        <v>43</v>
      </c>
      <c r="E1599">
        <v>71216.91</v>
      </c>
      <c r="F1599">
        <v>62.4</v>
      </c>
      <c r="G1599">
        <v>239</v>
      </c>
      <c r="H1599">
        <v>171</v>
      </c>
      <c r="I1599" t="s">
        <v>25</v>
      </c>
      <c r="J1599">
        <v>4</v>
      </c>
      <c r="K1599" t="s">
        <v>20</v>
      </c>
      <c r="L1599">
        <v>70121</v>
      </c>
      <c r="M1599">
        <v>3.47</v>
      </c>
      <c r="N1599" s="6">
        <f t="shared" si="24"/>
        <v>4993800946.1100006</v>
      </c>
    </row>
    <row r="1600" spans="1:14" x14ac:dyDescent="0.35">
      <c r="A1600" t="s">
        <v>13</v>
      </c>
      <c r="B1600" t="s">
        <v>14</v>
      </c>
      <c r="C1600">
        <v>2025</v>
      </c>
      <c r="D1600" t="s">
        <v>43</v>
      </c>
      <c r="E1600">
        <v>87726.28</v>
      </c>
      <c r="F1600">
        <v>40.6</v>
      </c>
      <c r="G1600">
        <v>161</v>
      </c>
      <c r="H1600">
        <v>133</v>
      </c>
      <c r="I1600" t="s">
        <v>25</v>
      </c>
      <c r="J1600">
        <v>5</v>
      </c>
      <c r="K1600" t="s">
        <v>20</v>
      </c>
      <c r="L1600">
        <v>253183</v>
      </c>
      <c r="M1600">
        <v>3.49</v>
      </c>
      <c r="N1600" s="6">
        <f t="shared" si="24"/>
        <v>22210802749.239998</v>
      </c>
    </row>
    <row r="1601" spans="1:14" x14ac:dyDescent="0.35">
      <c r="A1601" t="s">
        <v>67</v>
      </c>
      <c r="B1601" t="s">
        <v>86</v>
      </c>
      <c r="C1601">
        <v>2025</v>
      </c>
      <c r="D1601" t="s">
        <v>15</v>
      </c>
      <c r="E1601">
        <v>99175.33</v>
      </c>
      <c r="F1601">
        <v>93.3</v>
      </c>
      <c r="G1601">
        <v>334</v>
      </c>
      <c r="H1601">
        <v>185</v>
      </c>
      <c r="I1601" t="s">
        <v>33</v>
      </c>
      <c r="J1601">
        <v>5</v>
      </c>
      <c r="K1601" t="s">
        <v>20</v>
      </c>
      <c r="L1601">
        <v>77677</v>
      </c>
      <c r="M1601">
        <v>3.68</v>
      </c>
      <c r="N1601" s="6">
        <f t="shared" si="24"/>
        <v>7703642108.4099998</v>
      </c>
    </row>
    <row r="1602" spans="1:14" x14ac:dyDescent="0.35">
      <c r="A1602" t="s">
        <v>13</v>
      </c>
      <c r="B1602" t="s">
        <v>56</v>
      </c>
      <c r="C1602">
        <v>2025</v>
      </c>
      <c r="D1602" t="s">
        <v>43</v>
      </c>
      <c r="E1602">
        <v>87997.46</v>
      </c>
      <c r="F1602">
        <v>42.5</v>
      </c>
      <c r="G1602">
        <v>150</v>
      </c>
      <c r="H1602">
        <v>129</v>
      </c>
      <c r="I1602" t="s">
        <v>21</v>
      </c>
      <c r="J1602">
        <v>4</v>
      </c>
      <c r="K1602" t="s">
        <v>20</v>
      </c>
      <c r="L1602">
        <v>228031</v>
      </c>
      <c r="M1602">
        <v>3.16</v>
      </c>
      <c r="N1602" s="6">
        <f t="shared" ref="N1602:N1665" si="25">E1602*L1602</f>
        <v>20066148801.260002</v>
      </c>
    </row>
    <row r="1603" spans="1:14" x14ac:dyDescent="0.35">
      <c r="A1603" t="s">
        <v>45</v>
      </c>
      <c r="B1603" t="s">
        <v>63</v>
      </c>
      <c r="C1603">
        <v>2025</v>
      </c>
      <c r="D1603" t="s">
        <v>38</v>
      </c>
      <c r="E1603">
        <v>25853.85</v>
      </c>
      <c r="F1603">
        <v>83.7</v>
      </c>
      <c r="G1603">
        <v>278</v>
      </c>
      <c r="H1603">
        <v>157</v>
      </c>
      <c r="I1603" t="s">
        <v>16</v>
      </c>
      <c r="J1603">
        <v>5</v>
      </c>
      <c r="K1603" t="s">
        <v>47</v>
      </c>
      <c r="L1603">
        <v>106382</v>
      </c>
      <c r="M1603">
        <v>3.56</v>
      </c>
      <c r="N1603" s="6">
        <f t="shared" si="25"/>
        <v>2750384270.6999998</v>
      </c>
    </row>
    <row r="1604" spans="1:14" x14ac:dyDescent="0.35">
      <c r="A1604" t="s">
        <v>64</v>
      </c>
      <c r="B1604" t="s">
        <v>70</v>
      </c>
      <c r="C1604">
        <v>2025</v>
      </c>
      <c r="D1604" t="s">
        <v>28</v>
      </c>
      <c r="E1604">
        <v>66806.73</v>
      </c>
      <c r="F1604">
        <v>104.8</v>
      </c>
      <c r="G1604">
        <v>353</v>
      </c>
      <c r="H1604">
        <v>170</v>
      </c>
      <c r="I1604" t="s">
        <v>33</v>
      </c>
      <c r="J1604">
        <v>4</v>
      </c>
      <c r="K1604" t="s">
        <v>20</v>
      </c>
      <c r="L1604">
        <v>37357</v>
      </c>
      <c r="M1604">
        <v>3.74</v>
      </c>
      <c r="N1604" s="6">
        <f t="shared" si="25"/>
        <v>2495699012.6099997</v>
      </c>
    </row>
    <row r="1605" spans="1:14" x14ac:dyDescent="0.35">
      <c r="A1605" t="s">
        <v>57</v>
      </c>
      <c r="B1605" t="s">
        <v>72</v>
      </c>
      <c r="C1605">
        <v>2025</v>
      </c>
      <c r="D1605" t="s">
        <v>28</v>
      </c>
      <c r="E1605">
        <v>69759.03</v>
      </c>
      <c r="F1605">
        <v>87.5</v>
      </c>
      <c r="G1605">
        <v>324</v>
      </c>
      <c r="H1605">
        <v>162</v>
      </c>
      <c r="I1605" t="s">
        <v>16</v>
      </c>
      <c r="J1605">
        <v>4</v>
      </c>
      <c r="K1605" t="s">
        <v>20</v>
      </c>
      <c r="L1605">
        <v>57497</v>
      </c>
      <c r="M1605">
        <v>3.67</v>
      </c>
      <c r="N1605" s="6">
        <f t="shared" si="25"/>
        <v>4010934947.9099998</v>
      </c>
    </row>
    <row r="1606" spans="1:14" x14ac:dyDescent="0.35">
      <c r="A1606" t="s">
        <v>29</v>
      </c>
      <c r="B1606" t="s">
        <v>59</v>
      </c>
      <c r="C1606">
        <v>2025</v>
      </c>
      <c r="D1606" t="s">
        <v>28</v>
      </c>
      <c r="E1606">
        <v>119926.96</v>
      </c>
      <c r="F1606">
        <v>80.900000000000006</v>
      </c>
      <c r="G1606">
        <v>277</v>
      </c>
      <c r="H1606">
        <v>177</v>
      </c>
      <c r="I1606" t="s">
        <v>25</v>
      </c>
      <c r="J1606">
        <v>4</v>
      </c>
      <c r="K1606" t="s">
        <v>17</v>
      </c>
      <c r="L1606">
        <v>137895</v>
      </c>
      <c r="M1606">
        <v>4.12</v>
      </c>
      <c r="N1606" s="6">
        <f t="shared" si="25"/>
        <v>16537328149.200001</v>
      </c>
    </row>
    <row r="1607" spans="1:14" x14ac:dyDescent="0.35">
      <c r="A1607" t="s">
        <v>13</v>
      </c>
      <c r="B1607" t="s">
        <v>66</v>
      </c>
      <c r="C1607">
        <v>2025</v>
      </c>
      <c r="D1607" t="s">
        <v>38</v>
      </c>
      <c r="E1607">
        <v>73427.05</v>
      </c>
      <c r="F1607">
        <v>43.7</v>
      </c>
      <c r="G1607">
        <v>150</v>
      </c>
      <c r="H1607">
        <v>164</v>
      </c>
      <c r="I1607" t="s">
        <v>32</v>
      </c>
      <c r="J1607">
        <v>4</v>
      </c>
      <c r="K1607" t="s">
        <v>20</v>
      </c>
      <c r="L1607">
        <v>258880</v>
      </c>
      <c r="M1607">
        <v>3.26</v>
      </c>
      <c r="N1607" s="6">
        <f t="shared" si="25"/>
        <v>19008794704</v>
      </c>
    </row>
    <row r="1608" spans="1:14" x14ac:dyDescent="0.35">
      <c r="A1608" t="s">
        <v>13</v>
      </c>
      <c r="B1608" t="s">
        <v>56</v>
      </c>
      <c r="C1608">
        <v>2025</v>
      </c>
      <c r="D1608" t="s">
        <v>28</v>
      </c>
      <c r="E1608">
        <v>61721.97</v>
      </c>
      <c r="F1608">
        <v>88.9</v>
      </c>
      <c r="G1608">
        <v>293</v>
      </c>
      <c r="H1608">
        <v>174</v>
      </c>
      <c r="I1608" t="s">
        <v>21</v>
      </c>
      <c r="J1608">
        <v>4</v>
      </c>
      <c r="K1608" t="s">
        <v>22</v>
      </c>
      <c r="L1608">
        <v>292808</v>
      </c>
      <c r="M1608">
        <v>3.65</v>
      </c>
      <c r="N1608" s="6">
        <f t="shared" si="25"/>
        <v>18072686591.760002</v>
      </c>
    </row>
    <row r="1609" spans="1:14" x14ac:dyDescent="0.35">
      <c r="A1609" t="s">
        <v>13</v>
      </c>
      <c r="B1609" t="s">
        <v>51</v>
      </c>
      <c r="C1609">
        <v>2025</v>
      </c>
      <c r="D1609" t="s">
        <v>38</v>
      </c>
      <c r="E1609">
        <v>70848.39</v>
      </c>
      <c r="F1609">
        <v>47.9</v>
      </c>
      <c r="G1609">
        <v>178</v>
      </c>
      <c r="H1609">
        <v>160</v>
      </c>
      <c r="I1609" t="s">
        <v>32</v>
      </c>
      <c r="J1609">
        <v>4</v>
      </c>
      <c r="K1609" t="s">
        <v>20</v>
      </c>
      <c r="L1609">
        <v>282558</v>
      </c>
      <c r="M1609">
        <v>3.33</v>
      </c>
      <c r="N1609" s="6">
        <f t="shared" si="25"/>
        <v>20018779381.619999</v>
      </c>
    </row>
    <row r="1610" spans="1:14" x14ac:dyDescent="0.35">
      <c r="A1610" t="s">
        <v>29</v>
      </c>
      <c r="B1610" t="s">
        <v>31</v>
      </c>
      <c r="C1610">
        <v>2025</v>
      </c>
      <c r="D1610" t="s">
        <v>28</v>
      </c>
      <c r="E1610">
        <v>139788.5</v>
      </c>
      <c r="F1610">
        <v>103.7</v>
      </c>
      <c r="G1610">
        <v>335</v>
      </c>
      <c r="H1610">
        <v>164</v>
      </c>
      <c r="I1610" t="s">
        <v>33</v>
      </c>
      <c r="J1610">
        <v>4</v>
      </c>
      <c r="K1610" t="s">
        <v>17</v>
      </c>
      <c r="L1610">
        <v>402120</v>
      </c>
      <c r="M1610">
        <v>3.78</v>
      </c>
      <c r="N1610" s="6">
        <f t="shared" si="25"/>
        <v>56211751620</v>
      </c>
    </row>
    <row r="1611" spans="1:14" x14ac:dyDescent="0.35">
      <c r="A1611" t="s">
        <v>64</v>
      </c>
      <c r="B1611" t="s">
        <v>70</v>
      </c>
      <c r="C1611">
        <v>2025</v>
      </c>
      <c r="D1611" t="s">
        <v>20</v>
      </c>
      <c r="E1611">
        <v>108403.17</v>
      </c>
      <c r="F1611">
        <v>84.9</v>
      </c>
      <c r="G1611">
        <v>286</v>
      </c>
      <c r="H1611">
        <v>165</v>
      </c>
      <c r="I1611" t="s">
        <v>16</v>
      </c>
      <c r="J1611">
        <v>5</v>
      </c>
      <c r="K1611" t="s">
        <v>17</v>
      </c>
      <c r="L1611">
        <v>60610</v>
      </c>
      <c r="M1611">
        <v>3.5</v>
      </c>
      <c r="N1611" s="6">
        <f t="shared" si="25"/>
        <v>6570316133.6999998</v>
      </c>
    </row>
    <row r="1612" spans="1:14" x14ac:dyDescent="0.35">
      <c r="A1612" t="s">
        <v>45</v>
      </c>
      <c r="B1612" t="s">
        <v>48</v>
      </c>
      <c r="C1612">
        <v>2025</v>
      </c>
      <c r="D1612" t="s">
        <v>28</v>
      </c>
      <c r="E1612">
        <v>28903.55</v>
      </c>
      <c r="F1612">
        <v>96.2</v>
      </c>
      <c r="G1612">
        <v>330</v>
      </c>
      <c r="H1612">
        <v>180</v>
      </c>
      <c r="I1612" t="s">
        <v>32</v>
      </c>
      <c r="J1612">
        <v>4</v>
      </c>
      <c r="K1612" t="s">
        <v>47</v>
      </c>
      <c r="L1612">
        <v>225650</v>
      </c>
      <c r="M1612">
        <v>3.6</v>
      </c>
      <c r="N1612" s="6">
        <f t="shared" si="25"/>
        <v>6522086057.5</v>
      </c>
    </row>
    <row r="1613" spans="1:14" x14ac:dyDescent="0.35">
      <c r="A1613" t="s">
        <v>13</v>
      </c>
      <c r="B1613" t="s">
        <v>14</v>
      </c>
      <c r="C1613">
        <v>2025</v>
      </c>
      <c r="D1613" t="s">
        <v>20</v>
      </c>
      <c r="E1613">
        <v>88650.96</v>
      </c>
      <c r="F1613">
        <v>83.9</v>
      </c>
      <c r="G1613">
        <v>297</v>
      </c>
      <c r="H1613">
        <v>146</v>
      </c>
      <c r="I1613" t="s">
        <v>40</v>
      </c>
      <c r="J1613">
        <v>4</v>
      </c>
      <c r="K1613" t="s">
        <v>20</v>
      </c>
      <c r="L1613">
        <v>243258</v>
      </c>
      <c r="M1613">
        <v>3.56</v>
      </c>
      <c r="N1613" s="6">
        <f t="shared" si="25"/>
        <v>21565055227.68</v>
      </c>
    </row>
    <row r="1614" spans="1:14" x14ac:dyDescent="0.35">
      <c r="A1614" t="s">
        <v>57</v>
      </c>
      <c r="B1614" t="s">
        <v>79</v>
      </c>
      <c r="C1614">
        <v>2025</v>
      </c>
      <c r="D1614" t="s">
        <v>38</v>
      </c>
      <c r="E1614">
        <v>31999.38</v>
      </c>
      <c r="F1614">
        <v>73.5</v>
      </c>
      <c r="G1614">
        <v>219</v>
      </c>
      <c r="H1614">
        <v>163</v>
      </c>
      <c r="I1614" t="s">
        <v>16</v>
      </c>
      <c r="J1614">
        <v>4</v>
      </c>
      <c r="K1614" t="s">
        <v>47</v>
      </c>
      <c r="L1614">
        <v>25220</v>
      </c>
      <c r="M1614">
        <v>3.43</v>
      </c>
      <c r="N1614" s="6">
        <f t="shared" si="25"/>
        <v>807024363.60000002</v>
      </c>
    </row>
    <row r="1615" spans="1:14" x14ac:dyDescent="0.35">
      <c r="A1615" t="s">
        <v>57</v>
      </c>
      <c r="B1615" t="s">
        <v>62</v>
      </c>
      <c r="C1615">
        <v>2025</v>
      </c>
      <c r="D1615" t="s">
        <v>28</v>
      </c>
      <c r="E1615">
        <v>97440.5</v>
      </c>
      <c r="F1615">
        <v>95</v>
      </c>
      <c r="G1615">
        <v>331</v>
      </c>
      <c r="H1615">
        <v>173</v>
      </c>
      <c r="I1615" t="s">
        <v>33</v>
      </c>
      <c r="J1615">
        <v>4</v>
      </c>
      <c r="K1615" t="s">
        <v>20</v>
      </c>
      <c r="L1615">
        <v>26936</v>
      </c>
      <c r="M1615">
        <v>3.72</v>
      </c>
      <c r="N1615" s="6">
        <f t="shared" si="25"/>
        <v>2624657308</v>
      </c>
    </row>
    <row r="1616" spans="1:14" x14ac:dyDescent="0.35">
      <c r="A1616" t="s">
        <v>29</v>
      </c>
      <c r="B1616" t="s">
        <v>59</v>
      </c>
      <c r="C1616">
        <v>2025</v>
      </c>
      <c r="D1616" t="s">
        <v>20</v>
      </c>
      <c r="E1616">
        <v>133807.79999999999</v>
      </c>
      <c r="F1616">
        <v>41.7</v>
      </c>
      <c r="G1616">
        <v>150</v>
      </c>
      <c r="H1616">
        <v>161</v>
      </c>
      <c r="I1616" t="s">
        <v>16</v>
      </c>
      <c r="J1616">
        <v>4</v>
      </c>
      <c r="K1616" t="s">
        <v>17</v>
      </c>
      <c r="L1616">
        <v>225294</v>
      </c>
      <c r="M1616">
        <v>3.41</v>
      </c>
      <c r="N1616" s="6">
        <f t="shared" si="25"/>
        <v>30146094493.199997</v>
      </c>
    </row>
    <row r="1617" spans="1:14" x14ac:dyDescent="0.35">
      <c r="A1617" t="s">
        <v>29</v>
      </c>
      <c r="B1617" t="s">
        <v>39</v>
      </c>
      <c r="C1617">
        <v>2025</v>
      </c>
      <c r="D1617" t="s">
        <v>28</v>
      </c>
      <c r="E1617">
        <v>43022.879999999997</v>
      </c>
      <c r="F1617">
        <v>101.7</v>
      </c>
      <c r="G1617">
        <v>396</v>
      </c>
      <c r="H1617">
        <v>178</v>
      </c>
      <c r="I1617" t="s">
        <v>33</v>
      </c>
      <c r="J1617">
        <v>5</v>
      </c>
      <c r="K1617" t="s">
        <v>22</v>
      </c>
      <c r="L1617">
        <v>177801</v>
      </c>
      <c r="M1617">
        <v>4.2</v>
      </c>
      <c r="N1617" s="6">
        <f t="shared" si="25"/>
        <v>7649511086.8799992</v>
      </c>
    </row>
    <row r="1618" spans="1:14" x14ac:dyDescent="0.35">
      <c r="A1618" t="s">
        <v>64</v>
      </c>
      <c r="B1618" t="s">
        <v>95</v>
      </c>
      <c r="C1618">
        <v>2025</v>
      </c>
      <c r="D1618" t="s">
        <v>28</v>
      </c>
      <c r="E1618">
        <v>119539.21</v>
      </c>
      <c r="F1618">
        <v>109.1</v>
      </c>
      <c r="G1618">
        <v>391</v>
      </c>
      <c r="H1618">
        <v>183</v>
      </c>
      <c r="I1618" t="s">
        <v>40</v>
      </c>
      <c r="J1618">
        <v>3</v>
      </c>
      <c r="K1618" t="s">
        <v>17</v>
      </c>
      <c r="L1618">
        <v>49676</v>
      </c>
      <c r="M1618">
        <v>3.74</v>
      </c>
      <c r="N1618" s="6">
        <f t="shared" si="25"/>
        <v>5938229795.96</v>
      </c>
    </row>
    <row r="1619" spans="1:14" x14ac:dyDescent="0.35">
      <c r="A1619" t="s">
        <v>67</v>
      </c>
      <c r="B1619" t="s">
        <v>89</v>
      </c>
      <c r="C1619">
        <v>2025</v>
      </c>
      <c r="D1619" t="s">
        <v>38</v>
      </c>
      <c r="E1619">
        <v>71446.39</v>
      </c>
      <c r="F1619">
        <v>60.1</v>
      </c>
      <c r="G1619">
        <v>202</v>
      </c>
      <c r="H1619">
        <v>150</v>
      </c>
      <c r="I1619" t="s">
        <v>40</v>
      </c>
      <c r="J1619">
        <v>5</v>
      </c>
      <c r="K1619" t="s">
        <v>20</v>
      </c>
      <c r="L1619">
        <v>60589</v>
      </c>
      <c r="M1619">
        <v>3.47</v>
      </c>
      <c r="N1619" s="6">
        <f t="shared" si="25"/>
        <v>4328865323.71</v>
      </c>
    </row>
    <row r="1620" spans="1:14" x14ac:dyDescent="0.35">
      <c r="A1620" t="s">
        <v>45</v>
      </c>
      <c r="B1620" t="s">
        <v>48</v>
      </c>
      <c r="C1620">
        <v>2025</v>
      </c>
      <c r="D1620" t="s">
        <v>38</v>
      </c>
      <c r="E1620">
        <v>61646.7</v>
      </c>
      <c r="F1620">
        <v>48.1</v>
      </c>
      <c r="G1620">
        <v>150</v>
      </c>
      <c r="H1620">
        <v>145</v>
      </c>
      <c r="I1620" t="s">
        <v>16</v>
      </c>
      <c r="J1620">
        <v>4</v>
      </c>
      <c r="K1620" t="s">
        <v>22</v>
      </c>
      <c r="L1620">
        <v>115977</v>
      </c>
      <c r="M1620">
        <v>3.16</v>
      </c>
      <c r="N1620" s="6">
        <f t="shared" si="25"/>
        <v>7149599325.8999996</v>
      </c>
    </row>
    <row r="1621" spans="1:14" x14ac:dyDescent="0.35">
      <c r="A1621" t="s">
        <v>29</v>
      </c>
      <c r="B1621" t="s">
        <v>30</v>
      </c>
      <c r="C1621">
        <v>2025</v>
      </c>
      <c r="D1621" t="s">
        <v>28</v>
      </c>
      <c r="E1621">
        <v>112948.48</v>
      </c>
      <c r="F1621">
        <v>78.099999999999994</v>
      </c>
      <c r="G1621">
        <v>261</v>
      </c>
      <c r="H1621">
        <v>169</v>
      </c>
      <c r="I1621" t="s">
        <v>16</v>
      </c>
      <c r="J1621">
        <v>5</v>
      </c>
      <c r="K1621" t="s">
        <v>17</v>
      </c>
      <c r="L1621">
        <v>130244</v>
      </c>
      <c r="M1621">
        <v>3.47</v>
      </c>
      <c r="N1621" s="6">
        <f t="shared" si="25"/>
        <v>14710861829.119999</v>
      </c>
    </row>
    <row r="1622" spans="1:14" x14ac:dyDescent="0.35">
      <c r="A1622" t="s">
        <v>49</v>
      </c>
      <c r="B1622" t="s">
        <v>50</v>
      </c>
      <c r="C1622">
        <v>2025</v>
      </c>
      <c r="D1622" t="s">
        <v>15</v>
      </c>
      <c r="E1622">
        <v>91101</v>
      </c>
      <c r="F1622">
        <v>93.1</v>
      </c>
      <c r="G1622">
        <v>300</v>
      </c>
      <c r="H1622">
        <v>193</v>
      </c>
      <c r="I1622" t="s">
        <v>25</v>
      </c>
      <c r="J1622">
        <v>5</v>
      </c>
      <c r="K1622" t="s">
        <v>20</v>
      </c>
      <c r="L1622">
        <v>95350</v>
      </c>
      <c r="M1622">
        <v>3.54</v>
      </c>
      <c r="N1622" s="6">
        <f t="shared" si="25"/>
        <v>8686480350</v>
      </c>
    </row>
    <row r="1623" spans="1:14" x14ac:dyDescent="0.35">
      <c r="A1623" t="s">
        <v>45</v>
      </c>
      <c r="B1623" t="s">
        <v>48</v>
      </c>
      <c r="C1623">
        <v>2025</v>
      </c>
      <c r="D1623" t="s">
        <v>28</v>
      </c>
      <c r="E1623">
        <v>104231.93</v>
      </c>
      <c r="F1623">
        <v>79.599999999999994</v>
      </c>
      <c r="G1623">
        <v>254</v>
      </c>
      <c r="H1623">
        <v>186</v>
      </c>
      <c r="I1623" t="s">
        <v>25</v>
      </c>
      <c r="J1623">
        <v>4</v>
      </c>
      <c r="K1623" t="s">
        <v>17</v>
      </c>
      <c r="L1623">
        <v>190907</v>
      </c>
      <c r="M1623">
        <v>3.49</v>
      </c>
      <c r="N1623" s="6">
        <f t="shared" si="25"/>
        <v>19898605060.509998</v>
      </c>
    </row>
    <row r="1624" spans="1:14" x14ac:dyDescent="0.35">
      <c r="A1624" t="s">
        <v>57</v>
      </c>
      <c r="B1624" t="s">
        <v>58</v>
      </c>
      <c r="C1624">
        <v>2025</v>
      </c>
      <c r="D1624" t="s">
        <v>43</v>
      </c>
      <c r="E1624">
        <v>68547.740000000005</v>
      </c>
      <c r="F1624">
        <v>40.5</v>
      </c>
      <c r="G1624">
        <v>153</v>
      </c>
      <c r="H1624">
        <v>168</v>
      </c>
      <c r="I1624" t="s">
        <v>33</v>
      </c>
      <c r="J1624">
        <v>5</v>
      </c>
      <c r="K1624" t="s">
        <v>20</v>
      </c>
      <c r="L1624">
        <v>25642</v>
      </c>
      <c r="M1624">
        <v>3.34</v>
      </c>
      <c r="N1624" s="6">
        <f t="shared" si="25"/>
        <v>1757701149.0800002</v>
      </c>
    </row>
    <row r="1625" spans="1:14" x14ac:dyDescent="0.35">
      <c r="A1625" t="s">
        <v>26</v>
      </c>
      <c r="B1625" t="s">
        <v>96</v>
      </c>
      <c r="C1625">
        <v>2025</v>
      </c>
      <c r="D1625" t="s">
        <v>28</v>
      </c>
      <c r="E1625">
        <v>46513</v>
      </c>
      <c r="F1625">
        <v>99</v>
      </c>
      <c r="G1625">
        <v>349</v>
      </c>
      <c r="H1625">
        <v>182</v>
      </c>
      <c r="I1625" t="s">
        <v>16</v>
      </c>
      <c r="J1625">
        <v>4</v>
      </c>
      <c r="K1625" t="s">
        <v>22</v>
      </c>
      <c r="L1625">
        <v>124966</v>
      </c>
      <c r="M1625">
        <v>3.94</v>
      </c>
      <c r="N1625" s="6">
        <f t="shared" si="25"/>
        <v>5812543558</v>
      </c>
    </row>
    <row r="1626" spans="1:14" x14ac:dyDescent="0.35">
      <c r="A1626" t="s">
        <v>23</v>
      </c>
      <c r="B1626" t="s">
        <v>24</v>
      </c>
      <c r="C1626">
        <v>2025</v>
      </c>
      <c r="D1626" t="s">
        <v>38</v>
      </c>
      <c r="E1626">
        <v>34507.25</v>
      </c>
      <c r="F1626">
        <v>66.400000000000006</v>
      </c>
      <c r="G1626">
        <v>230</v>
      </c>
      <c r="H1626">
        <v>167</v>
      </c>
      <c r="I1626" t="s">
        <v>16</v>
      </c>
      <c r="J1626">
        <v>5</v>
      </c>
      <c r="K1626" t="s">
        <v>47</v>
      </c>
      <c r="L1626">
        <v>18832</v>
      </c>
      <c r="M1626">
        <v>3.2</v>
      </c>
      <c r="N1626" s="6">
        <f t="shared" si="25"/>
        <v>649840532</v>
      </c>
    </row>
    <row r="1627" spans="1:14" x14ac:dyDescent="0.35">
      <c r="A1627" t="s">
        <v>29</v>
      </c>
      <c r="B1627" t="s">
        <v>59</v>
      </c>
      <c r="C1627">
        <v>2025</v>
      </c>
      <c r="D1627" t="s">
        <v>38</v>
      </c>
      <c r="E1627">
        <v>30686.17</v>
      </c>
      <c r="F1627">
        <v>65.2</v>
      </c>
      <c r="G1627">
        <v>245</v>
      </c>
      <c r="H1627">
        <v>138</v>
      </c>
      <c r="I1627" t="s">
        <v>40</v>
      </c>
      <c r="J1627">
        <v>5</v>
      </c>
      <c r="K1627" t="s">
        <v>47</v>
      </c>
      <c r="L1627">
        <v>248383</v>
      </c>
      <c r="M1627">
        <v>3.55</v>
      </c>
      <c r="N1627" s="6">
        <f t="shared" si="25"/>
        <v>7621922963.1099997</v>
      </c>
    </row>
    <row r="1628" spans="1:14" x14ac:dyDescent="0.35">
      <c r="A1628" t="s">
        <v>64</v>
      </c>
      <c r="B1628" t="s">
        <v>70</v>
      </c>
      <c r="C1628">
        <v>2025</v>
      </c>
      <c r="D1628" t="s">
        <v>43</v>
      </c>
      <c r="E1628">
        <v>75699.03</v>
      </c>
      <c r="F1628">
        <v>67.400000000000006</v>
      </c>
      <c r="G1628">
        <v>240</v>
      </c>
      <c r="H1628">
        <v>172</v>
      </c>
      <c r="I1628" t="s">
        <v>40</v>
      </c>
      <c r="J1628">
        <v>5</v>
      </c>
      <c r="K1628" t="s">
        <v>20</v>
      </c>
      <c r="L1628">
        <v>23009</v>
      </c>
      <c r="M1628">
        <v>3.46</v>
      </c>
      <c r="N1628" s="6">
        <f t="shared" si="25"/>
        <v>1741758981.27</v>
      </c>
    </row>
    <row r="1629" spans="1:14" x14ac:dyDescent="0.35">
      <c r="A1629" t="s">
        <v>29</v>
      </c>
      <c r="B1629" t="s">
        <v>39</v>
      </c>
      <c r="C1629">
        <v>2025</v>
      </c>
      <c r="D1629" t="s">
        <v>20</v>
      </c>
      <c r="E1629">
        <v>102510.62</v>
      </c>
      <c r="F1629">
        <v>40.799999999999997</v>
      </c>
      <c r="G1629">
        <v>150</v>
      </c>
      <c r="H1629">
        <v>140</v>
      </c>
      <c r="I1629" t="s">
        <v>33</v>
      </c>
      <c r="J1629">
        <v>4</v>
      </c>
      <c r="K1629" t="s">
        <v>17</v>
      </c>
      <c r="L1629">
        <v>206373</v>
      </c>
      <c r="M1629">
        <v>3.59</v>
      </c>
      <c r="N1629" s="6">
        <f t="shared" si="25"/>
        <v>21155424181.259998</v>
      </c>
    </row>
    <row r="1630" spans="1:14" x14ac:dyDescent="0.35">
      <c r="A1630" t="s">
        <v>23</v>
      </c>
      <c r="B1630" t="s">
        <v>82</v>
      </c>
      <c r="C1630">
        <v>2025</v>
      </c>
      <c r="D1630" t="s">
        <v>28</v>
      </c>
      <c r="E1630">
        <v>74596.820000000007</v>
      </c>
      <c r="F1630">
        <v>94.2</v>
      </c>
      <c r="G1630">
        <v>323</v>
      </c>
      <c r="H1630">
        <v>178</v>
      </c>
      <c r="I1630" t="s">
        <v>16</v>
      </c>
      <c r="J1630">
        <v>4</v>
      </c>
      <c r="K1630" t="s">
        <v>20</v>
      </c>
      <c r="L1630">
        <v>14842</v>
      </c>
      <c r="M1630">
        <v>3.62</v>
      </c>
      <c r="N1630" s="6">
        <f t="shared" si="25"/>
        <v>1107166002.4400001</v>
      </c>
    </row>
    <row r="1631" spans="1:14" x14ac:dyDescent="0.35">
      <c r="A1631" t="s">
        <v>29</v>
      </c>
      <c r="B1631" t="s">
        <v>39</v>
      </c>
      <c r="C1631">
        <v>2025</v>
      </c>
      <c r="D1631" t="s">
        <v>38</v>
      </c>
      <c r="E1631">
        <v>93767.76</v>
      </c>
      <c r="F1631">
        <v>58.4</v>
      </c>
      <c r="G1631">
        <v>202</v>
      </c>
      <c r="H1631">
        <v>133</v>
      </c>
      <c r="I1631" t="s">
        <v>40</v>
      </c>
      <c r="J1631">
        <v>4</v>
      </c>
      <c r="K1631" t="s">
        <v>20</v>
      </c>
      <c r="L1631">
        <v>129076</v>
      </c>
      <c r="M1631">
        <v>3.36</v>
      </c>
      <c r="N1631" s="6">
        <f t="shared" si="25"/>
        <v>12103167389.76</v>
      </c>
    </row>
    <row r="1632" spans="1:14" x14ac:dyDescent="0.35">
      <c r="A1632" t="s">
        <v>64</v>
      </c>
      <c r="B1632" t="s">
        <v>85</v>
      </c>
      <c r="C1632">
        <v>2025</v>
      </c>
      <c r="D1632" t="s">
        <v>20</v>
      </c>
      <c r="E1632">
        <v>133858.15</v>
      </c>
      <c r="F1632">
        <v>74.7</v>
      </c>
      <c r="G1632">
        <v>287</v>
      </c>
      <c r="H1632">
        <v>169</v>
      </c>
      <c r="I1632" t="s">
        <v>21</v>
      </c>
      <c r="J1632">
        <v>5</v>
      </c>
      <c r="K1632" t="s">
        <v>17</v>
      </c>
      <c r="L1632">
        <v>27376</v>
      </c>
      <c r="M1632">
        <v>3.39</v>
      </c>
      <c r="N1632" s="6">
        <f t="shared" si="25"/>
        <v>3664500714.3999996</v>
      </c>
    </row>
    <row r="1633" spans="1:14" x14ac:dyDescent="0.35">
      <c r="A1633" t="s">
        <v>45</v>
      </c>
      <c r="B1633" t="s">
        <v>63</v>
      </c>
      <c r="C1633">
        <v>2025</v>
      </c>
      <c r="D1633" t="s">
        <v>20</v>
      </c>
      <c r="E1633">
        <v>71227.02</v>
      </c>
      <c r="F1633">
        <v>54.5</v>
      </c>
      <c r="G1633">
        <v>216</v>
      </c>
      <c r="H1633">
        <v>174</v>
      </c>
      <c r="I1633" t="s">
        <v>40</v>
      </c>
      <c r="J1633">
        <v>4</v>
      </c>
      <c r="K1633" t="s">
        <v>20</v>
      </c>
      <c r="L1633">
        <v>114165</v>
      </c>
      <c r="M1633">
        <v>3.2</v>
      </c>
      <c r="N1633" s="6">
        <f t="shared" si="25"/>
        <v>8131632738.3000002</v>
      </c>
    </row>
    <row r="1634" spans="1:14" x14ac:dyDescent="0.35">
      <c r="A1634" t="s">
        <v>64</v>
      </c>
      <c r="B1634" t="s">
        <v>97</v>
      </c>
      <c r="C1634">
        <v>2025</v>
      </c>
      <c r="D1634" t="s">
        <v>43</v>
      </c>
      <c r="E1634">
        <v>84568.67</v>
      </c>
      <c r="F1634">
        <v>83.7</v>
      </c>
      <c r="G1634">
        <v>285</v>
      </c>
      <c r="H1634">
        <v>143</v>
      </c>
      <c r="I1634" t="s">
        <v>40</v>
      </c>
      <c r="J1634">
        <v>4</v>
      </c>
      <c r="K1634" t="s">
        <v>20</v>
      </c>
      <c r="L1634">
        <v>62828</v>
      </c>
      <c r="M1634">
        <v>3.51</v>
      </c>
      <c r="N1634" s="6">
        <f t="shared" si="25"/>
        <v>5313280398.7600002</v>
      </c>
    </row>
    <row r="1635" spans="1:14" x14ac:dyDescent="0.35">
      <c r="A1635" t="s">
        <v>26</v>
      </c>
      <c r="B1635" t="s">
        <v>36</v>
      </c>
      <c r="C1635">
        <v>2025</v>
      </c>
      <c r="D1635" t="s">
        <v>15</v>
      </c>
      <c r="E1635">
        <v>52082.5</v>
      </c>
      <c r="F1635">
        <v>92.9</v>
      </c>
      <c r="G1635">
        <v>337</v>
      </c>
      <c r="H1635">
        <v>200</v>
      </c>
      <c r="I1635" t="s">
        <v>32</v>
      </c>
      <c r="J1635">
        <v>5</v>
      </c>
      <c r="K1635" t="s">
        <v>22</v>
      </c>
      <c r="L1635">
        <v>99623</v>
      </c>
      <c r="M1635">
        <v>3.84</v>
      </c>
      <c r="N1635" s="6">
        <f t="shared" si="25"/>
        <v>5188614897.5</v>
      </c>
    </row>
    <row r="1636" spans="1:14" x14ac:dyDescent="0.35">
      <c r="A1636" t="s">
        <v>64</v>
      </c>
      <c r="B1636" t="s">
        <v>85</v>
      </c>
      <c r="C1636">
        <v>2025</v>
      </c>
      <c r="D1636" t="s">
        <v>28</v>
      </c>
      <c r="E1636">
        <v>135695.35</v>
      </c>
      <c r="F1636">
        <v>105.1</v>
      </c>
      <c r="G1636">
        <v>363</v>
      </c>
      <c r="H1636">
        <v>192</v>
      </c>
      <c r="I1636" t="s">
        <v>32</v>
      </c>
      <c r="J1636">
        <v>4</v>
      </c>
      <c r="K1636" t="s">
        <v>17</v>
      </c>
      <c r="L1636">
        <v>36974</v>
      </c>
      <c r="M1636">
        <v>3.78</v>
      </c>
      <c r="N1636" s="6">
        <f t="shared" si="25"/>
        <v>5017199870.9000006</v>
      </c>
    </row>
    <row r="1637" spans="1:14" x14ac:dyDescent="0.35">
      <c r="A1637" t="s">
        <v>26</v>
      </c>
      <c r="B1637" t="s">
        <v>36</v>
      </c>
      <c r="C1637">
        <v>2025</v>
      </c>
      <c r="D1637" t="s">
        <v>20</v>
      </c>
      <c r="E1637">
        <v>65977.95</v>
      </c>
      <c r="F1637">
        <v>56</v>
      </c>
      <c r="G1637">
        <v>198</v>
      </c>
      <c r="H1637">
        <v>130</v>
      </c>
      <c r="I1637" t="s">
        <v>33</v>
      </c>
      <c r="J1637">
        <v>4</v>
      </c>
      <c r="K1637" t="s">
        <v>20</v>
      </c>
      <c r="L1637">
        <v>91348</v>
      </c>
      <c r="M1637">
        <v>3.44</v>
      </c>
      <c r="N1637" s="6">
        <f t="shared" si="25"/>
        <v>6026953776.5999994</v>
      </c>
    </row>
    <row r="1638" spans="1:14" x14ac:dyDescent="0.35">
      <c r="A1638" t="s">
        <v>23</v>
      </c>
      <c r="B1638" t="s">
        <v>82</v>
      </c>
      <c r="C1638">
        <v>2025</v>
      </c>
      <c r="D1638" t="s">
        <v>43</v>
      </c>
      <c r="E1638">
        <v>36433.269999999997</v>
      </c>
      <c r="F1638">
        <v>44.4</v>
      </c>
      <c r="G1638">
        <v>150</v>
      </c>
      <c r="H1638">
        <v>161</v>
      </c>
      <c r="I1638" t="s">
        <v>32</v>
      </c>
      <c r="J1638">
        <v>5</v>
      </c>
      <c r="K1638" t="s">
        <v>22</v>
      </c>
      <c r="L1638">
        <v>27128</v>
      </c>
      <c r="M1638">
        <v>3.23</v>
      </c>
      <c r="N1638" s="6">
        <f t="shared" si="25"/>
        <v>988361748.55999994</v>
      </c>
    </row>
    <row r="1639" spans="1:14" x14ac:dyDescent="0.35">
      <c r="A1639" t="s">
        <v>23</v>
      </c>
      <c r="B1639" t="s">
        <v>83</v>
      </c>
      <c r="C1639">
        <v>2025</v>
      </c>
      <c r="D1639" t="s">
        <v>28</v>
      </c>
      <c r="E1639">
        <v>49790.46</v>
      </c>
      <c r="F1639">
        <v>91.9</v>
      </c>
      <c r="G1639">
        <v>322</v>
      </c>
      <c r="H1639">
        <v>180</v>
      </c>
      <c r="I1639" t="s">
        <v>21</v>
      </c>
      <c r="J1639">
        <v>5</v>
      </c>
      <c r="K1639" t="s">
        <v>22</v>
      </c>
      <c r="L1639">
        <v>29595</v>
      </c>
      <c r="M1639">
        <v>3.76</v>
      </c>
      <c r="N1639" s="6">
        <f t="shared" si="25"/>
        <v>1473548663.7</v>
      </c>
    </row>
    <row r="1640" spans="1:14" x14ac:dyDescent="0.35">
      <c r="A1640" t="s">
        <v>29</v>
      </c>
      <c r="B1640" t="s">
        <v>39</v>
      </c>
      <c r="C1640">
        <v>2025</v>
      </c>
      <c r="D1640" t="s">
        <v>20</v>
      </c>
      <c r="E1640">
        <v>135056.97</v>
      </c>
      <c r="F1640">
        <v>63</v>
      </c>
      <c r="G1640">
        <v>231</v>
      </c>
      <c r="H1640">
        <v>135</v>
      </c>
      <c r="I1640" t="s">
        <v>21</v>
      </c>
      <c r="J1640">
        <v>5</v>
      </c>
      <c r="K1640" t="s">
        <v>17</v>
      </c>
      <c r="L1640">
        <v>107596</v>
      </c>
      <c r="M1640">
        <v>3.88</v>
      </c>
      <c r="N1640" s="6">
        <f t="shared" si="25"/>
        <v>14531589744.120001</v>
      </c>
    </row>
    <row r="1641" spans="1:14" x14ac:dyDescent="0.35">
      <c r="A1641" t="s">
        <v>29</v>
      </c>
      <c r="B1641" t="s">
        <v>30</v>
      </c>
      <c r="C1641">
        <v>2025</v>
      </c>
      <c r="D1641" t="s">
        <v>38</v>
      </c>
      <c r="E1641">
        <v>50205.39</v>
      </c>
      <c r="F1641">
        <v>40.299999999999997</v>
      </c>
      <c r="G1641">
        <v>150</v>
      </c>
      <c r="H1641">
        <v>169</v>
      </c>
      <c r="I1641" t="s">
        <v>25</v>
      </c>
      <c r="J1641">
        <v>3</v>
      </c>
      <c r="K1641" t="s">
        <v>22</v>
      </c>
      <c r="L1641">
        <v>169041</v>
      </c>
      <c r="M1641">
        <v>3.2</v>
      </c>
      <c r="N1641" s="6">
        <f t="shared" si="25"/>
        <v>8486769330.9899998</v>
      </c>
    </row>
    <row r="1642" spans="1:14" x14ac:dyDescent="0.35">
      <c r="A1642" t="s">
        <v>45</v>
      </c>
      <c r="B1642" t="s">
        <v>69</v>
      </c>
      <c r="C1642">
        <v>2025</v>
      </c>
      <c r="D1642" t="s">
        <v>38</v>
      </c>
      <c r="E1642">
        <v>24481.15</v>
      </c>
      <c r="F1642">
        <v>41.9</v>
      </c>
      <c r="G1642">
        <v>150</v>
      </c>
      <c r="H1642">
        <v>137</v>
      </c>
      <c r="I1642" t="s">
        <v>40</v>
      </c>
      <c r="J1642">
        <v>3</v>
      </c>
      <c r="K1642" t="s">
        <v>47</v>
      </c>
      <c r="L1642">
        <v>176238</v>
      </c>
      <c r="M1642">
        <v>3.06</v>
      </c>
      <c r="N1642" s="6">
        <f t="shared" si="25"/>
        <v>4314508913.6999998</v>
      </c>
    </row>
    <row r="1643" spans="1:14" x14ac:dyDescent="0.35">
      <c r="A1643" t="s">
        <v>29</v>
      </c>
      <c r="B1643" t="s">
        <v>53</v>
      </c>
      <c r="C1643">
        <v>2025</v>
      </c>
      <c r="D1643" t="s">
        <v>38</v>
      </c>
      <c r="E1643">
        <v>88007.74</v>
      </c>
      <c r="F1643">
        <v>64.2</v>
      </c>
      <c r="G1643">
        <v>223</v>
      </c>
      <c r="H1643">
        <v>171</v>
      </c>
      <c r="I1643" t="s">
        <v>16</v>
      </c>
      <c r="J1643">
        <v>4</v>
      </c>
      <c r="K1643" t="s">
        <v>20</v>
      </c>
      <c r="L1643">
        <v>102752</v>
      </c>
      <c r="M1643">
        <v>3.5</v>
      </c>
      <c r="N1643" s="6">
        <f t="shared" si="25"/>
        <v>9042971300.4800014</v>
      </c>
    </row>
    <row r="1644" spans="1:14" x14ac:dyDescent="0.35">
      <c r="A1644" t="s">
        <v>57</v>
      </c>
      <c r="B1644" t="s">
        <v>79</v>
      </c>
      <c r="C1644">
        <v>2025</v>
      </c>
      <c r="D1644" t="s">
        <v>15</v>
      </c>
      <c r="E1644">
        <v>75193.899999999994</v>
      </c>
      <c r="F1644">
        <v>76.099999999999994</v>
      </c>
      <c r="G1644">
        <v>227</v>
      </c>
      <c r="H1644">
        <v>193</v>
      </c>
      <c r="I1644" t="s">
        <v>40</v>
      </c>
      <c r="J1644">
        <v>4</v>
      </c>
      <c r="K1644" t="s">
        <v>20</v>
      </c>
      <c r="L1644">
        <v>31804</v>
      </c>
      <c r="M1644">
        <v>3.45</v>
      </c>
      <c r="N1644" s="6">
        <f t="shared" si="25"/>
        <v>2391466795.5999999</v>
      </c>
    </row>
    <row r="1645" spans="1:14" x14ac:dyDescent="0.35">
      <c r="A1645" t="s">
        <v>26</v>
      </c>
      <c r="B1645" t="s">
        <v>36</v>
      </c>
      <c r="C1645">
        <v>2025</v>
      </c>
      <c r="D1645" t="s">
        <v>15</v>
      </c>
      <c r="E1645">
        <v>111745.56</v>
      </c>
      <c r="F1645">
        <v>82.5</v>
      </c>
      <c r="G1645">
        <v>289</v>
      </c>
      <c r="H1645">
        <v>183</v>
      </c>
      <c r="I1645" t="s">
        <v>16</v>
      </c>
      <c r="J1645">
        <v>4</v>
      </c>
      <c r="K1645" t="s">
        <v>17</v>
      </c>
      <c r="L1645">
        <v>96875</v>
      </c>
      <c r="M1645">
        <v>3.43</v>
      </c>
      <c r="N1645" s="6">
        <f t="shared" si="25"/>
        <v>10825351125</v>
      </c>
    </row>
    <row r="1646" spans="1:14" x14ac:dyDescent="0.35">
      <c r="A1646" t="s">
        <v>64</v>
      </c>
      <c r="B1646" t="s">
        <v>95</v>
      </c>
      <c r="C1646">
        <v>2025</v>
      </c>
      <c r="D1646" t="s">
        <v>43</v>
      </c>
      <c r="E1646">
        <v>69328.91</v>
      </c>
      <c r="F1646">
        <v>57.6</v>
      </c>
      <c r="G1646">
        <v>225</v>
      </c>
      <c r="H1646">
        <v>142</v>
      </c>
      <c r="I1646" t="s">
        <v>21</v>
      </c>
      <c r="J1646">
        <v>5</v>
      </c>
      <c r="K1646" t="s">
        <v>20</v>
      </c>
      <c r="L1646">
        <v>73975</v>
      </c>
      <c r="M1646">
        <v>3.26</v>
      </c>
      <c r="N1646" s="6">
        <f t="shared" si="25"/>
        <v>5128606117.25</v>
      </c>
    </row>
    <row r="1647" spans="1:14" x14ac:dyDescent="0.35">
      <c r="A1647" t="s">
        <v>45</v>
      </c>
      <c r="B1647" t="s">
        <v>46</v>
      </c>
      <c r="C1647">
        <v>2025</v>
      </c>
      <c r="D1647" t="s">
        <v>28</v>
      </c>
      <c r="E1647">
        <v>79832.09</v>
      </c>
      <c r="F1647">
        <v>92</v>
      </c>
      <c r="G1647">
        <v>328</v>
      </c>
      <c r="H1647">
        <v>171</v>
      </c>
      <c r="I1647" t="s">
        <v>21</v>
      </c>
      <c r="J1647">
        <v>5</v>
      </c>
      <c r="K1647" t="s">
        <v>20</v>
      </c>
      <c r="L1647">
        <v>242291</v>
      </c>
      <c r="M1647">
        <v>3.55</v>
      </c>
      <c r="N1647" s="6">
        <f t="shared" si="25"/>
        <v>19342596918.189999</v>
      </c>
    </row>
    <row r="1648" spans="1:14" x14ac:dyDescent="0.35">
      <c r="A1648" t="s">
        <v>26</v>
      </c>
      <c r="B1648" t="s">
        <v>96</v>
      </c>
      <c r="C1648">
        <v>2025</v>
      </c>
      <c r="D1648" t="s">
        <v>20</v>
      </c>
      <c r="E1648">
        <v>61993.33</v>
      </c>
      <c r="F1648">
        <v>49.9</v>
      </c>
      <c r="G1648">
        <v>183</v>
      </c>
      <c r="H1648">
        <v>168</v>
      </c>
      <c r="I1648" t="s">
        <v>40</v>
      </c>
      <c r="J1648">
        <v>4</v>
      </c>
      <c r="K1648" t="s">
        <v>22</v>
      </c>
      <c r="L1648">
        <v>65237</v>
      </c>
      <c r="M1648">
        <v>3.14</v>
      </c>
      <c r="N1648" s="6">
        <f t="shared" si="25"/>
        <v>4044258869.21</v>
      </c>
    </row>
    <row r="1649" spans="1:14" x14ac:dyDescent="0.35">
      <c r="A1649" t="s">
        <v>23</v>
      </c>
      <c r="B1649" t="s">
        <v>37</v>
      </c>
      <c r="C1649">
        <v>2025</v>
      </c>
      <c r="D1649" t="s">
        <v>28</v>
      </c>
      <c r="E1649">
        <v>34424.61</v>
      </c>
      <c r="F1649">
        <v>103.6</v>
      </c>
      <c r="G1649">
        <v>370</v>
      </c>
      <c r="H1649">
        <v>163</v>
      </c>
      <c r="I1649" t="s">
        <v>40</v>
      </c>
      <c r="J1649">
        <v>4</v>
      </c>
      <c r="K1649" t="s">
        <v>47</v>
      </c>
      <c r="L1649">
        <v>20827</v>
      </c>
      <c r="M1649">
        <v>3.59</v>
      </c>
      <c r="N1649" s="6">
        <f t="shared" si="25"/>
        <v>716961352.47000003</v>
      </c>
    </row>
    <row r="1650" spans="1:14" x14ac:dyDescent="0.35">
      <c r="A1650" t="s">
        <v>49</v>
      </c>
      <c r="B1650" t="s">
        <v>50</v>
      </c>
      <c r="C1650">
        <v>2025</v>
      </c>
      <c r="D1650" t="s">
        <v>43</v>
      </c>
      <c r="E1650">
        <v>53515.28</v>
      </c>
      <c r="F1650">
        <v>50.9</v>
      </c>
      <c r="G1650">
        <v>176</v>
      </c>
      <c r="H1650">
        <v>147</v>
      </c>
      <c r="I1650" t="s">
        <v>32</v>
      </c>
      <c r="J1650">
        <v>5</v>
      </c>
      <c r="K1650" t="s">
        <v>22</v>
      </c>
      <c r="L1650">
        <v>93480</v>
      </c>
      <c r="M1650">
        <v>3.41</v>
      </c>
      <c r="N1650" s="6">
        <f t="shared" si="25"/>
        <v>5002608374.3999996</v>
      </c>
    </row>
    <row r="1651" spans="1:14" x14ac:dyDescent="0.35">
      <c r="A1651" t="s">
        <v>18</v>
      </c>
      <c r="B1651" t="s">
        <v>93</v>
      </c>
      <c r="C1651">
        <v>2025</v>
      </c>
      <c r="D1651" t="s">
        <v>43</v>
      </c>
      <c r="E1651">
        <v>46568.71</v>
      </c>
      <c r="F1651">
        <v>69.2</v>
      </c>
      <c r="G1651">
        <v>216</v>
      </c>
      <c r="H1651">
        <v>165</v>
      </c>
      <c r="I1651" t="s">
        <v>21</v>
      </c>
      <c r="J1651">
        <v>5</v>
      </c>
      <c r="K1651" t="s">
        <v>22</v>
      </c>
      <c r="L1651">
        <v>1982</v>
      </c>
      <c r="M1651">
        <v>3.52</v>
      </c>
      <c r="N1651" s="6">
        <f t="shared" si="25"/>
        <v>92299183.219999999</v>
      </c>
    </row>
    <row r="1652" spans="1:14" x14ac:dyDescent="0.35">
      <c r="A1652" t="s">
        <v>29</v>
      </c>
      <c r="B1652" t="s">
        <v>59</v>
      </c>
      <c r="C1652">
        <v>2025</v>
      </c>
      <c r="D1652" t="s">
        <v>38</v>
      </c>
      <c r="E1652">
        <v>95625.9</v>
      </c>
      <c r="F1652">
        <v>64.099999999999994</v>
      </c>
      <c r="G1652">
        <v>229</v>
      </c>
      <c r="H1652">
        <v>138</v>
      </c>
      <c r="I1652" t="s">
        <v>33</v>
      </c>
      <c r="J1652">
        <v>5</v>
      </c>
      <c r="K1652" t="s">
        <v>20</v>
      </c>
      <c r="L1652">
        <v>233990</v>
      </c>
      <c r="M1652">
        <v>3.63</v>
      </c>
      <c r="N1652" s="6">
        <f t="shared" si="25"/>
        <v>22375504341</v>
      </c>
    </row>
    <row r="1653" spans="1:14" x14ac:dyDescent="0.35">
      <c r="A1653" t="s">
        <v>13</v>
      </c>
      <c r="B1653" t="s">
        <v>14</v>
      </c>
      <c r="C1653">
        <v>2025</v>
      </c>
      <c r="D1653" t="s">
        <v>43</v>
      </c>
      <c r="E1653">
        <v>48208.86</v>
      </c>
      <c r="F1653">
        <v>79</v>
      </c>
      <c r="G1653">
        <v>288</v>
      </c>
      <c r="H1653">
        <v>152</v>
      </c>
      <c r="I1653" t="s">
        <v>40</v>
      </c>
      <c r="J1653">
        <v>5</v>
      </c>
      <c r="K1653" t="s">
        <v>22</v>
      </c>
      <c r="L1653">
        <v>272524</v>
      </c>
      <c r="M1653">
        <v>3.48</v>
      </c>
      <c r="N1653" s="6">
        <f t="shared" si="25"/>
        <v>13138071362.639999</v>
      </c>
    </row>
    <row r="1654" spans="1:14" x14ac:dyDescent="0.35">
      <c r="A1654" t="s">
        <v>13</v>
      </c>
      <c r="B1654" t="s">
        <v>51</v>
      </c>
      <c r="C1654">
        <v>2025</v>
      </c>
      <c r="D1654" t="s">
        <v>43</v>
      </c>
      <c r="E1654">
        <v>76084.88</v>
      </c>
      <c r="F1654">
        <v>51.2</v>
      </c>
      <c r="G1654">
        <v>165</v>
      </c>
      <c r="H1654">
        <v>149</v>
      </c>
      <c r="I1654" t="s">
        <v>32</v>
      </c>
      <c r="J1654">
        <v>4</v>
      </c>
      <c r="K1654" t="s">
        <v>20</v>
      </c>
      <c r="L1654">
        <v>264457</v>
      </c>
      <c r="M1654">
        <v>3.12</v>
      </c>
      <c r="N1654" s="6">
        <f t="shared" si="25"/>
        <v>20121179110.16</v>
      </c>
    </row>
    <row r="1655" spans="1:14" x14ac:dyDescent="0.35">
      <c r="A1655" t="s">
        <v>26</v>
      </c>
      <c r="B1655" t="s">
        <v>61</v>
      </c>
      <c r="C1655">
        <v>2025</v>
      </c>
      <c r="D1655" t="s">
        <v>28</v>
      </c>
      <c r="E1655">
        <v>39329.81</v>
      </c>
      <c r="F1655">
        <v>94</v>
      </c>
      <c r="G1655">
        <v>300</v>
      </c>
      <c r="H1655">
        <v>189</v>
      </c>
      <c r="I1655" t="s">
        <v>21</v>
      </c>
      <c r="J1655">
        <v>5</v>
      </c>
      <c r="K1655" t="s">
        <v>22</v>
      </c>
      <c r="L1655">
        <v>139592</v>
      </c>
      <c r="M1655">
        <v>3.62</v>
      </c>
      <c r="N1655" s="6">
        <f t="shared" si="25"/>
        <v>5490126837.5199995</v>
      </c>
    </row>
    <row r="1656" spans="1:14" x14ac:dyDescent="0.35">
      <c r="A1656" t="s">
        <v>49</v>
      </c>
      <c r="B1656" t="s">
        <v>50</v>
      </c>
      <c r="C1656">
        <v>2025</v>
      </c>
      <c r="D1656" t="s">
        <v>15</v>
      </c>
      <c r="E1656">
        <v>83020.490000000005</v>
      </c>
      <c r="F1656">
        <v>119.5</v>
      </c>
      <c r="G1656">
        <v>412</v>
      </c>
      <c r="H1656">
        <v>188</v>
      </c>
      <c r="I1656" t="s">
        <v>40</v>
      </c>
      <c r="J1656">
        <v>4</v>
      </c>
      <c r="K1656" t="s">
        <v>20</v>
      </c>
      <c r="L1656">
        <v>65013</v>
      </c>
      <c r="M1656">
        <v>3.72</v>
      </c>
      <c r="N1656" s="6">
        <f t="shared" si="25"/>
        <v>5397411116.3699999</v>
      </c>
    </row>
    <row r="1657" spans="1:14" x14ac:dyDescent="0.35">
      <c r="A1657" t="s">
        <v>23</v>
      </c>
      <c r="B1657" t="s">
        <v>24</v>
      </c>
      <c r="C1657">
        <v>2025</v>
      </c>
      <c r="D1657" t="s">
        <v>28</v>
      </c>
      <c r="E1657">
        <v>37683.39</v>
      </c>
      <c r="F1657">
        <v>98.3</v>
      </c>
      <c r="G1657">
        <v>363</v>
      </c>
      <c r="H1657">
        <v>166</v>
      </c>
      <c r="I1657" t="s">
        <v>16</v>
      </c>
      <c r="J1657">
        <v>4</v>
      </c>
      <c r="K1657" t="s">
        <v>22</v>
      </c>
      <c r="L1657">
        <v>20559</v>
      </c>
      <c r="M1657">
        <v>3.37</v>
      </c>
      <c r="N1657" s="6">
        <f t="shared" si="25"/>
        <v>774732815.00999999</v>
      </c>
    </row>
    <row r="1658" spans="1:14" x14ac:dyDescent="0.35">
      <c r="A1658" t="s">
        <v>29</v>
      </c>
      <c r="B1658" t="s">
        <v>31</v>
      </c>
      <c r="C1658">
        <v>2025</v>
      </c>
      <c r="D1658" t="s">
        <v>20</v>
      </c>
      <c r="E1658">
        <v>40474.28</v>
      </c>
      <c r="F1658">
        <v>53.8</v>
      </c>
      <c r="G1658">
        <v>163</v>
      </c>
      <c r="H1658">
        <v>148</v>
      </c>
      <c r="I1658" t="s">
        <v>21</v>
      </c>
      <c r="J1658">
        <v>4</v>
      </c>
      <c r="K1658" t="s">
        <v>22</v>
      </c>
      <c r="L1658">
        <v>484636</v>
      </c>
      <c r="M1658">
        <v>3.69</v>
      </c>
      <c r="N1658" s="6">
        <f t="shared" si="25"/>
        <v>19615293162.079998</v>
      </c>
    </row>
    <row r="1659" spans="1:14" x14ac:dyDescent="0.35">
      <c r="A1659" t="s">
        <v>23</v>
      </c>
      <c r="B1659" t="s">
        <v>82</v>
      </c>
      <c r="C1659">
        <v>2025</v>
      </c>
      <c r="D1659" t="s">
        <v>20</v>
      </c>
      <c r="E1659">
        <v>47998.86</v>
      </c>
      <c r="F1659">
        <v>60.9</v>
      </c>
      <c r="G1659">
        <v>202</v>
      </c>
      <c r="H1659">
        <v>159</v>
      </c>
      <c r="I1659" t="s">
        <v>25</v>
      </c>
      <c r="J1659">
        <v>5</v>
      </c>
      <c r="K1659" t="s">
        <v>22</v>
      </c>
      <c r="L1659">
        <v>2175</v>
      </c>
      <c r="M1659">
        <v>3.23</v>
      </c>
      <c r="N1659" s="6">
        <f t="shared" si="25"/>
        <v>104397520.5</v>
      </c>
    </row>
    <row r="1660" spans="1:14" x14ac:dyDescent="0.35">
      <c r="A1660" t="s">
        <v>45</v>
      </c>
      <c r="B1660" t="s">
        <v>88</v>
      </c>
      <c r="C1660">
        <v>2025</v>
      </c>
      <c r="D1660" t="s">
        <v>20</v>
      </c>
      <c r="E1660">
        <v>101756.01</v>
      </c>
      <c r="F1660">
        <v>70.7</v>
      </c>
      <c r="G1660">
        <v>259</v>
      </c>
      <c r="H1660">
        <v>139</v>
      </c>
      <c r="I1660" t="s">
        <v>33</v>
      </c>
      <c r="J1660">
        <v>5</v>
      </c>
      <c r="K1660" t="s">
        <v>17</v>
      </c>
      <c r="L1660">
        <v>207780</v>
      </c>
      <c r="M1660">
        <v>3.62</v>
      </c>
      <c r="N1660" s="6">
        <f t="shared" si="25"/>
        <v>21142863757.799999</v>
      </c>
    </row>
    <row r="1661" spans="1:14" x14ac:dyDescent="0.35">
      <c r="A1661" t="s">
        <v>75</v>
      </c>
      <c r="B1661" t="s">
        <v>76</v>
      </c>
      <c r="C1661">
        <v>2025</v>
      </c>
      <c r="D1661" t="s">
        <v>43</v>
      </c>
      <c r="E1661">
        <v>79722.649999999994</v>
      </c>
      <c r="F1661">
        <v>80.900000000000006</v>
      </c>
      <c r="G1661">
        <v>261</v>
      </c>
      <c r="H1661">
        <v>173</v>
      </c>
      <c r="I1661" t="s">
        <v>21</v>
      </c>
      <c r="J1661">
        <v>5</v>
      </c>
      <c r="K1661" t="s">
        <v>20</v>
      </c>
      <c r="L1661">
        <v>28225</v>
      </c>
      <c r="M1661">
        <v>3.26</v>
      </c>
      <c r="N1661" s="6">
        <f t="shared" si="25"/>
        <v>2250171796.25</v>
      </c>
    </row>
    <row r="1662" spans="1:14" x14ac:dyDescent="0.35">
      <c r="A1662" t="s">
        <v>49</v>
      </c>
      <c r="B1662" t="s">
        <v>87</v>
      </c>
      <c r="C1662">
        <v>2025</v>
      </c>
      <c r="D1662" t="s">
        <v>20</v>
      </c>
      <c r="E1662">
        <v>65433.15</v>
      </c>
      <c r="F1662">
        <v>41.9</v>
      </c>
      <c r="G1662">
        <v>150</v>
      </c>
      <c r="H1662">
        <v>179</v>
      </c>
      <c r="I1662" t="s">
        <v>40</v>
      </c>
      <c r="J1662">
        <v>5</v>
      </c>
      <c r="K1662" t="s">
        <v>20</v>
      </c>
      <c r="L1662">
        <v>78985</v>
      </c>
      <c r="M1662">
        <v>3.32</v>
      </c>
      <c r="N1662" s="6">
        <f t="shared" si="25"/>
        <v>5168237352.75</v>
      </c>
    </row>
    <row r="1663" spans="1:14" x14ac:dyDescent="0.35">
      <c r="A1663" t="s">
        <v>13</v>
      </c>
      <c r="B1663" t="s">
        <v>55</v>
      </c>
      <c r="C1663">
        <v>2025</v>
      </c>
      <c r="D1663" t="s">
        <v>43</v>
      </c>
      <c r="E1663">
        <v>60858.6</v>
      </c>
      <c r="F1663">
        <v>63.9</v>
      </c>
      <c r="G1663">
        <v>242</v>
      </c>
      <c r="H1663">
        <v>165</v>
      </c>
      <c r="I1663" t="s">
        <v>40</v>
      </c>
      <c r="J1663">
        <v>4</v>
      </c>
      <c r="K1663" t="s">
        <v>22</v>
      </c>
      <c r="L1663">
        <v>280770</v>
      </c>
      <c r="M1663">
        <v>3.65</v>
      </c>
      <c r="N1663" s="6">
        <f t="shared" si="25"/>
        <v>17087269122</v>
      </c>
    </row>
    <row r="1664" spans="1:14" x14ac:dyDescent="0.35">
      <c r="A1664" t="s">
        <v>34</v>
      </c>
      <c r="B1664" t="s">
        <v>44</v>
      </c>
      <c r="C1664">
        <v>2025</v>
      </c>
      <c r="D1664" t="s">
        <v>20</v>
      </c>
      <c r="E1664">
        <v>128362.44</v>
      </c>
      <c r="F1664">
        <v>46.9</v>
      </c>
      <c r="G1664">
        <v>168</v>
      </c>
      <c r="H1664">
        <v>141</v>
      </c>
      <c r="I1664" t="s">
        <v>33</v>
      </c>
      <c r="J1664">
        <v>4</v>
      </c>
      <c r="K1664" t="s">
        <v>17</v>
      </c>
      <c r="L1664">
        <v>79528</v>
      </c>
      <c r="M1664">
        <v>3.66</v>
      </c>
      <c r="N1664" s="6">
        <f t="shared" si="25"/>
        <v>10208408128.32</v>
      </c>
    </row>
    <row r="1665" spans="1:14" x14ac:dyDescent="0.35">
      <c r="A1665" t="s">
        <v>29</v>
      </c>
      <c r="B1665" t="s">
        <v>30</v>
      </c>
      <c r="C1665">
        <v>2025</v>
      </c>
      <c r="D1665" t="s">
        <v>43</v>
      </c>
      <c r="E1665">
        <v>103423.57</v>
      </c>
      <c r="F1665">
        <v>67.2</v>
      </c>
      <c r="G1665">
        <v>226</v>
      </c>
      <c r="H1665">
        <v>149</v>
      </c>
      <c r="I1665" t="s">
        <v>32</v>
      </c>
      <c r="J1665">
        <v>5</v>
      </c>
      <c r="K1665" t="s">
        <v>17</v>
      </c>
      <c r="L1665">
        <v>136780</v>
      </c>
      <c r="M1665">
        <v>3.7</v>
      </c>
      <c r="N1665" s="6">
        <f t="shared" si="25"/>
        <v>14146275904.6</v>
      </c>
    </row>
    <row r="1666" spans="1:14" x14ac:dyDescent="0.35">
      <c r="A1666" t="s">
        <v>13</v>
      </c>
      <c r="B1666" t="s">
        <v>66</v>
      </c>
      <c r="C1666">
        <v>2025</v>
      </c>
      <c r="D1666" t="s">
        <v>28</v>
      </c>
      <c r="E1666">
        <v>46681.91</v>
      </c>
      <c r="F1666">
        <v>83.1</v>
      </c>
      <c r="G1666">
        <v>285</v>
      </c>
      <c r="H1666">
        <v>181</v>
      </c>
      <c r="I1666" t="s">
        <v>33</v>
      </c>
      <c r="J1666">
        <v>5</v>
      </c>
      <c r="K1666" t="s">
        <v>22</v>
      </c>
      <c r="L1666">
        <v>243592</v>
      </c>
      <c r="M1666">
        <v>3.37</v>
      </c>
      <c r="N1666" s="6">
        <f t="shared" ref="N1666:N1729" si="26">E1666*L1666</f>
        <v>11371339820.720001</v>
      </c>
    </row>
    <row r="1667" spans="1:14" x14ac:dyDescent="0.35">
      <c r="A1667" t="s">
        <v>29</v>
      </c>
      <c r="B1667" t="s">
        <v>31</v>
      </c>
      <c r="C1667">
        <v>2025</v>
      </c>
      <c r="D1667" t="s">
        <v>38</v>
      </c>
      <c r="E1667">
        <v>38868.67</v>
      </c>
      <c r="F1667">
        <v>48</v>
      </c>
      <c r="G1667">
        <v>150</v>
      </c>
      <c r="H1667">
        <v>171</v>
      </c>
      <c r="I1667" t="s">
        <v>33</v>
      </c>
      <c r="J1667">
        <v>4</v>
      </c>
      <c r="K1667" t="s">
        <v>22</v>
      </c>
      <c r="L1667">
        <v>420151</v>
      </c>
      <c r="M1667">
        <v>3.64</v>
      </c>
      <c r="N1667" s="6">
        <f t="shared" si="26"/>
        <v>16330710569.17</v>
      </c>
    </row>
    <row r="1668" spans="1:14" x14ac:dyDescent="0.35">
      <c r="A1668" t="s">
        <v>45</v>
      </c>
      <c r="B1668" t="s">
        <v>46</v>
      </c>
      <c r="C1668">
        <v>2025</v>
      </c>
      <c r="D1668" t="s">
        <v>43</v>
      </c>
      <c r="E1668">
        <v>53845.68</v>
      </c>
      <c r="F1668">
        <v>43.7</v>
      </c>
      <c r="G1668">
        <v>161</v>
      </c>
      <c r="H1668">
        <v>125</v>
      </c>
      <c r="I1668" t="s">
        <v>32</v>
      </c>
      <c r="J1668">
        <v>4</v>
      </c>
      <c r="K1668" t="s">
        <v>22</v>
      </c>
      <c r="L1668">
        <v>196975</v>
      </c>
      <c r="M1668">
        <v>3.39</v>
      </c>
      <c r="N1668" s="6">
        <f t="shared" si="26"/>
        <v>10606252818</v>
      </c>
    </row>
    <row r="1669" spans="1:14" x14ac:dyDescent="0.35">
      <c r="A1669" t="s">
        <v>34</v>
      </c>
      <c r="B1669" t="s">
        <v>44</v>
      </c>
      <c r="C1669">
        <v>2025</v>
      </c>
      <c r="D1669" t="s">
        <v>20</v>
      </c>
      <c r="E1669">
        <v>153235.91</v>
      </c>
      <c r="F1669">
        <v>48.7</v>
      </c>
      <c r="G1669">
        <v>182</v>
      </c>
      <c r="H1669">
        <v>133</v>
      </c>
      <c r="I1669" t="s">
        <v>40</v>
      </c>
      <c r="J1669">
        <v>5</v>
      </c>
      <c r="K1669" t="s">
        <v>17</v>
      </c>
      <c r="L1669">
        <v>44720</v>
      </c>
      <c r="M1669">
        <v>3.56</v>
      </c>
      <c r="N1669" s="6">
        <f t="shared" si="26"/>
        <v>6852709895.1999998</v>
      </c>
    </row>
    <row r="1670" spans="1:14" x14ac:dyDescent="0.35">
      <c r="A1670" t="s">
        <v>29</v>
      </c>
      <c r="B1670" t="s">
        <v>59</v>
      </c>
      <c r="C1670">
        <v>2025</v>
      </c>
      <c r="D1670" t="s">
        <v>20</v>
      </c>
      <c r="E1670">
        <v>60275.05</v>
      </c>
      <c r="F1670">
        <v>61.4</v>
      </c>
      <c r="G1670">
        <v>220</v>
      </c>
      <c r="H1670">
        <v>143</v>
      </c>
      <c r="I1670" t="s">
        <v>21</v>
      </c>
      <c r="J1670">
        <v>4</v>
      </c>
      <c r="K1670" t="s">
        <v>22</v>
      </c>
      <c r="L1670">
        <v>226355</v>
      </c>
      <c r="M1670">
        <v>3.72</v>
      </c>
      <c r="N1670" s="6">
        <f t="shared" si="26"/>
        <v>13643558942.75</v>
      </c>
    </row>
    <row r="1671" spans="1:14" x14ac:dyDescent="0.35">
      <c r="A1671" t="s">
        <v>34</v>
      </c>
      <c r="B1671" t="s">
        <v>78</v>
      </c>
      <c r="C1671">
        <v>2025</v>
      </c>
      <c r="D1671" t="s">
        <v>20</v>
      </c>
      <c r="E1671">
        <v>202973.51</v>
      </c>
      <c r="F1671">
        <v>74.099999999999994</v>
      </c>
      <c r="G1671">
        <v>259</v>
      </c>
      <c r="H1671">
        <v>152</v>
      </c>
      <c r="I1671" t="s">
        <v>40</v>
      </c>
      <c r="J1671">
        <v>5</v>
      </c>
      <c r="K1671" t="s">
        <v>17</v>
      </c>
      <c r="L1671">
        <v>22987</v>
      </c>
      <c r="M1671">
        <v>3.81</v>
      </c>
      <c r="N1671" s="6">
        <f t="shared" si="26"/>
        <v>4665752074.3699999</v>
      </c>
    </row>
    <row r="1672" spans="1:14" x14ac:dyDescent="0.35">
      <c r="A1672" t="s">
        <v>57</v>
      </c>
      <c r="B1672" t="s">
        <v>79</v>
      </c>
      <c r="C1672">
        <v>2025</v>
      </c>
      <c r="D1672" t="s">
        <v>28</v>
      </c>
      <c r="E1672">
        <v>69671.759999999995</v>
      </c>
      <c r="F1672">
        <v>106.4</v>
      </c>
      <c r="G1672">
        <v>373</v>
      </c>
      <c r="H1672">
        <v>161</v>
      </c>
      <c r="I1672" t="s">
        <v>33</v>
      </c>
      <c r="J1672">
        <v>5</v>
      </c>
      <c r="K1672" t="s">
        <v>20</v>
      </c>
      <c r="L1672">
        <v>49288</v>
      </c>
      <c r="M1672">
        <v>3.95</v>
      </c>
      <c r="N1672" s="6">
        <f t="shared" si="26"/>
        <v>3433981706.8799996</v>
      </c>
    </row>
    <row r="1673" spans="1:14" x14ac:dyDescent="0.35">
      <c r="A1673" t="s">
        <v>49</v>
      </c>
      <c r="B1673" t="s">
        <v>87</v>
      </c>
      <c r="C1673">
        <v>2025</v>
      </c>
      <c r="D1673" t="s">
        <v>43</v>
      </c>
      <c r="E1673">
        <v>63434.69</v>
      </c>
      <c r="F1673">
        <v>78</v>
      </c>
      <c r="G1673">
        <v>279</v>
      </c>
      <c r="H1673">
        <v>124</v>
      </c>
      <c r="I1673" t="s">
        <v>16</v>
      </c>
      <c r="J1673">
        <v>5</v>
      </c>
      <c r="K1673" t="s">
        <v>22</v>
      </c>
      <c r="L1673">
        <v>133046</v>
      </c>
      <c r="M1673">
        <v>3.73</v>
      </c>
      <c r="N1673" s="6">
        <f t="shared" si="26"/>
        <v>8439731765.7400007</v>
      </c>
    </row>
    <row r="1674" spans="1:14" x14ac:dyDescent="0.35">
      <c r="A1674" t="s">
        <v>13</v>
      </c>
      <c r="B1674" t="s">
        <v>55</v>
      </c>
      <c r="C1674">
        <v>2025</v>
      </c>
      <c r="D1674" t="s">
        <v>28</v>
      </c>
      <c r="E1674">
        <v>101757.37</v>
      </c>
      <c r="F1674">
        <v>83.1</v>
      </c>
      <c r="G1674">
        <v>278</v>
      </c>
      <c r="H1674">
        <v>176</v>
      </c>
      <c r="I1674" t="s">
        <v>40</v>
      </c>
      <c r="J1674">
        <v>4</v>
      </c>
      <c r="K1674" t="s">
        <v>17</v>
      </c>
      <c r="L1674">
        <v>269645</v>
      </c>
      <c r="M1674">
        <v>3.59</v>
      </c>
      <c r="N1674" s="6">
        <f t="shared" si="26"/>
        <v>27438366033.649998</v>
      </c>
    </row>
    <row r="1675" spans="1:14" x14ac:dyDescent="0.35">
      <c r="A1675" t="s">
        <v>18</v>
      </c>
      <c r="B1675" t="s">
        <v>93</v>
      </c>
      <c r="C1675">
        <v>2025</v>
      </c>
      <c r="D1675" t="s">
        <v>43</v>
      </c>
      <c r="E1675">
        <v>48846.720000000001</v>
      </c>
      <c r="F1675">
        <v>75.400000000000006</v>
      </c>
      <c r="G1675">
        <v>274</v>
      </c>
      <c r="H1675">
        <v>159</v>
      </c>
      <c r="I1675" t="s">
        <v>33</v>
      </c>
      <c r="J1675">
        <v>5</v>
      </c>
      <c r="K1675" t="s">
        <v>22</v>
      </c>
      <c r="L1675">
        <v>21759</v>
      </c>
      <c r="M1675">
        <v>3.51</v>
      </c>
      <c r="N1675" s="6">
        <f t="shared" si="26"/>
        <v>1062855780.48</v>
      </c>
    </row>
    <row r="1676" spans="1:14" x14ac:dyDescent="0.35">
      <c r="A1676" t="s">
        <v>29</v>
      </c>
      <c r="B1676" t="s">
        <v>30</v>
      </c>
      <c r="C1676">
        <v>2025</v>
      </c>
      <c r="D1676" t="s">
        <v>15</v>
      </c>
      <c r="E1676">
        <v>133323.67000000001</v>
      </c>
      <c r="F1676">
        <v>89.5</v>
      </c>
      <c r="G1676">
        <v>316</v>
      </c>
      <c r="H1676">
        <v>200</v>
      </c>
      <c r="I1676" t="s">
        <v>32</v>
      </c>
      <c r="J1676">
        <v>4</v>
      </c>
      <c r="K1676" t="s">
        <v>17</v>
      </c>
      <c r="L1676">
        <v>119703</v>
      </c>
      <c r="M1676">
        <v>4.0199999999999996</v>
      </c>
      <c r="N1676" s="6">
        <f t="shared" si="26"/>
        <v>15959243270.010002</v>
      </c>
    </row>
    <row r="1677" spans="1:14" x14ac:dyDescent="0.35">
      <c r="A1677" t="s">
        <v>64</v>
      </c>
      <c r="B1677" t="s">
        <v>70</v>
      </c>
      <c r="C1677">
        <v>2025</v>
      </c>
      <c r="D1677" t="s">
        <v>43</v>
      </c>
      <c r="E1677">
        <v>61490.61</v>
      </c>
      <c r="F1677">
        <v>40.299999999999997</v>
      </c>
      <c r="G1677">
        <v>150</v>
      </c>
      <c r="H1677">
        <v>144</v>
      </c>
      <c r="I1677" t="s">
        <v>33</v>
      </c>
      <c r="J1677">
        <v>4</v>
      </c>
      <c r="K1677" t="s">
        <v>22</v>
      </c>
      <c r="L1677">
        <v>75130</v>
      </c>
      <c r="M1677">
        <v>3.39</v>
      </c>
      <c r="N1677" s="6">
        <f t="shared" si="26"/>
        <v>4619789529.3000002</v>
      </c>
    </row>
    <row r="1678" spans="1:14" x14ac:dyDescent="0.35">
      <c r="A1678" t="s">
        <v>64</v>
      </c>
      <c r="B1678" t="s">
        <v>70</v>
      </c>
      <c r="C1678">
        <v>2025</v>
      </c>
      <c r="D1678" t="s">
        <v>20</v>
      </c>
      <c r="E1678">
        <v>113220.74</v>
      </c>
      <c r="F1678">
        <v>50.2</v>
      </c>
      <c r="G1678">
        <v>167</v>
      </c>
      <c r="H1678">
        <v>146</v>
      </c>
      <c r="I1678" t="s">
        <v>16</v>
      </c>
      <c r="J1678">
        <v>3</v>
      </c>
      <c r="K1678" t="s">
        <v>17</v>
      </c>
      <c r="L1678">
        <v>36980</v>
      </c>
      <c r="M1678">
        <v>3.17</v>
      </c>
      <c r="N1678" s="6">
        <f t="shared" si="26"/>
        <v>4186902965.2000003</v>
      </c>
    </row>
    <row r="1679" spans="1:14" x14ac:dyDescent="0.35">
      <c r="A1679" t="s">
        <v>29</v>
      </c>
      <c r="B1679" t="s">
        <v>59</v>
      </c>
      <c r="C1679">
        <v>2025</v>
      </c>
      <c r="D1679" t="s">
        <v>43</v>
      </c>
      <c r="E1679">
        <v>86049.94</v>
      </c>
      <c r="F1679">
        <v>67.900000000000006</v>
      </c>
      <c r="G1679">
        <v>210</v>
      </c>
      <c r="H1679">
        <v>146</v>
      </c>
      <c r="I1679" t="s">
        <v>32</v>
      </c>
      <c r="J1679">
        <v>5</v>
      </c>
      <c r="K1679" t="s">
        <v>20</v>
      </c>
      <c r="L1679">
        <v>244820</v>
      </c>
      <c r="M1679">
        <v>3.64</v>
      </c>
      <c r="N1679" s="6">
        <f t="shared" si="26"/>
        <v>21066746310.799999</v>
      </c>
    </row>
    <row r="1680" spans="1:14" x14ac:dyDescent="0.35">
      <c r="A1680" t="s">
        <v>102</v>
      </c>
      <c r="B1680" t="s">
        <v>115</v>
      </c>
      <c r="C1680">
        <v>2025</v>
      </c>
      <c r="D1680" t="s">
        <v>38</v>
      </c>
      <c r="E1680">
        <v>87551.42</v>
      </c>
      <c r="F1680">
        <v>42.1</v>
      </c>
      <c r="G1680">
        <v>150</v>
      </c>
      <c r="H1680">
        <v>156</v>
      </c>
      <c r="I1680" t="s">
        <v>16</v>
      </c>
      <c r="J1680">
        <v>4</v>
      </c>
      <c r="K1680" t="s">
        <v>20</v>
      </c>
      <c r="L1680">
        <v>28712</v>
      </c>
      <c r="M1680">
        <v>3</v>
      </c>
      <c r="N1680" s="6">
        <f t="shared" si="26"/>
        <v>2513776371.04</v>
      </c>
    </row>
    <row r="1681" spans="1:14" x14ac:dyDescent="0.35">
      <c r="A1681" t="s">
        <v>29</v>
      </c>
      <c r="B1681" t="s">
        <v>59</v>
      </c>
      <c r="C1681">
        <v>2025</v>
      </c>
      <c r="D1681" t="s">
        <v>43</v>
      </c>
      <c r="E1681">
        <v>108924.8</v>
      </c>
      <c r="F1681">
        <v>75</v>
      </c>
      <c r="G1681">
        <v>251</v>
      </c>
      <c r="H1681">
        <v>171</v>
      </c>
      <c r="I1681" t="s">
        <v>32</v>
      </c>
      <c r="J1681">
        <v>5</v>
      </c>
      <c r="K1681" t="s">
        <v>17</v>
      </c>
      <c r="L1681">
        <v>104109</v>
      </c>
      <c r="M1681">
        <v>3.74</v>
      </c>
      <c r="N1681" s="6">
        <f t="shared" si="26"/>
        <v>11340052003.200001</v>
      </c>
    </row>
    <row r="1682" spans="1:14" x14ac:dyDescent="0.35">
      <c r="A1682" t="s">
        <v>29</v>
      </c>
      <c r="B1682" t="s">
        <v>30</v>
      </c>
      <c r="C1682">
        <v>2025</v>
      </c>
      <c r="D1682" t="s">
        <v>38</v>
      </c>
      <c r="E1682">
        <v>91015.05</v>
      </c>
      <c r="F1682">
        <v>61.8</v>
      </c>
      <c r="G1682">
        <v>227</v>
      </c>
      <c r="H1682">
        <v>141</v>
      </c>
      <c r="I1682" t="s">
        <v>21</v>
      </c>
      <c r="J1682">
        <v>5</v>
      </c>
      <c r="K1682" t="s">
        <v>20</v>
      </c>
      <c r="L1682">
        <v>229357</v>
      </c>
      <c r="M1682">
        <v>3.56</v>
      </c>
      <c r="N1682" s="6">
        <f t="shared" si="26"/>
        <v>20874938822.850002</v>
      </c>
    </row>
    <row r="1683" spans="1:14" x14ac:dyDescent="0.35">
      <c r="A1683" t="s">
        <v>23</v>
      </c>
      <c r="B1683" t="s">
        <v>82</v>
      </c>
      <c r="C1683">
        <v>2025</v>
      </c>
      <c r="D1683" t="s">
        <v>15</v>
      </c>
      <c r="E1683">
        <v>44784.34</v>
      </c>
      <c r="F1683">
        <v>93.2</v>
      </c>
      <c r="G1683">
        <v>321</v>
      </c>
      <c r="H1683">
        <v>182</v>
      </c>
      <c r="I1683" t="s">
        <v>32</v>
      </c>
      <c r="J1683">
        <v>5</v>
      </c>
      <c r="K1683" t="s">
        <v>22</v>
      </c>
      <c r="L1683">
        <v>7434</v>
      </c>
      <c r="M1683">
        <v>3.72</v>
      </c>
      <c r="N1683" s="6">
        <f t="shared" si="26"/>
        <v>332926783.56</v>
      </c>
    </row>
    <row r="1684" spans="1:14" x14ac:dyDescent="0.35">
      <c r="A1684" t="s">
        <v>29</v>
      </c>
      <c r="B1684" t="s">
        <v>30</v>
      </c>
      <c r="C1684">
        <v>2025</v>
      </c>
      <c r="D1684" t="s">
        <v>28</v>
      </c>
      <c r="E1684">
        <v>84994.49</v>
      </c>
      <c r="F1684">
        <v>96.6</v>
      </c>
      <c r="G1684">
        <v>315</v>
      </c>
      <c r="H1684">
        <v>161</v>
      </c>
      <c r="I1684" t="s">
        <v>40</v>
      </c>
      <c r="J1684">
        <v>4</v>
      </c>
      <c r="K1684" t="s">
        <v>20</v>
      </c>
      <c r="L1684">
        <v>246722</v>
      </c>
      <c r="M1684">
        <v>3.99</v>
      </c>
      <c r="N1684" s="6">
        <f t="shared" si="26"/>
        <v>20970010561.780003</v>
      </c>
    </row>
    <row r="1685" spans="1:14" x14ac:dyDescent="0.35">
      <c r="A1685" t="s">
        <v>64</v>
      </c>
      <c r="B1685" t="s">
        <v>97</v>
      </c>
      <c r="C1685">
        <v>2025</v>
      </c>
      <c r="D1685" t="s">
        <v>28</v>
      </c>
      <c r="E1685">
        <v>88308.2</v>
      </c>
      <c r="F1685">
        <v>95.5</v>
      </c>
      <c r="G1685">
        <v>308</v>
      </c>
      <c r="H1685">
        <v>174</v>
      </c>
      <c r="I1685" t="s">
        <v>32</v>
      </c>
      <c r="J1685">
        <v>4</v>
      </c>
      <c r="K1685" t="s">
        <v>20</v>
      </c>
      <c r="L1685">
        <v>31503</v>
      </c>
      <c r="M1685">
        <v>3.49</v>
      </c>
      <c r="N1685" s="6">
        <f t="shared" si="26"/>
        <v>2781973224.5999999</v>
      </c>
    </row>
    <row r="1686" spans="1:14" x14ac:dyDescent="0.35">
      <c r="A1686" t="s">
        <v>13</v>
      </c>
      <c r="B1686" t="s">
        <v>55</v>
      </c>
      <c r="C1686">
        <v>2025</v>
      </c>
      <c r="D1686" t="s">
        <v>38</v>
      </c>
      <c r="E1686">
        <v>76426.720000000001</v>
      </c>
      <c r="F1686">
        <v>83.1</v>
      </c>
      <c r="G1686">
        <v>339</v>
      </c>
      <c r="H1686">
        <v>155</v>
      </c>
      <c r="I1686" t="s">
        <v>25</v>
      </c>
      <c r="J1686">
        <v>4</v>
      </c>
      <c r="K1686" t="s">
        <v>20</v>
      </c>
      <c r="L1686">
        <v>248734</v>
      </c>
      <c r="M1686">
        <v>3.73</v>
      </c>
      <c r="N1686" s="6">
        <f t="shared" si="26"/>
        <v>19009923772.48</v>
      </c>
    </row>
    <row r="1687" spans="1:14" x14ac:dyDescent="0.35">
      <c r="A1687" t="s">
        <v>34</v>
      </c>
      <c r="B1687" t="s">
        <v>44</v>
      </c>
      <c r="C1687">
        <v>2025</v>
      </c>
      <c r="D1687" t="s">
        <v>28</v>
      </c>
      <c r="E1687">
        <v>111628.51</v>
      </c>
      <c r="F1687">
        <v>84.7</v>
      </c>
      <c r="G1687">
        <v>274</v>
      </c>
      <c r="H1687">
        <v>166</v>
      </c>
      <c r="I1687" t="s">
        <v>21</v>
      </c>
      <c r="J1687">
        <v>4</v>
      </c>
      <c r="K1687" t="s">
        <v>17</v>
      </c>
      <c r="L1687">
        <v>76984</v>
      </c>
      <c r="M1687">
        <v>3.74</v>
      </c>
      <c r="N1687" s="6">
        <f t="shared" si="26"/>
        <v>8593609213.8400002</v>
      </c>
    </row>
    <row r="1688" spans="1:14" x14ac:dyDescent="0.35">
      <c r="A1688" t="s">
        <v>57</v>
      </c>
      <c r="B1688" t="s">
        <v>72</v>
      </c>
      <c r="C1688">
        <v>2025</v>
      </c>
      <c r="D1688" t="s">
        <v>38</v>
      </c>
      <c r="E1688">
        <v>34802.06</v>
      </c>
      <c r="F1688">
        <v>47.6</v>
      </c>
      <c r="G1688">
        <v>150</v>
      </c>
      <c r="H1688">
        <v>146</v>
      </c>
      <c r="I1688" t="s">
        <v>16</v>
      </c>
      <c r="J1688">
        <v>4</v>
      </c>
      <c r="K1688" t="s">
        <v>47</v>
      </c>
      <c r="L1688">
        <v>51835</v>
      </c>
      <c r="M1688">
        <v>3.13</v>
      </c>
      <c r="N1688" s="6">
        <f t="shared" si="26"/>
        <v>1803964780.0999999</v>
      </c>
    </row>
    <row r="1689" spans="1:14" x14ac:dyDescent="0.35">
      <c r="A1689" t="s">
        <v>49</v>
      </c>
      <c r="B1689" t="s">
        <v>50</v>
      </c>
      <c r="C1689">
        <v>2025</v>
      </c>
      <c r="D1689" t="s">
        <v>28</v>
      </c>
      <c r="E1689">
        <v>43459.69</v>
      </c>
      <c r="F1689">
        <v>83.7</v>
      </c>
      <c r="G1689">
        <v>302</v>
      </c>
      <c r="H1689">
        <v>192</v>
      </c>
      <c r="I1689" t="s">
        <v>16</v>
      </c>
      <c r="J1689">
        <v>5</v>
      </c>
      <c r="K1689" t="s">
        <v>22</v>
      </c>
      <c r="L1689">
        <v>114002</v>
      </c>
      <c r="M1689">
        <v>3.56</v>
      </c>
      <c r="N1689" s="6">
        <f t="shared" si="26"/>
        <v>4954491579.3800001</v>
      </c>
    </row>
    <row r="1690" spans="1:14" x14ac:dyDescent="0.35">
      <c r="A1690" t="s">
        <v>104</v>
      </c>
      <c r="B1690" t="s">
        <v>119</v>
      </c>
      <c r="C1690">
        <v>2025</v>
      </c>
      <c r="D1690" t="s">
        <v>15</v>
      </c>
      <c r="E1690">
        <v>166388.92000000001</v>
      </c>
      <c r="F1690">
        <v>75.900000000000006</v>
      </c>
      <c r="G1690">
        <v>281</v>
      </c>
      <c r="H1690">
        <v>195</v>
      </c>
      <c r="I1690" t="s">
        <v>25</v>
      </c>
      <c r="J1690">
        <v>5</v>
      </c>
      <c r="K1690" t="s">
        <v>17</v>
      </c>
      <c r="L1690">
        <v>27265</v>
      </c>
      <c r="M1690">
        <v>3.3</v>
      </c>
      <c r="N1690" s="6">
        <f t="shared" si="26"/>
        <v>4536593903.8000002</v>
      </c>
    </row>
    <row r="1691" spans="1:14" x14ac:dyDescent="0.35">
      <c r="A1691" t="s">
        <v>29</v>
      </c>
      <c r="B1691" t="s">
        <v>39</v>
      </c>
      <c r="C1691">
        <v>2025</v>
      </c>
      <c r="D1691" t="s">
        <v>38</v>
      </c>
      <c r="E1691">
        <v>30387.16</v>
      </c>
      <c r="F1691">
        <v>46.7</v>
      </c>
      <c r="G1691">
        <v>183</v>
      </c>
      <c r="H1691">
        <v>130</v>
      </c>
      <c r="I1691" t="s">
        <v>32</v>
      </c>
      <c r="J1691">
        <v>5</v>
      </c>
      <c r="K1691" t="s">
        <v>47</v>
      </c>
      <c r="L1691">
        <v>225676</v>
      </c>
      <c r="M1691">
        <v>3.51</v>
      </c>
      <c r="N1691" s="6">
        <f t="shared" si="26"/>
        <v>6857652720.1599998</v>
      </c>
    </row>
    <row r="1692" spans="1:14" x14ac:dyDescent="0.35">
      <c r="A1692" t="s">
        <v>49</v>
      </c>
      <c r="B1692" t="s">
        <v>71</v>
      </c>
      <c r="C1692">
        <v>2025</v>
      </c>
      <c r="D1692" t="s">
        <v>20</v>
      </c>
      <c r="E1692">
        <v>78178.94</v>
      </c>
      <c r="F1692">
        <v>79.400000000000006</v>
      </c>
      <c r="G1692">
        <v>290</v>
      </c>
      <c r="H1692">
        <v>169</v>
      </c>
      <c r="I1692" t="s">
        <v>21</v>
      </c>
      <c r="J1692">
        <v>5</v>
      </c>
      <c r="K1692" t="s">
        <v>20</v>
      </c>
      <c r="L1692">
        <v>93827</v>
      </c>
      <c r="M1692">
        <v>3.71</v>
      </c>
      <c r="N1692" s="6">
        <f t="shared" si="26"/>
        <v>7335295403.3800001</v>
      </c>
    </row>
    <row r="1693" spans="1:14" x14ac:dyDescent="0.35">
      <c r="A1693" t="s">
        <v>13</v>
      </c>
      <c r="B1693" t="s">
        <v>55</v>
      </c>
      <c r="C1693">
        <v>2025</v>
      </c>
      <c r="D1693" t="s">
        <v>38</v>
      </c>
      <c r="E1693">
        <v>32608.87</v>
      </c>
      <c r="F1693">
        <v>54</v>
      </c>
      <c r="G1693">
        <v>178</v>
      </c>
      <c r="H1693">
        <v>169</v>
      </c>
      <c r="I1693" t="s">
        <v>16</v>
      </c>
      <c r="J1693">
        <v>3</v>
      </c>
      <c r="K1693" t="s">
        <v>47</v>
      </c>
      <c r="L1693">
        <v>223686</v>
      </c>
      <c r="M1693">
        <v>3.31</v>
      </c>
      <c r="N1693" s="6">
        <f t="shared" si="26"/>
        <v>7294147694.8199997</v>
      </c>
    </row>
    <row r="1694" spans="1:14" x14ac:dyDescent="0.35">
      <c r="A1694" t="s">
        <v>67</v>
      </c>
      <c r="B1694" t="s">
        <v>86</v>
      </c>
      <c r="C1694">
        <v>2025</v>
      </c>
      <c r="D1694" t="s">
        <v>43</v>
      </c>
      <c r="E1694">
        <v>97077.65</v>
      </c>
      <c r="F1694">
        <v>52.8</v>
      </c>
      <c r="G1694">
        <v>197</v>
      </c>
      <c r="H1694">
        <v>132</v>
      </c>
      <c r="I1694" t="s">
        <v>32</v>
      </c>
      <c r="J1694">
        <v>5</v>
      </c>
      <c r="K1694" t="s">
        <v>20</v>
      </c>
      <c r="L1694">
        <v>69050</v>
      </c>
      <c r="M1694">
        <v>3.19</v>
      </c>
      <c r="N1694" s="6">
        <f t="shared" si="26"/>
        <v>6703211732.5</v>
      </c>
    </row>
    <row r="1695" spans="1:14" x14ac:dyDescent="0.35">
      <c r="A1695" t="s">
        <v>18</v>
      </c>
      <c r="B1695" t="s">
        <v>93</v>
      </c>
      <c r="C1695">
        <v>2025</v>
      </c>
      <c r="D1695" t="s">
        <v>28</v>
      </c>
      <c r="E1695">
        <v>75339.45</v>
      </c>
      <c r="F1695">
        <v>86.8</v>
      </c>
      <c r="G1695">
        <v>325</v>
      </c>
      <c r="H1695">
        <v>184</v>
      </c>
      <c r="I1695" t="s">
        <v>32</v>
      </c>
      <c r="J1695">
        <v>5</v>
      </c>
      <c r="K1695" t="s">
        <v>20</v>
      </c>
      <c r="L1695">
        <v>12682</v>
      </c>
      <c r="M1695">
        <v>3.5</v>
      </c>
      <c r="N1695" s="6">
        <f t="shared" si="26"/>
        <v>955454904.89999998</v>
      </c>
    </row>
    <row r="1696" spans="1:14" x14ac:dyDescent="0.35">
      <c r="A1696" t="s">
        <v>57</v>
      </c>
      <c r="B1696" t="s">
        <v>58</v>
      </c>
      <c r="C1696">
        <v>2025</v>
      </c>
      <c r="D1696" t="s">
        <v>15</v>
      </c>
      <c r="E1696">
        <v>72824.56</v>
      </c>
      <c r="F1696">
        <v>94.6</v>
      </c>
      <c r="G1696">
        <v>347</v>
      </c>
      <c r="H1696">
        <v>180</v>
      </c>
      <c r="I1696" t="s">
        <v>25</v>
      </c>
      <c r="J1696">
        <v>3</v>
      </c>
      <c r="K1696" t="s">
        <v>20</v>
      </c>
      <c r="L1696">
        <v>45964</v>
      </c>
      <c r="M1696">
        <v>3.7</v>
      </c>
      <c r="N1696" s="6">
        <f t="shared" si="26"/>
        <v>3347308075.8399997</v>
      </c>
    </row>
    <row r="1697" spans="1:14" x14ac:dyDescent="0.35">
      <c r="A1697" t="s">
        <v>45</v>
      </c>
      <c r="B1697" t="s">
        <v>48</v>
      </c>
      <c r="C1697">
        <v>2025</v>
      </c>
      <c r="D1697" t="s">
        <v>28</v>
      </c>
      <c r="E1697">
        <v>26097.55</v>
      </c>
      <c r="F1697">
        <v>99</v>
      </c>
      <c r="G1697">
        <v>367</v>
      </c>
      <c r="H1697">
        <v>176</v>
      </c>
      <c r="I1697" t="s">
        <v>16</v>
      </c>
      <c r="J1697">
        <v>5</v>
      </c>
      <c r="K1697" t="s">
        <v>47</v>
      </c>
      <c r="L1697">
        <v>233286</v>
      </c>
      <c r="M1697">
        <v>3.51</v>
      </c>
      <c r="N1697" s="6">
        <f t="shared" si="26"/>
        <v>6088193049.3000002</v>
      </c>
    </row>
    <row r="1698" spans="1:14" x14ac:dyDescent="0.35">
      <c r="A1698" t="s">
        <v>67</v>
      </c>
      <c r="B1698" t="s">
        <v>98</v>
      </c>
      <c r="C1698">
        <v>2025</v>
      </c>
      <c r="D1698" t="s">
        <v>43</v>
      </c>
      <c r="E1698">
        <v>63113.08</v>
      </c>
      <c r="F1698">
        <v>44</v>
      </c>
      <c r="G1698">
        <v>150</v>
      </c>
      <c r="H1698">
        <v>146</v>
      </c>
      <c r="I1698" t="s">
        <v>25</v>
      </c>
      <c r="J1698">
        <v>4</v>
      </c>
      <c r="K1698" t="s">
        <v>22</v>
      </c>
      <c r="L1698">
        <v>79880</v>
      </c>
      <c r="M1698">
        <v>3.21</v>
      </c>
      <c r="N1698" s="6">
        <f t="shared" si="26"/>
        <v>5041472830.4000006</v>
      </c>
    </row>
    <row r="1699" spans="1:14" x14ac:dyDescent="0.35">
      <c r="A1699" t="s">
        <v>67</v>
      </c>
      <c r="B1699" t="s">
        <v>98</v>
      </c>
      <c r="C1699">
        <v>2025</v>
      </c>
      <c r="D1699" t="s">
        <v>20</v>
      </c>
      <c r="E1699">
        <v>154475.14000000001</v>
      </c>
      <c r="F1699">
        <v>69.7</v>
      </c>
      <c r="G1699">
        <v>246</v>
      </c>
      <c r="H1699">
        <v>161</v>
      </c>
      <c r="I1699" t="s">
        <v>40</v>
      </c>
      <c r="J1699">
        <v>5</v>
      </c>
      <c r="K1699" t="s">
        <v>17</v>
      </c>
      <c r="L1699">
        <v>20728</v>
      </c>
      <c r="M1699">
        <v>3.43</v>
      </c>
      <c r="N1699" s="6">
        <f t="shared" si="26"/>
        <v>3201960701.9200001</v>
      </c>
    </row>
    <row r="1700" spans="1:14" x14ac:dyDescent="0.35">
      <c r="A1700" t="s">
        <v>29</v>
      </c>
      <c r="B1700" t="s">
        <v>31</v>
      </c>
      <c r="C1700">
        <v>2025</v>
      </c>
      <c r="D1700" t="s">
        <v>15</v>
      </c>
      <c r="E1700">
        <v>51114.48</v>
      </c>
      <c r="F1700">
        <v>78.3</v>
      </c>
      <c r="G1700">
        <v>274</v>
      </c>
      <c r="H1700">
        <v>190</v>
      </c>
      <c r="I1700" t="s">
        <v>21</v>
      </c>
      <c r="J1700">
        <v>5</v>
      </c>
      <c r="K1700" t="s">
        <v>22</v>
      </c>
      <c r="L1700">
        <v>484952</v>
      </c>
      <c r="M1700">
        <v>4.03</v>
      </c>
      <c r="N1700" s="6">
        <f t="shared" si="26"/>
        <v>24788069304.960003</v>
      </c>
    </row>
    <row r="1701" spans="1:14" x14ac:dyDescent="0.35">
      <c r="A1701" t="s">
        <v>29</v>
      </c>
      <c r="B1701" t="s">
        <v>30</v>
      </c>
      <c r="C1701">
        <v>2025</v>
      </c>
      <c r="D1701" t="s">
        <v>38</v>
      </c>
      <c r="E1701">
        <v>70038.710000000006</v>
      </c>
      <c r="F1701">
        <v>65.7</v>
      </c>
      <c r="G1701">
        <v>235</v>
      </c>
      <c r="H1701">
        <v>149</v>
      </c>
      <c r="I1701" t="s">
        <v>40</v>
      </c>
      <c r="J1701">
        <v>5</v>
      </c>
      <c r="K1701" t="s">
        <v>20</v>
      </c>
      <c r="L1701">
        <v>164008</v>
      </c>
      <c r="M1701">
        <v>3.74</v>
      </c>
      <c r="N1701" s="6">
        <f t="shared" si="26"/>
        <v>11486908749.68</v>
      </c>
    </row>
    <row r="1702" spans="1:14" x14ac:dyDescent="0.35">
      <c r="A1702" t="s">
        <v>45</v>
      </c>
      <c r="B1702" t="s">
        <v>88</v>
      </c>
      <c r="C1702">
        <v>2025</v>
      </c>
      <c r="D1702" t="s">
        <v>43</v>
      </c>
      <c r="E1702">
        <v>52251.33</v>
      </c>
      <c r="F1702">
        <v>63.4</v>
      </c>
      <c r="G1702">
        <v>238</v>
      </c>
      <c r="H1702">
        <v>161</v>
      </c>
      <c r="I1702" t="s">
        <v>25</v>
      </c>
      <c r="J1702">
        <v>5</v>
      </c>
      <c r="K1702" t="s">
        <v>22</v>
      </c>
      <c r="L1702">
        <v>174435</v>
      </c>
      <c r="M1702">
        <v>3.19</v>
      </c>
      <c r="N1702" s="6">
        <f t="shared" si="26"/>
        <v>9114460748.5500011</v>
      </c>
    </row>
    <row r="1703" spans="1:14" x14ac:dyDescent="0.35">
      <c r="A1703" t="s">
        <v>57</v>
      </c>
      <c r="B1703" t="s">
        <v>79</v>
      </c>
      <c r="C1703">
        <v>2025</v>
      </c>
      <c r="D1703" t="s">
        <v>38</v>
      </c>
      <c r="E1703">
        <v>67752.89</v>
      </c>
      <c r="F1703">
        <v>58.7</v>
      </c>
      <c r="G1703">
        <v>237</v>
      </c>
      <c r="H1703">
        <v>162</v>
      </c>
      <c r="I1703" t="s">
        <v>16</v>
      </c>
      <c r="J1703">
        <v>5</v>
      </c>
      <c r="K1703" t="s">
        <v>20</v>
      </c>
      <c r="L1703">
        <v>21665</v>
      </c>
      <c r="M1703">
        <v>3.61</v>
      </c>
      <c r="N1703" s="6">
        <f t="shared" si="26"/>
        <v>1467866361.8499999</v>
      </c>
    </row>
    <row r="1704" spans="1:14" x14ac:dyDescent="0.35">
      <c r="A1704" t="s">
        <v>64</v>
      </c>
      <c r="B1704" t="s">
        <v>95</v>
      </c>
      <c r="C1704">
        <v>2025</v>
      </c>
      <c r="D1704" t="s">
        <v>38</v>
      </c>
      <c r="E1704">
        <v>48714.2</v>
      </c>
      <c r="F1704">
        <v>45.4</v>
      </c>
      <c r="G1704">
        <v>161</v>
      </c>
      <c r="H1704">
        <v>136</v>
      </c>
      <c r="I1704" t="s">
        <v>25</v>
      </c>
      <c r="J1704">
        <v>4</v>
      </c>
      <c r="K1704" t="s">
        <v>22</v>
      </c>
      <c r="L1704">
        <v>75073</v>
      </c>
      <c r="M1704">
        <v>3.18</v>
      </c>
      <c r="N1704" s="6">
        <f t="shared" si="26"/>
        <v>3657121136.5999999</v>
      </c>
    </row>
    <row r="1705" spans="1:14" x14ac:dyDescent="0.35">
      <c r="A1705" t="s">
        <v>29</v>
      </c>
      <c r="B1705" t="s">
        <v>31</v>
      </c>
      <c r="C1705">
        <v>2025</v>
      </c>
      <c r="D1705" t="s">
        <v>28</v>
      </c>
      <c r="E1705">
        <v>68461.67</v>
      </c>
      <c r="F1705">
        <v>80.8</v>
      </c>
      <c r="G1705">
        <v>305</v>
      </c>
      <c r="H1705">
        <v>183</v>
      </c>
      <c r="I1705" t="s">
        <v>33</v>
      </c>
      <c r="J1705">
        <v>4</v>
      </c>
      <c r="K1705" t="s">
        <v>20</v>
      </c>
      <c r="L1705">
        <v>443244</v>
      </c>
      <c r="M1705">
        <v>3.91</v>
      </c>
      <c r="N1705" s="6">
        <f t="shared" si="26"/>
        <v>30345224457.48</v>
      </c>
    </row>
    <row r="1706" spans="1:14" x14ac:dyDescent="0.35">
      <c r="A1706" t="s">
        <v>64</v>
      </c>
      <c r="B1706" t="s">
        <v>85</v>
      </c>
      <c r="C1706">
        <v>2025</v>
      </c>
      <c r="D1706" t="s">
        <v>43</v>
      </c>
      <c r="E1706">
        <v>66272.639999999999</v>
      </c>
      <c r="F1706">
        <v>70.2</v>
      </c>
      <c r="G1706">
        <v>263</v>
      </c>
      <c r="H1706">
        <v>144</v>
      </c>
      <c r="I1706" t="s">
        <v>40</v>
      </c>
      <c r="J1706">
        <v>4</v>
      </c>
      <c r="K1706" t="s">
        <v>20</v>
      </c>
      <c r="L1706">
        <v>66889</v>
      </c>
      <c r="M1706">
        <v>3.62</v>
      </c>
      <c r="N1706" s="6">
        <f t="shared" si="26"/>
        <v>4432910616.96</v>
      </c>
    </row>
    <row r="1707" spans="1:14" x14ac:dyDescent="0.35">
      <c r="A1707" t="s">
        <v>57</v>
      </c>
      <c r="B1707" t="s">
        <v>72</v>
      </c>
      <c r="C1707">
        <v>2025</v>
      </c>
      <c r="D1707" t="s">
        <v>43</v>
      </c>
      <c r="E1707">
        <v>68957.58</v>
      </c>
      <c r="F1707">
        <v>70.099999999999994</v>
      </c>
      <c r="G1707">
        <v>262</v>
      </c>
      <c r="H1707">
        <v>142</v>
      </c>
      <c r="I1707" t="s">
        <v>16</v>
      </c>
      <c r="J1707">
        <v>5</v>
      </c>
      <c r="K1707" t="s">
        <v>20</v>
      </c>
      <c r="L1707">
        <v>69276</v>
      </c>
      <c r="M1707">
        <v>3.36</v>
      </c>
      <c r="N1707" s="6">
        <f t="shared" si="26"/>
        <v>4777105312.0799999</v>
      </c>
    </row>
    <row r="1708" spans="1:14" x14ac:dyDescent="0.35">
      <c r="A1708" t="s">
        <v>29</v>
      </c>
      <c r="B1708" t="s">
        <v>31</v>
      </c>
      <c r="C1708">
        <v>2025</v>
      </c>
      <c r="D1708" t="s">
        <v>38</v>
      </c>
      <c r="E1708">
        <v>114587.9</v>
      </c>
      <c r="F1708">
        <v>67.3</v>
      </c>
      <c r="G1708">
        <v>242</v>
      </c>
      <c r="H1708">
        <v>120</v>
      </c>
      <c r="I1708" t="s">
        <v>33</v>
      </c>
      <c r="J1708">
        <v>3</v>
      </c>
      <c r="K1708" t="s">
        <v>17</v>
      </c>
      <c r="L1708">
        <v>458139</v>
      </c>
      <c r="M1708">
        <v>3.77</v>
      </c>
      <c r="N1708" s="6">
        <f t="shared" si="26"/>
        <v>52497185918.099998</v>
      </c>
    </row>
    <row r="1709" spans="1:14" x14ac:dyDescent="0.35">
      <c r="A1709" t="s">
        <v>41</v>
      </c>
      <c r="B1709" t="s">
        <v>92</v>
      </c>
      <c r="C1709">
        <v>2025</v>
      </c>
      <c r="D1709" t="s">
        <v>20</v>
      </c>
      <c r="E1709">
        <v>54042</v>
      </c>
      <c r="F1709">
        <v>69.8</v>
      </c>
      <c r="G1709">
        <v>254</v>
      </c>
      <c r="H1709">
        <v>157</v>
      </c>
      <c r="I1709" t="s">
        <v>16</v>
      </c>
      <c r="J1709">
        <v>4</v>
      </c>
      <c r="K1709" t="s">
        <v>22</v>
      </c>
      <c r="L1709">
        <v>17793</v>
      </c>
      <c r="M1709">
        <v>3.42</v>
      </c>
      <c r="N1709" s="6">
        <f t="shared" si="26"/>
        <v>961569306</v>
      </c>
    </row>
    <row r="1710" spans="1:14" x14ac:dyDescent="0.35">
      <c r="A1710" t="s">
        <v>45</v>
      </c>
      <c r="B1710" t="s">
        <v>48</v>
      </c>
      <c r="C1710">
        <v>2025</v>
      </c>
      <c r="D1710" t="s">
        <v>20</v>
      </c>
      <c r="E1710">
        <v>34873.269999999997</v>
      </c>
      <c r="F1710">
        <v>63.6</v>
      </c>
      <c r="G1710">
        <v>236</v>
      </c>
      <c r="H1710">
        <v>149</v>
      </c>
      <c r="I1710" t="s">
        <v>33</v>
      </c>
      <c r="J1710">
        <v>4</v>
      </c>
      <c r="K1710" t="s">
        <v>47</v>
      </c>
      <c r="L1710">
        <v>145087</v>
      </c>
      <c r="M1710">
        <v>3.26</v>
      </c>
      <c r="N1710" s="6">
        <f t="shared" si="26"/>
        <v>5059658124.4899998</v>
      </c>
    </row>
    <row r="1711" spans="1:14" x14ac:dyDescent="0.35">
      <c r="A1711" t="s">
        <v>57</v>
      </c>
      <c r="B1711" t="s">
        <v>79</v>
      </c>
      <c r="C1711">
        <v>2025</v>
      </c>
      <c r="D1711" t="s">
        <v>43</v>
      </c>
      <c r="E1711">
        <v>47275.39</v>
      </c>
      <c r="F1711">
        <v>64.900000000000006</v>
      </c>
      <c r="G1711">
        <v>242</v>
      </c>
      <c r="H1711">
        <v>166</v>
      </c>
      <c r="I1711" t="s">
        <v>33</v>
      </c>
      <c r="J1711">
        <v>3</v>
      </c>
      <c r="K1711" t="s">
        <v>22</v>
      </c>
      <c r="L1711">
        <v>20597</v>
      </c>
      <c r="M1711">
        <v>3.51</v>
      </c>
      <c r="N1711" s="6">
        <f t="shared" si="26"/>
        <v>973731207.83000004</v>
      </c>
    </row>
    <row r="1712" spans="1:14" x14ac:dyDescent="0.35">
      <c r="A1712" t="s">
        <v>13</v>
      </c>
      <c r="B1712" t="s">
        <v>55</v>
      </c>
      <c r="C1712">
        <v>2025</v>
      </c>
      <c r="D1712" t="s">
        <v>28</v>
      </c>
      <c r="E1712">
        <v>95115.92</v>
      </c>
      <c r="F1712">
        <v>83</v>
      </c>
      <c r="G1712">
        <v>275</v>
      </c>
      <c r="H1712">
        <v>170</v>
      </c>
      <c r="I1712" t="s">
        <v>40</v>
      </c>
      <c r="J1712">
        <v>3</v>
      </c>
      <c r="K1712" t="s">
        <v>20</v>
      </c>
      <c r="L1712">
        <v>223250</v>
      </c>
      <c r="M1712">
        <v>3.54</v>
      </c>
      <c r="N1712" s="6">
        <f t="shared" si="26"/>
        <v>21234629140</v>
      </c>
    </row>
    <row r="1713" spans="1:14" x14ac:dyDescent="0.35">
      <c r="A1713" t="s">
        <v>45</v>
      </c>
      <c r="B1713" t="s">
        <v>88</v>
      </c>
      <c r="C1713">
        <v>2025</v>
      </c>
      <c r="D1713" t="s">
        <v>20</v>
      </c>
      <c r="E1713">
        <v>33846.449999999997</v>
      </c>
      <c r="F1713">
        <v>52.4</v>
      </c>
      <c r="G1713">
        <v>171</v>
      </c>
      <c r="H1713">
        <v>138</v>
      </c>
      <c r="I1713" t="s">
        <v>16</v>
      </c>
      <c r="J1713">
        <v>5</v>
      </c>
      <c r="K1713" t="s">
        <v>47</v>
      </c>
      <c r="L1713">
        <v>220677</v>
      </c>
      <c r="M1713">
        <v>3.2</v>
      </c>
      <c r="N1713" s="6">
        <f t="shared" si="26"/>
        <v>7469133046.6499996</v>
      </c>
    </row>
    <row r="1714" spans="1:14" x14ac:dyDescent="0.35">
      <c r="A1714" t="s">
        <v>29</v>
      </c>
      <c r="B1714" t="s">
        <v>53</v>
      </c>
      <c r="C1714">
        <v>2025</v>
      </c>
      <c r="D1714" t="s">
        <v>20</v>
      </c>
      <c r="E1714">
        <v>98891.22</v>
      </c>
      <c r="F1714">
        <v>78.900000000000006</v>
      </c>
      <c r="G1714">
        <v>301</v>
      </c>
      <c r="H1714">
        <v>143</v>
      </c>
      <c r="I1714" t="s">
        <v>16</v>
      </c>
      <c r="J1714">
        <v>4</v>
      </c>
      <c r="K1714" t="s">
        <v>20</v>
      </c>
      <c r="L1714">
        <v>113008</v>
      </c>
      <c r="M1714">
        <v>3.85</v>
      </c>
      <c r="N1714" s="6">
        <f t="shared" si="26"/>
        <v>11175498989.76</v>
      </c>
    </row>
    <row r="1715" spans="1:14" x14ac:dyDescent="0.35">
      <c r="A1715" t="s">
        <v>29</v>
      </c>
      <c r="B1715" t="s">
        <v>30</v>
      </c>
      <c r="C1715">
        <v>2025</v>
      </c>
      <c r="D1715" t="s">
        <v>20</v>
      </c>
      <c r="E1715">
        <v>129475.2</v>
      </c>
      <c r="F1715">
        <v>46.6</v>
      </c>
      <c r="G1715">
        <v>150</v>
      </c>
      <c r="H1715">
        <v>144</v>
      </c>
      <c r="I1715" t="s">
        <v>21</v>
      </c>
      <c r="J1715">
        <v>4</v>
      </c>
      <c r="K1715" t="s">
        <v>17</v>
      </c>
      <c r="L1715">
        <v>225901</v>
      </c>
      <c r="M1715">
        <v>3.6</v>
      </c>
      <c r="N1715" s="6">
        <f t="shared" si="26"/>
        <v>29248577155.200001</v>
      </c>
    </row>
    <row r="1716" spans="1:14" x14ac:dyDescent="0.35">
      <c r="A1716" t="s">
        <v>26</v>
      </c>
      <c r="B1716" t="s">
        <v>52</v>
      </c>
      <c r="C1716">
        <v>2025</v>
      </c>
      <c r="D1716" t="s">
        <v>20</v>
      </c>
      <c r="E1716">
        <v>80721.440000000002</v>
      </c>
      <c r="F1716">
        <v>72.900000000000006</v>
      </c>
      <c r="G1716">
        <v>256</v>
      </c>
      <c r="H1716">
        <v>144</v>
      </c>
      <c r="I1716" t="s">
        <v>32</v>
      </c>
      <c r="J1716">
        <v>3</v>
      </c>
      <c r="K1716" t="s">
        <v>20</v>
      </c>
      <c r="L1716">
        <v>130227</v>
      </c>
      <c r="M1716">
        <v>3.54</v>
      </c>
      <c r="N1716" s="6">
        <f t="shared" si="26"/>
        <v>10512110966.880001</v>
      </c>
    </row>
    <row r="1717" spans="1:14" x14ac:dyDescent="0.35">
      <c r="A1717" t="s">
        <v>29</v>
      </c>
      <c r="B1717" t="s">
        <v>31</v>
      </c>
      <c r="C1717">
        <v>2025</v>
      </c>
      <c r="D1717" t="s">
        <v>28</v>
      </c>
      <c r="E1717">
        <v>113868.37</v>
      </c>
      <c r="F1717">
        <v>86.6</v>
      </c>
      <c r="G1717">
        <v>301</v>
      </c>
      <c r="H1717">
        <v>185</v>
      </c>
      <c r="I1717" t="s">
        <v>40</v>
      </c>
      <c r="J1717">
        <v>4</v>
      </c>
      <c r="K1717" t="s">
        <v>17</v>
      </c>
      <c r="L1717">
        <v>455459</v>
      </c>
      <c r="M1717">
        <v>3.98</v>
      </c>
      <c r="N1717" s="6">
        <f t="shared" si="26"/>
        <v>51862373931.829994</v>
      </c>
    </row>
    <row r="1718" spans="1:14" x14ac:dyDescent="0.35">
      <c r="A1718" t="s">
        <v>75</v>
      </c>
      <c r="B1718" t="s">
        <v>76</v>
      </c>
      <c r="C1718">
        <v>2025</v>
      </c>
      <c r="D1718" t="s">
        <v>38</v>
      </c>
      <c r="E1718">
        <v>78088.2</v>
      </c>
      <c r="F1718">
        <v>42.4</v>
      </c>
      <c r="G1718">
        <v>150</v>
      </c>
      <c r="H1718">
        <v>161</v>
      </c>
      <c r="I1718" t="s">
        <v>32</v>
      </c>
      <c r="J1718">
        <v>3</v>
      </c>
      <c r="K1718" t="s">
        <v>20</v>
      </c>
      <c r="L1718">
        <v>26875</v>
      </c>
      <c r="M1718">
        <v>3.25</v>
      </c>
      <c r="N1718" s="6">
        <f t="shared" si="26"/>
        <v>2098620375</v>
      </c>
    </row>
    <row r="1719" spans="1:14" x14ac:dyDescent="0.35">
      <c r="A1719" t="s">
        <v>45</v>
      </c>
      <c r="B1719" t="s">
        <v>88</v>
      </c>
      <c r="C1719">
        <v>2025</v>
      </c>
      <c r="D1719" t="s">
        <v>15</v>
      </c>
      <c r="E1719">
        <v>101418.24000000001</v>
      </c>
      <c r="F1719">
        <v>74.3</v>
      </c>
      <c r="G1719">
        <v>239</v>
      </c>
      <c r="H1719">
        <v>200</v>
      </c>
      <c r="I1719" t="s">
        <v>32</v>
      </c>
      <c r="J1719">
        <v>3</v>
      </c>
      <c r="K1719" t="s">
        <v>17</v>
      </c>
      <c r="L1719">
        <v>115025</v>
      </c>
      <c r="M1719">
        <v>3.58</v>
      </c>
      <c r="N1719" s="6">
        <f t="shared" si="26"/>
        <v>11665633056</v>
      </c>
    </row>
    <row r="1720" spans="1:14" x14ac:dyDescent="0.35">
      <c r="A1720" t="s">
        <v>13</v>
      </c>
      <c r="B1720" t="s">
        <v>66</v>
      </c>
      <c r="C1720">
        <v>2025</v>
      </c>
      <c r="D1720" t="s">
        <v>38</v>
      </c>
      <c r="E1720">
        <v>66620.77</v>
      </c>
      <c r="F1720">
        <v>53.1</v>
      </c>
      <c r="G1720">
        <v>196</v>
      </c>
      <c r="H1720">
        <v>132</v>
      </c>
      <c r="I1720" t="s">
        <v>33</v>
      </c>
      <c r="J1720">
        <v>5</v>
      </c>
      <c r="K1720" t="s">
        <v>20</v>
      </c>
      <c r="L1720">
        <v>206717</v>
      </c>
      <c r="M1720">
        <v>3.56</v>
      </c>
      <c r="N1720" s="6">
        <f t="shared" si="26"/>
        <v>13771645712.09</v>
      </c>
    </row>
    <row r="1721" spans="1:14" x14ac:dyDescent="0.35">
      <c r="A1721" t="s">
        <v>26</v>
      </c>
      <c r="B1721" t="s">
        <v>36</v>
      </c>
      <c r="C1721">
        <v>2025</v>
      </c>
      <c r="D1721" t="s">
        <v>15</v>
      </c>
      <c r="E1721">
        <v>110498.55</v>
      </c>
      <c r="F1721">
        <v>107.7</v>
      </c>
      <c r="G1721">
        <v>407</v>
      </c>
      <c r="H1721">
        <v>200</v>
      </c>
      <c r="I1721" t="s">
        <v>21</v>
      </c>
      <c r="J1721">
        <v>4</v>
      </c>
      <c r="K1721" t="s">
        <v>17</v>
      </c>
      <c r="L1721">
        <v>55383</v>
      </c>
      <c r="M1721">
        <v>3.92</v>
      </c>
      <c r="N1721" s="6">
        <f t="shared" si="26"/>
        <v>6119741194.6500006</v>
      </c>
    </row>
    <row r="1722" spans="1:14" x14ac:dyDescent="0.35">
      <c r="A1722" t="s">
        <v>73</v>
      </c>
      <c r="B1722" t="s">
        <v>91</v>
      </c>
      <c r="C1722">
        <v>2025</v>
      </c>
      <c r="D1722" t="s">
        <v>20</v>
      </c>
      <c r="E1722">
        <v>104953.65</v>
      </c>
      <c r="F1722">
        <v>69</v>
      </c>
      <c r="G1722">
        <v>237</v>
      </c>
      <c r="H1722">
        <v>132</v>
      </c>
      <c r="I1722" t="s">
        <v>40</v>
      </c>
      <c r="J1722">
        <v>5</v>
      </c>
      <c r="K1722" t="s">
        <v>17</v>
      </c>
      <c r="L1722">
        <v>26944</v>
      </c>
      <c r="M1722">
        <v>3.47</v>
      </c>
      <c r="N1722" s="6">
        <f t="shared" si="26"/>
        <v>2827871145.5999999</v>
      </c>
    </row>
    <row r="1723" spans="1:14" x14ac:dyDescent="0.35">
      <c r="A1723" t="s">
        <v>29</v>
      </c>
      <c r="B1723" t="s">
        <v>39</v>
      </c>
      <c r="C1723">
        <v>2025</v>
      </c>
      <c r="D1723" t="s">
        <v>28</v>
      </c>
      <c r="E1723">
        <v>120338.19</v>
      </c>
      <c r="F1723">
        <v>101.1</v>
      </c>
      <c r="G1723">
        <v>324</v>
      </c>
      <c r="H1723">
        <v>178</v>
      </c>
      <c r="I1723" t="s">
        <v>16</v>
      </c>
      <c r="J1723">
        <v>4</v>
      </c>
      <c r="K1723" t="s">
        <v>17</v>
      </c>
      <c r="L1723">
        <v>236717</v>
      </c>
      <c r="M1723">
        <v>4.0599999999999996</v>
      </c>
      <c r="N1723" s="6">
        <f t="shared" si="26"/>
        <v>28486095322.23</v>
      </c>
    </row>
    <row r="1724" spans="1:14" x14ac:dyDescent="0.35">
      <c r="A1724" t="s">
        <v>29</v>
      </c>
      <c r="B1724" t="s">
        <v>31</v>
      </c>
      <c r="C1724">
        <v>2025</v>
      </c>
      <c r="D1724" t="s">
        <v>28</v>
      </c>
      <c r="E1724">
        <v>147345.82</v>
      </c>
      <c r="F1724">
        <v>89.5</v>
      </c>
      <c r="G1724">
        <v>311</v>
      </c>
      <c r="H1724">
        <v>191</v>
      </c>
      <c r="I1724" t="s">
        <v>25</v>
      </c>
      <c r="J1724">
        <v>5</v>
      </c>
      <c r="K1724" t="s">
        <v>17</v>
      </c>
      <c r="L1724">
        <v>458246</v>
      </c>
      <c r="M1724">
        <v>3.66</v>
      </c>
      <c r="N1724" s="6">
        <f t="shared" si="26"/>
        <v>67520632631.720001</v>
      </c>
    </row>
    <row r="1725" spans="1:14" x14ac:dyDescent="0.35">
      <c r="A1725" t="s">
        <v>67</v>
      </c>
      <c r="B1725" t="s">
        <v>68</v>
      </c>
      <c r="C1725">
        <v>2025</v>
      </c>
      <c r="D1725" t="s">
        <v>38</v>
      </c>
      <c r="E1725">
        <v>69716.210000000006</v>
      </c>
      <c r="F1725">
        <v>72.8</v>
      </c>
      <c r="G1725">
        <v>250</v>
      </c>
      <c r="H1725">
        <v>145</v>
      </c>
      <c r="I1725" t="s">
        <v>21</v>
      </c>
      <c r="J1725">
        <v>5</v>
      </c>
      <c r="K1725" t="s">
        <v>20</v>
      </c>
      <c r="L1725">
        <v>21802</v>
      </c>
      <c r="M1725">
        <v>3.43</v>
      </c>
      <c r="N1725" s="6">
        <f t="shared" si="26"/>
        <v>1519952810.4200001</v>
      </c>
    </row>
    <row r="1726" spans="1:14" x14ac:dyDescent="0.35">
      <c r="A1726" t="s">
        <v>64</v>
      </c>
      <c r="B1726" t="s">
        <v>65</v>
      </c>
      <c r="C1726">
        <v>2025</v>
      </c>
      <c r="D1726" t="s">
        <v>20</v>
      </c>
      <c r="E1726">
        <v>88626.17</v>
      </c>
      <c r="F1726">
        <v>42.7</v>
      </c>
      <c r="G1726">
        <v>150</v>
      </c>
      <c r="H1726">
        <v>129</v>
      </c>
      <c r="I1726" t="s">
        <v>33</v>
      </c>
      <c r="J1726">
        <v>4</v>
      </c>
      <c r="K1726" t="s">
        <v>20</v>
      </c>
      <c r="L1726">
        <v>40644</v>
      </c>
      <c r="M1726">
        <v>3.5</v>
      </c>
      <c r="N1726" s="6">
        <f t="shared" si="26"/>
        <v>3602122053.48</v>
      </c>
    </row>
    <row r="1727" spans="1:14" x14ac:dyDescent="0.35">
      <c r="A1727" t="s">
        <v>23</v>
      </c>
      <c r="B1727" t="s">
        <v>83</v>
      </c>
      <c r="C1727">
        <v>2025</v>
      </c>
      <c r="D1727" t="s">
        <v>28</v>
      </c>
      <c r="E1727">
        <v>58372.94</v>
      </c>
      <c r="F1727">
        <v>95.2</v>
      </c>
      <c r="G1727">
        <v>341</v>
      </c>
      <c r="H1727">
        <v>159</v>
      </c>
      <c r="I1727" t="s">
        <v>21</v>
      </c>
      <c r="J1727">
        <v>5</v>
      </c>
      <c r="K1727" t="s">
        <v>22</v>
      </c>
      <c r="L1727">
        <v>5246</v>
      </c>
      <c r="M1727">
        <v>3.78</v>
      </c>
      <c r="N1727" s="6">
        <f t="shared" si="26"/>
        <v>306224443.24000001</v>
      </c>
    </row>
    <row r="1728" spans="1:14" x14ac:dyDescent="0.35">
      <c r="A1728" t="s">
        <v>49</v>
      </c>
      <c r="B1728" t="s">
        <v>87</v>
      </c>
      <c r="C1728">
        <v>2025</v>
      </c>
      <c r="D1728" t="s">
        <v>20</v>
      </c>
      <c r="E1728">
        <v>64470.9</v>
      </c>
      <c r="F1728">
        <v>46.6</v>
      </c>
      <c r="G1728">
        <v>166</v>
      </c>
      <c r="H1728">
        <v>172</v>
      </c>
      <c r="I1728" t="s">
        <v>40</v>
      </c>
      <c r="J1728">
        <v>4</v>
      </c>
      <c r="K1728" t="s">
        <v>22</v>
      </c>
      <c r="L1728">
        <v>90740</v>
      </c>
      <c r="M1728">
        <v>3.34</v>
      </c>
      <c r="N1728" s="6">
        <f t="shared" si="26"/>
        <v>5850089466</v>
      </c>
    </row>
    <row r="1729" spans="1:14" x14ac:dyDescent="0.35">
      <c r="A1729" t="s">
        <v>23</v>
      </c>
      <c r="B1729" t="s">
        <v>99</v>
      </c>
      <c r="C1729">
        <v>2025</v>
      </c>
      <c r="D1729" t="s">
        <v>20</v>
      </c>
      <c r="E1729">
        <v>70759.08</v>
      </c>
      <c r="F1729">
        <v>83.3</v>
      </c>
      <c r="G1729">
        <v>278</v>
      </c>
      <c r="H1729">
        <v>157</v>
      </c>
      <c r="I1729" t="s">
        <v>33</v>
      </c>
      <c r="J1729">
        <v>4</v>
      </c>
      <c r="K1729" t="s">
        <v>20</v>
      </c>
      <c r="L1729">
        <v>11923</v>
      </c>
      <c r="M1729">
        <v>3.61</v>
      </c>
      <c r="N1729" s="6">
        <f t="shared" si="26"/>
        <v>843660510.84000003</v>
      </c>
    </row>
    <row r="1730" spans="1:14" x14ac:dyDescent="0.35">
      <c r="A1730" t="s">
        <v>57</v>
      </c>
      <c r="B1730" t="s">
        <v>79</v>
      </c>
      <c r="C1730">
        <v>2025</v>
      </c>
      <c r="D1730" t="s">
        <v>43</v>
      </c>
      <c r="E1730">
        <v>57566.92</v>
      </c>
      <c r="F1730">
        <v>54.3</v>
      </c>
      <c r="G1730">
        <v>184</v>
      </c>
      <c r="H1730">
        <v>140</v>
      </c>
      <c r="I1730" t="s">
        <v>21</v>
      </c>
      <c r="J1730">
        <v>4</v>
      </c>
      <c r="K1730" t="s">
        <v>22</v>
      </c>
      <c r="L1730">
        <v>64630</v>
      </c>
      <c r="M1730">
        <v>3.23</v>
      </c>
      <c r="N1730" s="6">
        <f t="shared" ref="N1730:N1793" si="27">E1730*L1730</f>
        <v>3720550039.5999999</v>
      </c>
    </row>
    <row r="1731" spans="1:14" x14ac:dyDescent="0.35">
      <c r="A1731" t="s">
        <v>49</v>
      </c>
      <c r="B1731" t="s">
        <v>87</v>
      </c>
      <c r="C1731">
        <v>2025</v>
      </c>
      <c r="D1731" t="s">
        <v>43</v>
      </c>
      <c r="E1731">
        <v>37110.33</v>
      </c>
      <c r="F1731">
        <v>75.5</v>
      </c>
      <c r="G1731">
        <v>266</v>
      </c>
      <c r="H1731">
        <v>130</v>
      </c>
      <c r="I1731" t="s">
        <v>32</v>
      </c>
      <c r="J1731">
        <v>5</v>
      </c>
      <c r="K1731" t="s">
        <v>22</v>
      </c>
      <c r="L1731">
        <v>143597</v>
      </c>
      <c r="M1731">
        <v>3.54</v>
      </c>
      <c r="N1731" s="6">
        <f t="shared" si="27"/>
        <v>5328932057.0100002</v>
      </c>
    </row>
    <row r="1732" spans="1:14" x14ac:dyDescent="0.35">
      <c r="A1732" t="s">
        <v>34</v>
      </c>
      <c r="B1732" t="s">
        <v>106</v>
      </c>
      <c r="C1732">
        <v>2025</v>
      </c>
      <c r="D1732" t="s">
        <v>15</v>
      </c>
      <c r="E1732">
        <v>103655.43</v>
      </c>
      <c r="F1732">
        <v>79.599999999999994</v>
      </c>
      <c r="G1732">
        <v>307</v>
      </c>
      <c r="H1732">
        <v>197</v>
      </c>
      <c r="I1732" t="s">
        <v>25</v>
      </c>
      <c r="J1732">
        <v>4</v>
      </c>
      <c r="K1732" t="s">
        <v>17</v>
      </c>
      <c r="L1732">
        <v>54248</v>
      </c>
      <c r="M1732">
        <v>3.94</v>
      </c>
      <c r="N1732" s="6">
        <f t="shared" si="27"/>
        <v>5623099766.6399994</v>
      </c>
    </row>
    <row r="1733" spans="1:14" x14ac:dyDescent="0.35">
      <c r="A1733" t="s">
        <v>26</v>
      </c>
      <c r="B1733" t="s">
        <v>52</v>
      </c>
      <c r="C1733">
        <v>2025</v>
      </c>
      <c r="D1733" t="s">
        <v>38</v>
      </c>
      <c r="E1733">
        <v>28245.98</v>
      </c>
      <c r="F1733">
        <v>68.8</v>
      </c>
      <c r="G1733">
        <v>222</v>
      </c>
      <c r="H1733">
        <v>171</v>
      </c>
      <c r="I1733" t="s">
        <v>40</v>
      </c>
      <c r="J1733">
        <v>4</v>
      </c>
      <c r="K1733" t="s">
        <v>47</v>
      </c>
      <c r="L1733">
        <v>75515</v>
      </c>
      <c r="M1733">
        <v>3.26</v>
      </c>
      <c r="N1733" s="6">
        <f t="shared" si="27"/>
        <v>2132995179.7</v>
      </c>
    </row>
    <row r="1734" spans="1:14" x14ac:dyDescent="0.35">
      <c r="A1734" t="s">
        <v>26</v>
      </c>
      <c r="B1734" t="s">
        <v>36</v>
      </c>
      <c r="C1734">
        <v>2025</v>
      </c>
      <c r="D1734" t="s">
        <v>38</v>
      </c>
      <c r="E1734">
        <v>55056.42</v>
      </c>
      <c r="F1734">
        <v>81</v>
      </c>
      <c r="G1734">
        <v>274</v>
      </c>
      <c r="H1734">
        <v>160</v>
      </c>
      <c r="I1734" t="s">
        <v>33</v>
      </c>
      <c r="J1734">
        <v>4</v>
      </c>
      <c r="K1734" t="s">
        <v>22</v>
      </c>
      <c r="L1734">
        <v>118841</v>
      </c>
      <c r="M1734">
        <v>3.38</v>
      </c>
      <c r="N1734" s="6">
        <f t="shared" si="27"/>
        <v>6542960009.2200003</v>
      </c>
    </row>
    <row r="1735" spans="1:14" x14ac:dyDescent="0.35">
      <c r="A1735" t="s">
        <v>64</v>
      </c>
      <c r="B1735" t="s">
        <v>85</v>
      </c>
      <c r="C1735">
        <v>2025</v>
      </c>
      <c r="D1735" t="s">
        <v>38</v>
      </c>
      <c r="E1735">
        <v>76098.899999999994</v>
      </c>
      <c r="F1735">
        <v>67.8</v>
      </c>
      <c r="G1735">
        <v>221</v>
      </c>
      <c r="H1735">
        <v>150</v>
      </c>
      <c r="I1735" t="s">
        <v>21</v>
      </c>
      <c r="J1735">
        <v>5</v>
      </c>
      <c r="K1735" t="s">
        <v>20</v>
      </c>
      <c r="L1735">
        <v>36766</v>
      </c>
      <c r="M1735">
        <v>3.35</v>
      </c>
      <c r="N1735" s="6">
        <f t="shared" si="27"/>
        <v>2797852157.3999996</v>
      </c>
    </row>
    <row r="1736" spans="1:14" x14ac:dyDescent="0.35">
      <c r="A1736" t="s">
        <v>29</v>
      </c>
      <c r="B1736" t="s">
        <v>53</v>
      </c>
      <c r="C1736">
        <v>2025</v>
      </c>
      <c r="D1736" t="s">
        <v>38</v>
      </c>
      <c r="E1736">
        <v>55743.68</v>
      </c>
      <c r="F1736">
        <v>46.8</v>
      </c>
      <c r="G1736">
        <v>183</v>
      </c>
      <c r="H1736">
        <v>168</v>
      </c>
      <c r="I1736" t="s">
        <v>16</v>
      </c>
      <c r="J1736">
        <v>4</v>
      </c>
      <c r="K1736" t="s">
        <v>22</v>
      </c>
      <c r="L1736">
        <v>237895</v>
      </c>
      <c r="M1736">
        <v>3.33</v>
      </c>
      <c r="N1736" s="6">
        <f t="shared" si="27"/>
        <v>13261142753.6</v>
      </c>
    </row>
    <row r="1737" spans="1:14" x14ac:dyDescent="0.35">
      <c r="A1737" t="s">
        <v>49</v>
      </c>
      <c r="B1737" t="s">
        <v>90</v>
      </c>
      <c r="C1737">
        <v>2025</v>
      </c>
      <c r="D1737" t="s">
        <v>15</v>
      </c>
      <c r="E1737">
        <v>72352.97</v>
      </c>
      <c r="F1737">
        <v>86.6</v>
      </c>
      <c r="G1737">
        <v>289</v>
      </c>
      <c r="H1737">
        <v>200</v>
      </c>
      <c r="I1737" t="s">
        <v>25</v>
      </c>
      <c r="J1737">
        <v>3</v>
      </c>
      <c r="K1737" t="s">
        <v>20</v>
      </c>
      <c r="L1737">
        <v>107166</v>
      </c>
      <c r="M1737">
        <v>3.51</v>
      </c>
      <c r="N1737" s="6">
        <f t="shared" si="27"/>
        <v>7753778383.0200005</v>
      </c>
    </row>
    <row r="1738" spans="1:14" x14ac:dyDescent="0.35">
      <c r="A1738" t="s">
        <v>45</v>
      </c>
      <c r="B1738" t="s">
        <v>77</v>
      </c>
      <c r="C1738">
        <v>2025</v>
      </c>
      <c r="D1738" t="s">
        <v>38</v>
      </c>
      <c r="E1738">
        <v>64952.61</v>
      </c>
      <c r="F1738">
        <v>79.2</v>
      </c>
      <c r="G1738">
        <v>299</v>
      </c>
      <c r="H1738">
        <v>144</v>
      </c>
      <c r="I1738" t="s">
        <v>33</v>
      </c>
      <c r="J1738">
        <v>5</v>
      </c>
      <c r="K1738" t="s">
        <v>22</v>
      </c>
      <c r="L1738">
        <v>246706</v>
      </c>
      <c r="M1738">
        <v>3.79</v>
      </c>
      <c r="N1738" s="6">
        <f t="shared" si="27"/>
        <v>16024198602.66</v>
      </c>
    </row>
    <row r="1739" spans="1:14" x14ac:dyDescent="0.35">
      <c r="A1739" t="s">
        <v>29</v>
      </c>
      <c r="B1739" t="s">
        <v>30</v>
      </c>
      <c r="C1739">
        <v>2025</v>
      </c>
      <c r="D1739" t="s">
        <v>20</v>
      </c>
      <c r="E1739">
        <v>109716.37</v>
      </c>
      <c r="F1739">
        <v>72.900000000000006</v>
      </c>
      <c r="G1739">
        <v>254</v>
      </c>
      <c r="H1739">
        <v>140</v>
      </c>
      <c r="I1739" t="s">
        <v>16</v>
      </c>
      <c r="J1739">
        <v>5</v>
      </c>
      <c r="K1739" t="s">
        <v>17</v>
      </c>
      <c r="L1739">
        <v>176733</v>
      </c>
      <c r="M1739">
        <v>3.77</v>
      </c>
      <c r="N1739" s="6">
        <f t="shared" si="27"/>
        <v>19390503219.209999</v>
      </c>
    </row>
    <row r="1740" spans="1:14" x14ac:dyDescent="0.35">
      <c r="A1740" t="s">
        <v>45</v>
      </c>
      <c r="B1740" t="s">
        <v>63</v>
      </c>
      <c r="C1740">
        <v>2025</v>
      </c>
      <c r="D1740" t="s">
        <v>28</v>
      </c>
      <c r="E1740">
        <v>51480.21</v>
      </c>
      <c r="F1740">
        <v>84.7</v>
      </c>
      <c r="G1740">
        <v>320</v>
      </c>
      <c r="H1740">
        <v>158</v>
      </c>
      <c r="I1740" t="s">
        <v>32</v>
      </c>
      <c r="J1740">
        <v>5</v>
      </c>
      <c r="K1740" t="s">
        <v>22</v>
      </c>
      <c r="L1740">
        <v>132415</v>
      </c>
      <c r="M1740">
        <v>3.44</v>
      </c>
      <c r="N1740" s="6">
        <f t="shared" si="27"/>
        <v>6816752007.1499996</v>
      </c>
    </row>
    <row r="1741" spans="1:14" x14ac:dyDescent="0.35">
      <c r="A1741" t="s">
        <v>13</v>
      </c>
      <c r="B1741" t="s">
        <v>66</v>
      </c>
      <c r="C1741">
        <v>2025</v>
      </c>
      <c r="D1741" t="s">
        <v>43</v>
      </c>
      <c r="E1741">
        <v>53934.12</v>
      </c>
      <c r="F1741">
        <v>54.5</v>
      </c>
      <c r="G1741">
        <v>187</v>
      </c>
      <c r="H1741">
        <v>143</v>
      </c>
      <c r="I1741" t="s">
        <v>40</v>
      </c>
      <c r="J1741">
        <v>5</v>
      </c>
      <c r="K1741" t="s">
        <v>22</v>
      </c>
      <c r="L1741">
        <v>220093</v>
      </c>
      <c r="M1741">
        <v>3.36</v>
      </c>
      <c r="N1741" s="6">
        <f t="shared" si="27"/>
        <v>11870522273.16</v>
      </c>
    </row>
    <row r="1742" spans="1:14" x14ac:dyDescent="0.35">
      <c r="A1742" t="s">
        <v>29</v>
      </c>
      <c r="B1742" t="s">
        <v>53</v>
      </c>
      <c r="C1742">
        <v>2025</v>
      </c>
      <c r="D1742" t="s">
        <v>20</v>
      </c>
      <c r="E1742">
        <v>113505.79</v>
      </c>
      <c r="F1742">
        <v>80.7</v>
      </c>
      <c r="G1742">
        <v>286</v>
      </c>
      <c r="H1742">
        <v>155</v>
      </c>
      <c r="I1742" t="s">
        <v>16</v>
      </c>
      <c r="J1742">
        <v>4</v>
      </c>
      <c r="K1742" t="s">
        <v>17</v>
      </c>
      <c r="L1742">
        <v>162101</v>
      </c>
      <c r="M1742">
        <v>3.9</v>
      </c>
      <c r="N1742" s="6">
        <f t="shared" si="27"/>
        <v>18399402064.789997</v>
      </c>
    </row>
    <row r="1743" spans="1:14" x14ac:dyDescent="0.35">
      <c r="A1743" t="s">
        <v>29</v>
      </c>
      <c r="B1743" t="s">
        <v>53</v>
      </c>
      <c r="C1743">
        <v>2025</v>
      </c>
      <c r="D1743" t="s">
        <v>28</v>
      </c>
      <c r="E1743">
        <v>118632.47</v>
      </c>
      <c r="F1743">
        <v>86.9</v>
      </c>
      <c r="G1743">
        <v>300</v>
      </c>
      <c r="H1743">
        <v>168</v>
      </c>
      <c r="I1743" t="s">
        <v>16</v>
      </c>
      <c r="J1743">
        <v>5</v>
      </c>
      <c r="K1743" t="s">
        <v>17</v>
      </c>
      <c r="L1743">
        <v>209669</v>
      </c>
      <c r="M1743">
        <v>3.98</v>
      </c>
      <c r="N1743" s="6">
        <f t="shared" si="27"/>
        <v>24873551352.43</v>
      </c>
    </row>
    <row r="1744" spans="1:14" x14ac:dyDescent="0.35">
      <c r="A1744" t="s">
        <v>29</v>
      </c>
      <c r="B1744" t="s">
        <v>39</v>
      </c>
      <c r="C1744">
        <v>2025</v>
      </c>
      <c r="D1744" t="s">
        <v>38</v>
      </c>
      <c r="E1744">
        <v>66113.759999999995</v>
      </c>
      <c r="F1744">
        <v>42.6</v>
      </c>
      <c r="G1744">
        <v>168</v>
      </c>
      <c r="H1744">
        <v>137</v>
      </c>
      <c r="I1744" t="s">
        <v>40</v>
      </c>
      <c r="J1744">
        <v>4</v>
      </c>
      <c r="K1744" t="s">
        <v>20</v>
      </c>
      <c r="L1744">
        <v>185813</v>
      </c>
      <c r="M1744">
        <v>3.27</v>
      </c>
      <c r="N1744" s="6">
        <f t="shared" si="27"/>
        <v>12284796086.879999</v>
      </c>
    </row>
    <row r="1745" spans="1:14" x14ac:dyDescent="0.35">
      <c r="A1745" t="s">
        <v>29</v>
      </c>
      <c r="B1745" t="s">
        <v>39</v>
      </c>
      <c r="C1745">
        <v>2025</v>
      </c>
      <c r="D1745" t="s">
        <v>15</v>
      </c>
      <c r="E1745">
        <v>169177.37</v>
      </c>
      <c r="F1745">
        <v>89.9</v>
      </c>
      <c r="G1745">
        <v>303</v>
      </c>
      <c r="H1745">
        <v>200</v>
      </c>
      <c r="I1745" t="s">
        <v>21</v>
      </c>
      <c r="J1745">
        <v>4</v>
      </c>
      <c r="K1745" t="s">
        <v>17</v>
      </c>
      <c r="L1745">
        <v>130032</v>
      </c>
      <c r="M1745">
        <v>3.68</v>
      </c>
      <c r="N1745" s="6">
        <f t="shared" si="27"/>
        <v>21998471775.84</v>
      </c>
    </row>
    <row r="1746" spans="1:14" x14ac:dyDescent="0.35">
      <c r="A1746" t="s">
        <v>45</v>
      </c>
      <c r="B1746" t="s">
        <v>48</v>
      </c>
      <c r="C1746">
        <v>2025</v>
      </c>
      <c r="D1746" t="s">
        <v>38</v>
      </c>
      <c r="E1746">
        <v>39603.870000000003</v>
      </c>
      <c r="F1746">
        <v>75.099999999999994</v>
      </c>
      <c r="G1746">
        <v>266</v>
      </c>
      <c r="H1746">
        <v>158</v>
      </c>
      <c r="I1746" t="s">
        <v>25</v>
      </c>
      <c r="J1746">
        <v>5</v>
      </c>
      <c r="K1746" t="s">
        <v>22</v>
      </c>
      <c r="L1746">
        <v>195375</v>
      </c>
      <c r="M1746">
        <v>3.46</v>
      </c>
      <c r="N1746" s="6">
        <f t="shared" si="27"/>
        <v>7737606101.250001</v>
      </c>
    </row>
    <row r="1747" spans="1:14" x14ac:dyDescent="0.35">
      <c r="A1747" t="s">
        <v>29</v>
      </c>
      <c r="B1747" t="s">
        <v>30</v>
      </c>
      <c r="C1747">
        <v>2025</v>
      </c>
      <c r="D1747" t="s">
        <v>43</v>
      </c>
      <c r="E1747">
        <v>27829.58</v>
      </c>
      <c r="F1747">
        <v>72.900000000000006</v>
      </c>
      <c r="G1747">
        <v>249</v>
      </c>
      <c r="H1747">
        <v>177</v>
      </c>
      <c r="I1747" t="s">
        <v>25</v>
      </c>
      <c r="J1747">
        <v>4</v>
      </c>
      <c r="K1747" t="s">
        <v>47</v>
      </c>
      <c r="L1747">
        <v>110913</v>
      </c>
      <c r="M1747">
        <v>3.78</v>
      </c>
      <c r="N1747" s="6">
        <f t="shared" si="27"/>
        <v>3086662206.54</v>
      </c>
    </row>
    <row r="1748" spans="1:14" x14ac:dyDescent="0.35">
      <c r="A1748" t="s">
        <v>64</v>
      </c>
      <c r="B1748" t="s">
        <v>70</v>
      </c>
      <c r="C1748">
        <v>2025</v>
      </c>
      <c r="D1748" t="s">
        <v>43</v>
      </c>
      <c r="E1748">
        <v>104401.84</v>
      </c>
      <c r="F1748">
        <v>73.3</v>
      </c>
      <c r="G1748">
        <v>250</v>
      </c>
      <c r="H1748">
        <v>178</v>
      </c>
      <c r="I1748" t="s">
        <v>33</v>
      </c>
      <c r="J1748">
        <v>5</v>
      </c>
      <c r="K1748" t="s">
        <v>17</v>
      </c>
      <c r="L1748">
        <v>64517</v>
      </c>
      <c r="M1748">
        <v>3.56</v>
      </c>
      <c r="N1748" s="6">
        <f t="shared" si="27"/>
        <v>6735693511.2799997</v>
      </c>
    </row>
    <row r="1749" spans="1:14" x14ac:dyDescent="0.35">
      <c r="A1749" t="s">
        <v>57</v>
      </c>
      <c r="B1749" t="s">
        <v>72</v>
      </c>
      <c r="C1749">
        <v>2025</v>
      </c>
      <c r="D1749" t="s">
        <v>15</v>
      </c>
      <c r="E1749">
        <v>55789.82</v>
      </c>
      <c r="F1749">
        <v>103.1</v>
      </c>
      <c r="G1749">
        <v>355</v>
      </c>
      <c r="H1749">
        <v>200</v>
      </c>
      <c r="I1749" t="s">
        <v>16</v>
      </c>
      <c r="J1749">
        <v>3</v>
      </c>
      <c r="K1749" t="s">
        <v>22</v>
      </c>
      <c r="L1749">
        <v>58686</v>
      </c>
      <c r="M1749">
        <v>4</v>
      </c>
      <c r="N1749" s="6">
        <f t="shared" si="27"/>
        <v>3274081376.52</v>
      </c>
    </row>
    <row r="1750" spans="1:14" x14ac:dyDescent="0.35">
      <c r="A1750" t="s">
        <v>26</v>
      </c>
      <c r="B1750" t="s">
        <v>52</v>
      </c>
      <c r="C1750">
        <v>2025</v>
      </c>
      <c r="D1750" t="s">
        <v>38</v>
      </c>
      <c r="E1750">
        <v>48934.98</v>
      </c>
      <c r="F1750">
        <v>67</v>
      </c>
      <c r="G1750">
        <v>228</v>
      </c>
      <c r="H1750">
        <v>154</v>
      </c>
      <c r="I1750" t="s">
        <v>33</v>
      </c>
      <c r="J1750">
        <v>5</v>
      </c>
      <c r="K1750" t="s">
        <v>22</v>
      </c>
      <c r="L1750">
        <v>106640</v>
      </c>
      <c r="M1750">
        <v>3.38</v>
      </c>
      <c r="N1750" s="6">
        <f t="shared" si="27"/>
        <v>5218426267.2000008</v>
      </c>
    </row>
    <row r="1751" spans="1:14" x14ac:dyDescent="0.35">
      <c r="A1751" t="s">
        <v>26</v>
      </c>
      <c r="B1751" t="s">
        <v>27</v>
      </c>
      <c r="C1751">
        <v>2025</v>
      </c>
      <c r="D1751" t="s">
        <v>20</v>
      </c>
      <c r="E1751">
        <v>89200.56</v>
      </c>
      <c r="F1751">
        <v>62.2</v>
      </c>
      <c r="G1751">
        <v>211</v>
      </c>
      <c r="H1751">
        <v>149</v>
      </c>
      <c r="I1751" t="s">
        <v>21</v>
      </c>
      <c r="J1751">
        <v>4</v>
      </c>
      <c r="K1751" t="s">
        <v>20</v>
      </c>
      <c r="L1751">
        <v>55676</v>
      </c>
      <c r="M1751">
        <v>3</v>
      </c>
      <c r="N1751" s="6">
        <f t="shared" si="27"/>
        <v>4966330378.5599995</v>
      </c>
    </row>
    <row r="1752" spans="1:14" x14ac:dyDescent="0.35">
      <c r="A1752" t="s">
        <v>64</v>
      </c>
      <c r="B1752" t="s">
        <v>85</v>
      </c>
      <c r="C1752">
        <v>2025</v>
      </c>
      <c r="D1752" t="s">
        <v>28</v>
      </c>
      <c r="E1752">
        <v>133417.07</v>
      </c>
      <c r="F1752">
        <v>99.6</v>
      </c>
      <c r="G1752">
        <v>348</v>
      </c>
      <c r="H1752">
        <v>178</v>
      </c>
      <c r="I1752" t="s">
        <v>25</v>
      </c>
      <c r="J1752">
        <v>4</v>
      </c>
      <c r="K1752" t="s">
        <v>17</v>
      </c>
      <c r="L1752">
        <v>53580</v>
      </c>
      <c r="M1752">
        <v>3.85</v>
      </c>
      <c r="N1752" s="6">
        <f t="shared" si="27"/>
        <v>7148486610.6000004</v>
      </c>
    </row>
    <row r="1753" spans="1:14" x14ac:dyDescent="0.35">
      <c r="A1753" t="s">
        <v>57</v>
      </c>
      <c r="B1753" t="s">
        <v>79</v>
      </c>
      <c r="C1753">
        <v>2025</v>
      </c>
      <c r="D1753" t="s">
        <v>15</v>
      </c>
      <c r="E1753">
        <v>63490.76</v>
      </c>
      <c r="F1753">
        <v>108</v>
      </c>
      <c r="G1753">
        <v>370</v>
      </c>
      <c r="H1753">
        <v>196</v>
      </c>
      <c r="I1753" t="s">
        <v>40</v>
      </c>
      <c r="J1753">
        <v>4</v>
      </c>
      <c r="K1753" t="s">
        <v>22</v>
      </c>
      <c r="L1753">
        <v>37708</v>
      </c>
      <c r="M1753">
        <v>3.81</v>
      </c>
      <c r="N1753" s="6">
        <f t="shared" si="27"/>
        <v>2394109578.0799999</v>
      </c>
    </row>
    <row r="1754" spans="1:14" x14ac:dyDescent="0.35">
      <c r="A1754" t="s">
        <v>45</v>
      </c>
      <c r="B1754" t="s">
        <v>63</v>
      </c>
      <c r="C1754">
        <v>2025</v>
      </c>
      <c r="D1754" t="s">
        <v>20</v>
      </c>
      <c r="E1754">
        <v>109495.59</v>
      </c>
      <c r="F1754">
        <v>62.3</v>
      </c>
      <c r="G1754">
        <v>209</v>
      </c>
      <c r="H1754">
        <v>147</v>
      </c>
      <c r="I1754" t="s">
        <v>32</v>
      </c>
      <c r="J1754">
        <v>4</v>
      </c>
      <c r="K1754" t="s">
        <v>17</v>
      </c>
      <c r="L1754">
        <v>180168</v>
      </c>
      <c r="M1754">
        <v>3.53</v>
      </c>
      <c r="N1754" s="6">
        <f t="shared" si="27"/>
        <v>19727601459.119999</v>
      </c>
    </row>
    <row r="1755" spans="1:14" x14ac:dyDescent="0.35">
      <c r="A1755" t="s">
        <v>23</v>
      </c>
      <c r="B1755" t="s">
        <v>99</v>
      </c>
      <c r="C1755">
        <v>2025</v>
      </c>
      <c r="D1755" t="s">
        <v>38</v>
      </c>
      <c r="E1755">
        <v>62818</v>
      </c>
      <c r="F1755">
        <v>73.599999999999994</v>
      </c>
      <c r="G1755">
        <v>282</v>
      </c>
      <c r="H1755">
        <v>140</v>
      </c>
      <c r="I1755" t="s">
        <v>32</v>
      </c>
      <c r="J1755">
        <v>5</v>
      </c>
      <c r="K1755" t="s">
        <v>22</v>
      </c>
      <c r="L1755">
        <v>4921</v>
      </c>
      <c r="M1755">
        <v>3.66</v>
      </c>
      <c r="N1755" s="6">
        <f t="shared" si="27"/>
        <v>309127378</v>
      </c>
    </row>
    <row r="1756" spans="1:14" x14ac:dyDescent="0.35">
      <c r="A1756" t="s">
        <v>13</v>
      </c>
      <c r="B1756" t="s">
        <v>66</v>
      </c>
      <c r="C1756">
        <v>2025</v>
      </c>
      <c r="D1756" t="s">
        <v>15</v>
      </c>
      <c r="E1756">
        <v>46781.599999999999</v>
      </c>
      <c r="F1756">
        <v>118.1</v>
      </c>
      <c r="G1756">
        <v>405</v>
      </c>
      <c r="H1756">
        <v>200</v>
      </c>
      <c r="I1756" t="s">
        <v>16</v>
      </c>
      <c r="J1756">
        <v>5</v>
      </c>
      <c r="K1756" t="s">
        <v>22</v>
      </c>
      <c r="L1756">
        <v>268903</v>
      </c>
      <c r="M1756">
        <v>3.86</v>
      </c>
      <c r="N1756" s="6">
        <f t="shared" si="27"/>
        <v>12579712584.799999</v>
      </c>
    </row>
    <row r="1757" spans="1:14" x14ac:dyDescent="0.35">
      <c r="A1757" t="s">
        <v>26</v>
      </c>
      <c r="B1757" t="s">
        <v>96</v>
      </c>
      <c r="C1757">
        <v>2025</v>
      </c>
      <c r="D1757" t="s">
        <v>15</v>
      </c>
      <c r="E1757">
        <v>117355.84</v>
      </c>
      <c r="F1757">
        <v>92.1</v>
      </c>
      <c r="G1757">
        <v>333</v>
      </c>
      <c r="H1757">
        <v>191</v>
      </c>
      <c r="I1757" t="s">
        <v>33</v>
      </c>
      <c r="J1757">
        <v>4</v>
      </c>
      <c r="K1757" t="s">
        <v>17</v>
      </c>
      <c r="L1757">
        <v>136386</v>
      </c>
      <c r="M1757">
        <v>3.73</v>
      </c>
      <c r="N1757" s="6">
        <f t="shared" si="27"/>
        <v>16005693594.24</v>
      </c>
    </row>
    <row r="1758" spans="1:14" x14ac:dyDescent="0.35">
      <c r="A1758" t="s">
        <v>111</v>
      </c>
      <c r="B1758" t="s">
        <v>112</v>
      </c>
      <c r="C1758">
        <v>2025</v>
      </c>
      <c r="D1758" t="s">
        <v>38</v>
      </c>
      <c r="E1758">
        <v>55836.28</v>
      </c>
      <c r="F1758">
        <v>53.9</v>
      </c>
      <c r="G1758">
        <v>182</v>
      </c>
      <c r="H1758">
        <v>137</v>
      </c>
      <c r="I1758" t="s">
        <v>21</v>
      </c>
      <c r="J1758">
        <v>4</v>
      </c>
      <c r="K1758" t="s">
        <v>22</v>
      </c>
      <c r="L1758">
        <v>22178</v>
      </c>
      <c r="M1758">
        <v>3.55</v>
      </c>
      <c r="N1758" s="6">
        <f t="shared" si="27"/>
        <v>1238337017.8399999</v>
      </c>
    </row>
    <row r="1759" spans="1:14" x14ac:dyDescent="0.35">
      <c r="A1759" t="s">
        <v>75</v>
      </c>
      <c r="B1759" t="s">
        <v>101</v>
      </c>
      <c r="C1759">
        <v>2025</v>
      </c>
      <c r="D1759" t="s">
        <v>28</v>
      </c>
      <c r="E1759">
        <v>102186.85</v>
      </c>
      <c r="F1759">
        <v>81</v>
      </c>
      <c r="G1759">
        <v>292</v>
      </c>
      <c r="H1759">
        <v>180</v>
      </c>
      <c r="I1759" t="s">
        <v>32</v>
      </c>
      <c r="J1759">
        <v>5</v>
      </c>
      <c r="K1759" t="s">
        <v>17</v>
      </c>
      <c r="L1759">
        <v>2112</v>
      </c>
      <c r="M1759">
        <v>3.37</v>
      </c>
      <c r="N1759" s="6">
        <f t="shared" si="27"/>
        <v>215818627.20000002</v>
      </c>
    </row>
    <row r="1760" spans="1:14" x14ac:dyDescent="0.35">
      <c r="A1760" t="s">
        <v>64</v>
      </c>
      <c r="B1760" t="s">
        <v>97</v>
      </c>
      <c r="C1760">
        <v>2025</v>
      </c>
      <c r="D1760" t="s">
        <v>28</v>
      </c>
      <c r="E1760">
        <v>101731.56</v>
      </c>
      <c r="F1760">
        <v>98.6</v>
      </c>
      <c r="G1760">
        <v>360</v>
      </c>
      <c r="H1760">
        <v>183</v>
      </c>
      <c r="I1760" t="s">
        <v>16</v>
      </c>
      <c r="J1760">
        <v>4</v>
      </c>
      <c r="K1760" t="s">
        <v>17</v>
      </c>
      <c r="L1760">
        <v>41594</v>
      </c>
      <c r="M1760">
        <v>3.71</v>
      </c>
      <c r="N1760" s="6">
        <f t="shared" si="27"/>
        <v>4231422506.6399999</v>
      </c>
    </row>
    <row r="1761" spans="1:14" x14ac:dyDescent="0.35">
      <c r="A1761" t="s">
        <v>57</v>
      </c>
      <c r="B1761" t="s">
        <v>72</v>
      </c>
      <c r="C1761">
        <v>2025</v>
      </c>
      <c r="D1761" t="s">
        <v>20</v>
      </c>
      <c r="E1761">
        <v>53246.45</v>
      </c>
      <c r="F1761">
        <v>42.9</v>
      </c>
      <c r="G1761">
        <v>171</v>
      </c>
      <c r="H1761">
        <v>137</v>
      </c>
      <c r="I1761" t="s">
        <v>16</v>
      </c>
      <c r="J1761">
        <v>4</v>
      </c>
      <c r="K1761" t="s">
        <v>22</v>
      </c>
      <c r="L1761">
        <v>30016</v>
      </c>
      <c r="M1761">
        <v>3.29</v>
      </c>
      <c r="N1761" s="6">
        <f t="shared" si="27"/>
        <v>1598245443.1999998</v>
      </c>
    </row>
    <row r="1762" spans="1:14" x14ac:dyDescent="0.35">
      <c r="A1762" t="s">
        <v>29</v>
      </c>
      <c r="B1762" t="s">
        <v>39</v>
      </c>
      <c r="C1762">
        <v>2025</v>
      </c>
      <c r="D1762" t="s">
        <v>20</v>
      </c>
      <c r="E1762">
        <v>176582.51</v>
      </c>
      <c r="F1762">
        <v>50.4</v>
      </c>
      <c r="G1762">
        <v>188</v>
      </c>
      <c r="H1762">
        <v>153</v>
      </c>
      <c r="I1762" t="s">
        <v>21</v>
      </c>
      <c r="J1762">
        <v>4</v>
      </c>
      <c r="K1762" t="s">
        <v>17</v>
      </c>
      <c r="L1762">
        <v>199834</v>
      </c>
      <c r="M1762">
        <v>3.74</v>
      </c>
      <c r="N1762" s="6">
        <f t="shared" si="27"/>
        <v>35287189303.340004</v>
      </c>
    </row>
    <row r="1763" spans="1:14" x14ac:dyDescent="0.35">
      <c r="A1763" t="s">
        <v>13</v>
      </c>
      <c r="B1763" t="s">
        <v>56</v>
      </c>
      <c r="C1763">
        <v>2025</v>
      </c>
      <c r="D1763" t="s">
        <v>15</v>
      </c>
      <c r="E1763">
        <v>86735.2</v>
      </c>
      <c r="F1763">
        <v>77.5</v>
      </c>
      <c r="G1763">
        <v>296</v>
      </c>
      <c r="H1763">
        <v>188</v>
      </c>
      <c r="I1763" t="s">
        <v>25</v>
      </c>
      <c r="J1763">
        <v>5</v>
      </c>
      <c r="K1763" t="s">
        <v>20</v>
      </c>
      <c r="L1763">
        <v>261533</v>
      </c>
      <c r="M1763">
        <v>3.15</v>
      </c>
      <c r="N1763" s="6">
        <f t="shared" si="27"/>
        <v>22684117061.599998</v>
      </c>
    </row>
    <row r="1764" spans="1:14" x14ac:dyDescent="0.35">
      <c r="A1764" t="s">
        <v>29</v>
      </c>
      <c r="B1764" t="s">
        <v>53</v>
      </c>
      <c r="C1764">
        <v>2025</v>
      </c>
      <c r="D1764" t="s">
        <v>38</v>
      </c>
      <c r="E1764">
        <v>98106.32</v>
      </c>
      <c r="F1764">
        <v>49.7</v>
      </c>
      <c r="G1764">
        <v>172</v>
      </c>
      <c r="H1764">
        <v>143</v>
      </c>
      <c r="I1764" t="s">
        <v>16</v>
      </c>
      <c r="J1764">
        <v>4</v>
      </c>
      <c r="K1764" t="s">
        <v>20</v>
      </c>
      <c r="L1764">
        <v>221459</v>
      </c>
      <c r="M1764">
        <v>3.6</v>
      </c>
      <c r="N1764" s="6">
        <f t="shared" si="27"/>
        <v>21726527520.880001</v>
      </c>
    </row>
    <row r="1765" spans="1:14" x14ac:dyDescent="0.35">
      <c r="A1765" t="s">
        <v>34</v>
      </c>
      <c r="B1765" t="s">
        <v>84</v>
      </c>
      <c r="C1765">
        <v>2025</v>
      </c>
      <c r="D1765" t="s">
        <v>20</v>
      </c>
      <c r="E1765">
        <v>92407.64</v>
      </c>
      <c r="F1765">
        <v>58</v>
      </c>
      <c r="G1765">
        <v>199</v>
      </c>
      <c r="H1765">
        <v>167</v>
      </c>
      <c r="I1765" t="s">
        <v>40</v>
      </c>
      <c r="J1765">
        <v>4</v>
      </c>
      <c r="K1765" t="s">
        <v>20</v>
      </c>
      <c r="L1765">
        <v>22464</v>
      </c>
      <c r="M1765">
        <v>3.52</v>
      </c>
      <c r="N1765" s="6">
        <f t="shared" si="27"/>
        <v>2075845224.96</v>
      </c>
    </row>
    <row r="1766" spans="1:14" x14ac:dyDescent="0.35">
      <c r="A1766" t="s">
        <v>49</v>
      </c>
      <c r="B1766" t="s">
        <v>50</v>
      </c>
      <c r="C1766">
        <v>2025</v>
      </c>
      <c r="D1766" t="s">
        <v>28</v>
      </c>
      <c r="E1766">
        <v>92989.48</v>
      </c>
      <c r="F1766">
        <v>91</v>
      </c>
      <c r="G1766">
        <v>315</v>
      </c>
      <c r="H1766">
        <v>166</v>
      </c>
      <c r="I1766" t="s">
        <v>21</v>
      </c>
      <c r="J1766">
        <v>5</v>
      </c>
      <c r="K1766" t="s">
        <v>20</v>
      </c>
      <c r="L1766">
        <v>132728</v>
      </c>
      <c r="M1766">
        <v>3.62</v>
      </c>
      <c r="N1766" s="6">
        <f t="shared" si="27"/>
        <v>12342307701.439999</v>
      </c>
    </row>
    <row r="1767" spans="1:14" x14ac:dyDescent="0.35">
      <c r="A1767" t="s">
        <v>34</v>
      </c>
      <c r="B1767" t="s">
        <v>44</v>
      </c>
      <c r="C1767">
        <v>2025</v>
      </c>
      <c r="D1767" t="s">
        <v>28</v>
      </c>
      <c r="E1767">
        <v>102050.83</v>
      </c>
      <c r="F1767">
        <v>92.4</v>
      </c>
      <c r="G1767">
        <v>312</v>
      </c>
      <c r="H1767">
        <v>178</v>
      </c>
      <c r="I1767" t="s">
        <v>33</v>
      </c>
      <c r="J1767">
        <v>5</v>
      </c>
      <c r="K1767" t="s">
        <v>17</v>
      </c>
      <c r="L1767">
        <v>26785</v>
      </c>
      <c r="M1767">
        <v>3.93</v>
      </c>
      <c r="N1767" s="6">
        <f t="shared" si="27"/>
        <v>2733431481.5500002</v>
      </c>
    </row>
    <row r="1768" spans="1:14" x14ac:dyDescent="0.35">
      <c r="A1768" t="s">
        <v>57</v>
      </c>
      <c r="B1768" t="s">
        <v>58</v>
      </c>
      <c r="C1768">
        <v>2025</v>
      </c>
      <c r="D1768" t="s">
        <v>28</v>
      </c>
      <c r="E1768">
        <v>62237.09</v>
      </c>
      <c r="F1768">
        <v>86.7</v>
      </c>
      <c r="G1768">
        <v>299</v>
      </c>
      <c r="H1768">
        <v>166</v>
      </c>
      <c r="I1768" t="s">
        <v>40</v>
      </c>
      <c r="J1768">
        <v>5</v>
      </c>
      <c r="K1768" t="s">
        <v>22</v>
      </c>
      <c r="L1768">
        <v>34572</v>
      </c>
      <c r="M1768">
        <v>3.49</v>
      </c>
      <c r="N1768" s="6">
        <f t="shared" si="27"/>
        <v>2151660675.48</v>
      </c>
    </row>
    <row r="1769" spans="1:14" x14ac:dyDescent="0.35">
      <c r="A1769" t="s">
        <v>29</v>
      </c>
      <c r="B1769" t="s">
        <v>53</v>
      </c>
      <c r="C1769">
        <v>2025</v>
      </c>
      <c r="D1769" t="s">
        <v>28</v>
      </c>
      <c r="E1769">
        <v>45726.22</v>
      </c>
      <c r="F1769">
        <v>92.1</v>
      </c>
      <c r="G1769">
        <v>327</v>
      </c>
      <c r="H1769">
        <v>161</v>
      </c>
      <c r="I1769" t="s">
        <v>16</v>
      </c>
      <c r="J1769">
        <v>5</v>
      </c>
      <c r="K1769" t="s">
        <v>22</v>
      </c>
      <c r="L1769">
        <v>240212</v>
      </c>
      <c r="M1769">
        <v>3.99</v>
      </c>
      <c r="N1769" s="6">
        <f t="shared" si="27"/>
        <v>10983986758.639999</v>
      </c>
    </row>
    <row r="1770" spans="1:14" x14ac:dyDescent="0.35">
      <c r="A1770" t="s">
        <v>29</v>
      </c>
      <c r="B1770" t="s">
        <v>31</v>
      </c>
      <c r="C1770">
        <v>2025</v>
      </c>
      <c r="D1770" t="s">
        <v>28</v>
      </c>
      <c r="E1770">
        <v>107944.96000000001</v>
      </c>
      <c r="F1770">
        <v>81</v>
      </c>
      <c r="G1770">
        <v>289</v>
      </c>
      <c r="H1770">
        <v>162</v>
      </c>
      <c r="I1770" t="s">
        <v>32</v>
      </c>
      <c r="J1770">
        <v>4</v>
      </c>
      <c r="K1770" t="s">
        <v>17</v>
      </c>
      <c r="L1770">
        <v>410789</v>
      </c>
      <c r="M1770">
        <v>3.91</v>
      </c>
      <c r="N1770" s="6">
        <f t="shared" si="27"/>
        <v>44342602173.440002</v>
      </c>
    </row>
    <row r="1771" spans="1:14" x14ac:dyDescent="0.35">
      <c r="A1771" t="s">
        <v>57</v>
      </c>
      <c r="B1771" t="s">
        <v>62</v>
      </c>
      <c r="C1771">
        <v>2025</v>
      </c>
      <c r="D1771" t="s">
        <v>38</v>
      </c>
      <c r="E1771">
        <v>61660.35</v>
      </c>
      <c r="F1771">
        <v>67.900000000000006</v>
      </c>
      <c r="G1771">
        <v>221</v>
      </c>
      <c r="H1771">
        <v>167</v>
      </c>
      <c r="I1771" t="s">
        <v>33</v>
      </c>
      <c r="J1771">
        <v>4</v>
      </c>
      <c r="K1771" t="s">
        <v>22</v>
      </c>
      <c r="L1771">
        <v>27087</v>
      </c>
      <c r="M1771">
        <v>3.6</v>
      </c>
      <c r="N1771" s="6">
        <f t="shared" si="27"/>
        <v>1670193900.45</v>
      </c>
    </row>
    <row r="1772" spans="1:14" x14ac:dyDescent="0.35">
      <c r="A1772" t="s">
        <v>29</v>
      </c>
      <c r="B1772" t="s">
        <v>30</v>
      </c>
      <c r="C1772">
        <v>2025</v>
      </c>
      <c r="D1772" t="s">
        <v>43</v>
      </c>
      <c r="E1772">
        <v>72436.36</v>
      </c>
      <c r="F1772">
        <v>83</v>
      </c>
      <c r="G1772">
        <v>289</v>
      </c>
      <c r="H1772">
        <v>147</v>
      </c>
      <c r="I1772" t="s">
        <v>25</v>
      </c>
      <c r="J1772">
        <v>3</v>
      </c>
      <c r="K1772" t="s">
        <v>20</v>
      </c>
      <c r="L1772">
        <v>139369</v>
      </c>
      <c r="M1772">
        <v>3.74</v>
      </c>
      <c r="N1772" s="6">
        <f t="shared" si="27"/>
        <v>10095383056.84</v>
      </c>
    </row>
    <row r="1773" spans="1:14" x14ac:dyDescent="0.35">
      <c r="A1773" t="s">
        <v>26</v>
      </c>
      <c r="B1773" t="s">
        <v>61</v>
      </c>
      <c r="C1773">
        <v>2025</v>
      </c>
      <c r="D1773" t="s">
        <v>28</v>
      </c>
      <c r="E1773">
        <v>49012.19</v>
      </c>
      <c r="F1773">
        <v>102.8</v>
      </c>
      <c r="G1773">
        <v>368</v>
      </c>
      <c r="H1773">
        <v>185</v>
      </c>
      <c r="I1773" t="s">
        <v>21</v>
      </c>
      <c r="J1773">
        <v>5</v>
      </c>
      <c r="K1773" t="s">
        <v>22</v>
      </c>
      <c r="L1773">
        <v>114969</v>
      </c>
      <c r="M1773">
        <v>3.93</v>
      </c>
      <c r="N1773" s="6">
        <f t="shared" si="27"/>
        <v>5634882472.1100006</v>
      </c>
    </row>
    <row r="1774" spans="1:14" x14ac:dyDescent="0.35">
      <c r="A1774" t="s">
        <v>29</v>
      </c>
      <c r="B1774" t="s">
        <v>30</v>
      </c>
      <c r="C1774">
        <v>2025</v>
      </c>
      <c r="D1774" t="s">
        <v>28</v>
      </c>
      <c r="E1774">
        <v>49281.26</v>
      </c>
      <c r="F1774">
        <v>90.6</v>
      </c>
      <c r="G1774">
        <v>325</v>
      </c>
      <c r="H1774">
        <v>167</v>
      </c>
      <c r="I1774" t="s">
        <v>16</v>
      </c>
      <c r="J1774">
        <v>3</v>
      </c>
      <c r="K1774" t="s">
        <v>22</v>
      </c>
      <c r="L1774">
        <v>224804</v>
      </c>
      <c r="M1774">
        <v>4.0999999999999996</v>
      </c>
      <c r="N1774" s="6">
        <f t="shared" si="27"/>
        <v>11078624373.040001</v>
      </c>
    </row>
    <row r="1775" spans="1:14" x14ac:dyDescent="0.35">
      <c r="A1775" t="s">
        <v>45</v>
      </c>
      <c r="B1775" t="s">
        <v>88</v>
      </c>
      <c r="C1775">
        <v>2025</v>
      </c>
      <c r="D1775" t="s">
        <v>20</v>
      </c>
      <c r="E1775">
        <v>47547.88</v>
      </c>
      <c r="F1775">
        <v>67.400000000000006</v>
      </c>
      <c r="G1775">
        <v>246</v>
      </c>
      <c r="H1775">
        <v>156</v>
      </c>
      <c r="I1775" t="s">
        <v>33</v>
      </c>
      <c r="J1775">
        <v>4</v>
      </c>
      <c r="K1775" t="s">
        <v>22</v>
      </c>
      <c r="L1775">
        <v>214113</v>
      </c>
      <c r="M1775">
        <v>3.41</v>
      </c>
      <c r="N1775" s="6">
        <f t="shared" si="27"/>
        <v>10180619230.439999</v>
      </c>
    </row>
    <row r="1776" spans="1:14" x14ac:dyDescent="0.35">
      <c r="A1776" t="s">
        <v>29</v>
      </c>
      <c r="B1776" t="s">
        <v>39</v>
      </c>
      <c r="C1776">
        <v>2026</v>
      </c>
      <c r="D1776" t="s">
        <v>28</v>
      </c>
      <c r="E1776">
        <v>134165.81</v>
      </c>
      <c r="F1776">
        <v>103.2</v>
      </c>
      <c r="G1776">
        <v>347</v>
      </c>
      <c r="H1776">
        <v>187</v>
      </c>
      <c r="I1776" t="s">
        <v>40</v>
      </c>
      <c r="J1776">
        <v>4</v>
      </c>
      <c r="K1776" t="s">
        <v>17</v>
      </c>
      <c r="L1776">
        <v>211478</v>
      </c>
      <c r="M1776">
        <v>3.78</v>
      </c>
      <c r="N1776" s="6">
        <f t="shared" si="27"/>
        <v>28373117167.18</v>
      </c>
    </row>
    <row r="1777" spans="1:14" x14ac:dyDescent="0.35">
      <c r="A1777" t="s">
        <v>13</v>
      </c>
      <c r="B1777" t="s">
        <v>56</v>
      </c>
      <c r="C1777">
        <v>2026</v>
      </c>
      <c r="D1777" t="s">
        <v>43</v>
      </c>
      <c r="E1777">
        <v>59824.88</v>
      </c>
      <c r="F1777">
        <v>70.900000000000006</v>
      </c>
      <c r="G1777">
        <v>263</v>
      </c>
      <c r="H1777">
        <v>167</v>
      </c>
      <c r="I1777" t="s">
        <v>40</v>
      </c>
      <c r="J1777">
        <v>3</v>
      </c>
      <c r="K1777" t="s">
        <v>22</v>
      </c>
      <c r="L1777">
        <v>293709</v>
      </c>
      <c r="M1777">
        <v>3.28</v>
      </c>
      <c r="N1777" s="6">
        <f t="shared" si="27"/>
        <v>17571105679.919998</v>
      </c>
    </row>
    <row r="1778" spans="1:14" x14ac:dyDescent="0.35">
      <c r="A1778" t="s">
        <v>41</v>
      </c>
      <c r="B1778" t="s">
        <v>42</v>
      </c>
      <c r="C1778">
        <v>2026</v>
      </c>
      <c r="D1778" t="s">
        <v>38</v>
      </c>
      <c r="E1778">
        <v>50395.94</v>
      </c>
      <c r="F1778">
        <v>63.9</v>
      </c>
      <c r="G1778">
        <v>243</v>
      </c>
      <c r="H1778">
        <v>147</v>
      </c>
      <c r="I1778" t="s">
        <v>40</v>
      </c>
      <c r="J1778">
        <v>5</v>
      </c>
      <c r="K1778" t="s">
        <v>22</v>
      </c>
      <c r="L1778">
        <v>11950</v>
      </c>
      <c r="M1778">
        <v>3.48</v>
      </c>
      <c r="N1778" s="6">
        <f t="shared" si="27"/>
        <v>602231483</v>
      </c>
    </row>
    <row r="1779" spans="1:14" x14ac:dyDescent="0.35">
      <c r="A1779" t="s">
        <v>57</v>
      </c>
      <c r="B1779" t="s">
        <v>72</v>
      </c>
      <c r="C1779">
        <v>2026</v>
      </c>
      <c r="D1779" t="s">
        <v>38</v>
      </c>
      <c r="E1779">
        <v>52266.720000000001</v>
      </c>
      <c r="F1779">
        <v>73.400000000000006</v>
      </c>
      <c r="G1779">
        <v>268</v>
      </c>
      <c r="H1779">
        <v>137</v>
      </c>
      <c r="I1779" t="s">
        <v>16</v>
      </c>
      <c r="J1779">
        <v>5</v>
      </c>
      <c r="K1779" t="s">
        <v>22</v>
      </c>
      <c r="L1779">
        <v>62843</v>
      </c>
      <c r="M1779">
        <v>3.72</v>
      </c>
      <c r="N1779" s="6">
        <f t="shared" si="27"/>
        <v>3284597484.96</v>
      </c>
    </row>
    <row r="1780" spans="1:14" x14ac:dyDescent="0.35">
      <c r="A1780" t="s">
        <v>45</v>
      </c>
      <c r="B1780" t="s">
        <v>69</v>
      </c>
      <c r="C1780">
        <v>2026</v>
      </c>
      <c r="D1780" t="s">
        <v>15</v>
      </c>
      <c r="E1780">
        <v>101561.3</v>
      </c>
      <c r="F1780">
        <v>101.6</v>
      </c>
      <c r="G1780">
        <v>329</v>
      </c>
      <c r="H1780">
        <v>200</v>
      </c>
      <c r="I1780" t="s">
        <v>16</v>
      </c>
      <c r="J1780">
        <v>3</v>
      </c>
      <c r="K1780" t="s">
        <v>17</v>
      </c>
      <c r="L1780">
        <v>216998</v>
      </c>
      <c r="M1780">
        <v>3.69</v>
      </c>
      <c r="N1780" s="6">
        <f t="shared" si="27"/>
        <v>22038598977.400002</v>
      </c>
    </row>
    <row r="1781" spans="1:14" x14ac:dyDescent="0.35">
      <c r="A1781" t="s">
        <v>23</v>
      </c>
      <c r="B1781" t="s">
        <v>82</v>
      </c>
      <c r="C1781">
        <v>2026</v>
      </c>
      <c r="D1781" t="s">
        <v>38</v>
      </c>
      <c r="E1781">
        <v>63696.78</v>
      </c>
      <c r="F1781">
        <v>78</v>
      </c>
      <c r="G1781">
        <v>262</v>
      </c>
      <c r="H1781">
        <v>136</v>
      </c>
      <c r="I1781" t="s">
        <v>16</v>
      </c>
      <c r="J1781">
        <v>5</v>
      </c>
      <c r="K1781" t="s">
        <v>22</v>
      </c>
      <c r="L1781">
        <v>8032</v>
      </c>
      <c r="M1781">
        <v>3.56</v>
      </c>
      <c r="N1781" s="6">
        <f t="shared" si="27"/>
        <v>511612536.95999998</v>
      </c>
    </row>
    <row r="1782" spans="1:14" x14ac:dyDescent="0.35">
      <c r="A1782" t="s">
        <v>23</v>
      </c>
      <c r="B1782" t="s">
        <v>82</v>
      </c>
      <c r="C1782">
        <v>2026</v>
      </c>
      <c r="D1782" t="s">
        <v>43</v>
      </c>
      <c r="E1782">
        <v>71136.28</v>
      </c>
      <c r="F1782">
        <v>49.6</v>
      </c>
      <c r="G1782">
        <v>171</v>
      </c>
      <c r="H1782">
        <v>142</v>
      </c>
      <c r="I1782" t="s">
        <v>32</v>
      </c>
      <c r="J1782">
        <v>5</v>
      </c>
      <c r="K1782" t="s">
        <v>20</v>
      </c>
      <c r="L1782">
        <v>27175</v>
      </c>
      <c r="M1782">
        <v>3.31</v>
      </c>
      <c r="N1782" s="6">
        <f t="shared" si="27"/>
        <v>1933128409</v>
      </c>
    </row>
    <row r="1783" spans="1:14" x14ac:dyDescent="0.35">
      <c r="A1783" t="s">
        <v>29</v>
      </c>
      <c r="B1783" t="s">
        <v>30</v>
      </c>
      <c r="C1783">
        <v>2026</v>
      </c>
      <c r="D1783" t="s">
        <v>38</v>
      </c>
      <c r="E1783">
        <v>36489.360000000001</v>
      </c>
      <c r="F1783">
        <v>45.5</v>
      </c>
      <c r="G1783">
        <v>150</v>
      </c>
      <c r="H1783">
        <v>131</v>
      </c>
      <c r="I1783" t="s">
        <v>25</v>
      </c>
      <c r="J1783">
        <v>3</v>
      </c>
      <c r="K1783" t="s">
        <v>22</v>
      </c>
      <c r="L1783">
        <v>214895</v>
      </c>
      <c r="M1783">
        <v>3.58</v>
      </c>
      <c r="N1783" s="6">
        <f t="shared" si="27"/>
        <v>7841381017.1999998</v>
      </c>
    </row>
    <row r="1784" spans="1:14" x14ac:dyDescent="0.35">
      <c r="A1784" t="s">
        <v>29</v>
      </c>
      <c r="B1784" t="s">
        <v>31</v>
      </c>
      <c r="C1784">
        <v>2026</v>
      </c>
      <c r="D1784" t="s">
        <v>43</v>
      </c>
      <c r="E1784">
        <v>96644.91</v>
      </c>
      <c r="F1784">
        <v>76.400000000000006</v>
      </c>
      <c r="G1784">
        <v>244</v>
      </c>
      <c r="H1784">
        <v>164</v>
      </c>
      <c r="I1784" t="s">
        <v>40</v>
      </c>
      <c r="J1784">
        <v>5</v>
      </c>
      <c r="K1784" t="s">
        <v>20</v>
      </c>
      <c r="L1784">
        <v>408778</v>
      </c>
      <c r="M1784">
        <v>4.03</v>
      </c>
      <c r="N1784" s="6">
        <f t="shared" si="27"/>
        <v>39506313019.980003</v>
      </c>
    </row>
    <row r="1785" spans="1:14" x14ac:dyDescent="0.35">
      <c r="A1785" t="s">
        <v>34</v>
      </c>
      <c r="B1785" t="s">
        <v>84</v>
      </c>
      <c r="C1785">
        <v>2026</v>
      </c>
      <c r="D1785" t="s">
        <v>43</v>
      </c>
      <c r="E1785">
        <v>68994.81</v>
      </c>
      <c r="F1785">
        <v>48.5</v>
      </c>
      <c r="G1785">
        <v>168</v>
      </c>
      <c r="H1785">
        <v>157</v>
      </c>
      <c r="I1785" t="s">
        <v>25</v>
      </c>
      <c r="J1785">
        <v>5</v>
      </c>
      <c r="K1785" t="s">
        <v>20</v>
      </c>
      <c r="L1785">
        <v>79213</v>
      </c>
      <c r="M1785">
        <v>3.77</v>
      </c>
      <c r="N1785" s="6">
        <f t="shared" si="27"/>
        <v>5465285884.5299997</v>
      </c>
    </row>
    <row r="1786" spans="1:14" x14ac:dyDescent="0.35">
      <c r="A1786" t="s">
        <v>57</v>
      </c>
      <c r="B1786" t="s">
        <v>72</v>
      </c>
      <c r="C1786">
        <v>2026</v>
      </c>
      <c r="D1786" t="s">
        <v>43</v>
      </c>
      <c r="E1786">
        <v>51712.72</v>
      </c>
      <c r="F1786">
        <v>44.2</v>
      </c>
      <c r="G1786">
        <v>150</v>
      </c>
      <c r="H1786">
        <v>160</v>
      </c>
      <c r="I1786" t="s">
        <v>16</v>
      </c>
      <c r="J1786">
        <v>4</v>
      </c>
      <c r="K1786" t="s">
        <v>22</v>
      </c>
      <c r="L1786">
        <v>26384</v>
      </c>
      <c r="M1786">
        <v>3.09</v>
      </c>
      <c r="N1786" s="6">
        <f t="shared" si="27"/>
        <v>1364388404.48</v>
      </c>
    </row>
    <row r="1787" spans="1:14" x14ac:dyDescent="0.35">
      <c r="A1787" t="s">
        <v>67</v>
      </c>
      <c r="B1787" t="s">
        <v>68</v>
      </c>
      <c r="C1787">
        <v>2026</v>
      </c>
      <c r="D1787" t="s">
        <v>15</v>
      </c>
      <c r="E1787">
        <v>126813.57</v>
      </c>
      <c r="F1787">
        <v>114.9</v>
      </c>
      <c r="G1787">
        <v>393</v>
      </c>
      <c r="H1787">
        <v>190</v>
      </c>
      <c r="I1787" t="s">
        <v>40</v>
      </c>
      <c r="J1787">
        <v>5</v>
      </c>
      <c r="K1787" t="s">
        <v>17</v>
      </c>
      <c r="L1787">
        <v>35466</v>
      </c>
      <c r="M1787">
        <v>3.84</v>
      </c>
      <c r="N1787" s="6">
        <f t="shared" si="27"/>
        <v>4497570073.6199999</v>
      </c>
    </row>
    <row r="1788" spans="1:14" x14ac:dyDescent="0.35">
      <c r="A1788" t="s">
        <v>45</v>
      </c>
      <c r="B1788" t="s">
        <v>48</v>
      </c>
      <c r="C1788">
        <v>2026</v>
      </c>
      <c r="D1788" t="s">
        <v>20</v>
      </c>
      <c r="E1788">
        <v>102365.27</v>
      </c>
      <c r="F1788">
        <v>40.6</v>
      </c>
      <c r="G1788">
        <v>150</v>
      </c>
      <c r="H1788">
        <v>182</v>
      </c>
      <c r="I1788" t="s">
        <v>40</v>
      </c>
      <c r="J1788">
        <v>4</v>
      </c>
      <c r="K1788" t="s">
        <v>17</v>
      </c>
      <c r="L1788">
        <v>112568</v>
      </c>
      <c r="M1788">
        <v>3.22</v>
      </c>
      <c r="N1788" s="6">
        <f t="shared" si="27"/>
        <v>11523053713.360001</v>
      </c>
    </row>
    <row r="1789" spans="1:14" x14ac:dyDescent="0.35">
      <c r="A1789" t="s">
        <v>57</v>
      </c>
      <c r="B1789" t="s">
        <v>62</v>
      </c>
      <c r="C1789">
        <v>2026</v>
      </c>
      <c r="D1789" t="s">
        <v>15</v>
      </c>
      <c r="E1789">
        <v>52666.03</v>
      </c>
      <c r="F1789">
        <v>83.7</v>
      </c>
      <c r="G1789">
        <v>310</v>
      </c>
      <c r="H1789">
        <v>197</v>
      </c>
      <c r="I1789" t="s">
        <v>21</v>
      </c>
      <c r="J1789">
        <v>5</v>
      </c>
      <c r="K1789" t="s">
        <v>22</v>
      </c>
      <c r="L1789">
        <v>76169</v>
      </c>
      <c r="M1789">
        <v>3.67</v>
      </c>
      <c r="N1789" s="6">
        <f t="shared" si="27"/>
        <v>4011518839.0699997</v>
      </c>
    </row>
    <row r="1790" spans="1:14" x14ac:dyDescent="0.35">
      <c r="A1790" t="s">
        <v>23</v>
      </c>
      <c r="B1790" t="s">
        <v>82</v>
      </c>
      <c r="C1790">
        <v>2026</v>
      </c>
      <c r="D1790" t="s">
        <v>28</v>
      </c>
      <c r="E1790">
        <v>70455.09</v>
      </c>
      <c r="F1790">
        <v>97.8</v>
      </c>
      <c r="G1790">
        <v>367</v>
      </c>
      <c r="H1790">
        <v>173</v>
      </c>
      <c r="I1790" t="s">
        <v>16</v>
      </c>
      <c r="J1790">
        <v>4</v>
      </c>
      <c r="K1790" t="s">
        <v>20</v>
      </c>
      <c r="L1790">
        <v>1598</v>
      </c>
      <c r="M1790">
        <v>3.6</v>
      </c>
      <c r="N1790" s="6">
        <f t="shared" si="27"/>
        <v>112587233.81999999</v>
      </c>
    </row>
    <row r="1791" spans="1:14" x14ac:dyDescent="0.35">
      <c r="A1791" t="s">
        <v>29</v>
      </c>
      <c r="B1791" t="s">
        <v>53</v>
      </c>
      <c r="C1791">
        <v>2026</v>
      </c>
      <c r="D1791" t="s">
        <v>38</v>
      </c>
      <c r="E1791">
        <v>50614.31</v>
      </c>
      <c r="F1791">
        <v>85</v>
      </c>
      <c r="G1791">
        <v>304</v>
      </c>
      <c r="H1791">
        <v>152</v>
      </c>
      <c r="I1791" t="s">
        <v>16</v>
      </c>
      <c r="J1791">
        <v>5</v>
      </c>
      <c r="K1791" t="s">
        <v>22</v>
      </c>
      <c r="L1791">
        <v>175527</v>
      </c>
      <c r="M1791">
        <v>4.0199999999999996</v>
      </c>
      <c r="N1791" s="6">
        <f t="shared" si="27"/>
        <v>8884177991.3699989</v>
      </c>
    </row>
    <row r="1792" spans="1:14" x14ac:dyDescent="0.35">
      <c r="A1792" t="s">
        <v>67</v>
      </c>
      <c r="B1792" t="s">
        <v>98</v>
      </c>
      <c r="C1792">
        <v>2026</v>
      </c>
      <c r="D1792" t="s">
        <v>28</v>
      </c>
      <c r="E1792">
        <v>94110.46</v>
      </c>
      <c r="F1792">
        <v>90.4</v>
      </c>
      <c r="G1792">
        <v>323</v>
      </c>
      <c r="H1792">
        <v>188</v>
      </c>
      <c r="I1792" t="s">
        <v>40</v>
      </c>
      <c r="J1792">
        <v>4</v>
      </c>
      <c r="K1792" t="s">
        <v>20</v>
      </c>
      <c r="L1792">
        <v>38660</v>
      </c>
      <c r="M1792">
        <v>3.57</v>
      </c>
      <c r="N1792" s="6">
        <f t="shared" si="27"/>
        <v>3638310383.6000004</v>
      </c>
    </row>
    <row r="1793" spans="1:14" x14ac:dyDescent="0.35">
      <c r="A1793" t="s">
        <v>23</v>
      </c>
      <c r="B1793" t="s">
        <v>99</v>
      </c>
      <c r="C1793">
        <v>2026</v>
      </c>
      <c r="D1793" t="s">
        <v>15</v>
      </c>
      <c r="E1793">
        <v>65284.93</v>
      </c>
      <c r="F1793">
        <v>116.3</v>
      </c>
      <c r="G1793">
        <v>439</v>
      </c>
      <c r="H1793">
        <v>186</v>
      </c>
      <c r="I1793" t="s">
        <v>33</v>
      </c>
      <c r="J1793">
        <v>4</v>
      </c>
      <c r="K1793" t="s">
        <v>20</v>
      </c>
      <c r="L1793">
        <v>25704</v>
      </c>
      <c r="M1793">
        <v>4.1900000000000004</v>
      </c>
      <c r="N1793" s="6">
        <f t="shared" si="27"/>
        <v>1678083840.72</v>
      </c>
    </row>
    <row r="1794" spans="1:14" x14ac:dyDescent="0.35">
      <c r="A1794" t="s">
        <v>64</v>
      </c>
      <c r="B1794" t="s">
        <v>97</v>
      </c>
      <c r="C1794">
        <v>2026</v>
      </c>
      <c r="D1794" t="s">
        <v>15</v>
      </c>
      <c r="E1794">
        <v>133852.24</v>
      </c>
      <c r="F1794">
        <v>84.9</v>
      </c>
      <c r="G1794">
        <v>318</v>
      </c>
      <c r="H1794">
        <v>200</v>
      </c>
      <c r="I1794" t="s">
        <v>16</v>
      </c>
      <c r="J1794">
        <v>4</v>
      </c>
      <c r="K1794" t="s">
        <v>17</v>
      </c>
      <c r="L1794">
        <v>50521</v>
      </c>
      <c r="M1794">
        <v>3.46</v>
      </c>
      <c r="N1794" s="6">
        <f t="shared" ref="N1794:N1857" si="28">E1794*L1794</f>
        <v>6762349017.04</v>
      </c>
    </row>
    <row r="1795" spans="1:14" x14ac:dyDescent="0.35">
      <c r="A1795" t="s">
        <v>29</v>
      </c>
      <c r="B1795" t="s">
        <v>31</v>
      </c>
      <c r="C1795">
        <v>2026</v>
      </c>
      <c r="D1795" t="s">
        <v>43</v>
      </c>
      <c r="E1795">
        <v>78088.259999999995</v>
      </c>
      <c r="F1795">
        <v>70.2</v>
      </c>
      <c r="G1795">
        <v>245</v>
      </c>
      <c r="H1795">
        <v>130</v>
      </c>
      <c r="I1795" t="s">
        <v>40</v>
      </c>
      <c r="J1795">
        <v>5</v>
      </c>
      <c r="K1795" t="s">
        <v>20</v>
      </c>
      <c r="L1795">
        <v>489120</v>
      </c>
      <c r="M1795">
        <v>3.77</v>
      </c>
      <c r="N1795" s="6">
        <f t="shared" si="28"/>
        <v>38194529731.199997</v>
      </c>
    </row>
    <row r="1796" spans="1:14" x14ac:dyDescent="0.35">
      <c r="A1796" t="s">
        <v>29</v>
      </c>
      <c r="B1796" t="s">
        <v>30</v>
      </c>
      <c r="C1796">
        <v>2026</v>
      </c>
      <c r="D1796" t="s">
        <v>38</v>
      </c>
      <c r="E1796">
        <v>80808.44</v>
      </c>
      <c r="F1796">
        <v>42.4</v>
      </c>
      <c r="G1796">
        <v>154</v>
      </c>
      <c r="H1796">
        <v>147</v>
      </c>
      <c r="I1796" t="s">
        <v>33</v>
      </c>
      <c r="J1796">
        <v>5</v>
      </c>
      <c r="K1796" t="s">
        <v>20</v>
      </c>
      <c r="L1796">
        <v>234368</v>
      </c>
      <c r="M1796">
        <v>3.52</v>
      </c>
      <c r="N1796" s="6">
        <f t="shared" si="28"/>
        <v>18938912465.920002</v>
      </c>
    </row>
    <row r="1797" spans="1:14" x14ac:dyDescent="0.35">
      <c r="A1797" t="s">
        <v>13</v>
      </c>
      <c r="B1797" t="s">
        <v>14</v>
      </c>
      <c r="C1797">
        <v>2026</v>
      </c>
      <c r="D1797" t="s">
        <v>43</v>
      </c>
      <c r="E1797">
        <v>43538.73</v>
      </c>
      <c r="F1797">
        <v>62.3</v>
      </c>
      <c r="G1797">
        <v>231</v>
      </c>
      <c r="H1797">
        <v>165</v>
      </c>
      <c r="I1797" t="s">
        <v>25</v>
      </c>
      <c r="J1797">
        <v>4</v>
      </c>
      <c r="K1797" t="s">
        <v>22</v>
      </c>
      <c r="L1797">
        <v>228329</v>
      </c>
      <c r="M1797">
        <v>3.2</v>
      </c>
      <c r="N1797" s="6">
        <f t="shared" si="28"/>
        <v>9941154682.1700001</v>
      </c>
    </row>
    <row r="1798" spans="1:14" x14ac:dyDescent="0.35">
      <c r="A1798" t="s">
        <v>104</v>
      </c>
      <c r="B1798" t="s">
        <v>105</v>
      </c>
      <c r="C1798">
        <v>2026</v>
      </c>
      <c r="D1798" t="s">
        <v>43</v>
      </c>
      <c r="E1798">
        <v>199365.9</v>
      </c>
      <c r="F1798">
        <v>57.8</v>
      </c>
      <c r="G1798">
        <v>235</v>
      </c>
      <c r="H1798">
        <v>138</v>
      </c>
      <c r="I1798" t="s">
        <v>33</v>
      </c>
      <c r="J1798">
        <v>4</v>
      </c>
      <c r="K1798" t="s">
        <v>17</v>
      </c>
      <c r="L1798">
        <v>26890</v>
      </c>
      <c r="M1798">
        <v>3.19</v>
      </c>
      <c r="N1798" s="6">
        <f t="shared" si="28"/>
        <v>5360949051</v>
      </c>
    </row>
    <row r="1799" spans="1:14" x14ac:dyDescent="0.35">
      <c r="A1799" t="s">
        <v>26</v>
      </c>
      <c r="B1799" t="s">
        <v>36</v>
      </c>
      <c r="C1799">
        <v>2026</v>
      </c>
      <c r="D1799" t="s">
        <v>20</v>
      </c>
      <c r="E1799">
        <v>98299.99</v>
      </c>
      <c r="F1799">
        <v>73.400000000000006</v>
      </c>
      <c r="G1799">
        <v>245</v>
      </c>
      <c r="H1799">
        <v>165</v>
      </c>
      <c r="I1799" t="s">
        <v>33</v>
      </c>
      <c r="J1799">
        <v>5</v>
      </c>
      <c r="K1799" t="s">
        <v>20</v>
      </c>
      <c r="L1799">
        <v>126328</v>
      </c>
      <c r="M1799">
        <v>3.5</v>
      </c>
      <c r="N1799" s="6">
        <f t="shared" si="28"/>
        <v>12418041136.720001</v>
      </c>
    </row>
    <row r="1800" spans="1:14" x14ac:dyDescent="0.35">
      <c r="A1800" t="s">
        <v>34</v>
      </c>
      <c r="B1800" t="s">
        <v>106</v>
      </c>
      <c r="C1800">
        <v>2026</v>
      </c>
      <c r="D1800" t="s">
        <v>38</v>
      </c>
      <c r="E1800">
        <v>59152.02</v>
      </c>
      <c r="F1800">
        <v>43.6</v>
      </c>
      <c r="G1800">
        <v>162</v>
      </c>
      <c r="H1800">
        <v>170</v>
      </c>
      <c r="I1800" t="s">
        <v>21</v>
      </c>
      <c r="J1800">
        <v>4</v>
      </c>
      <c r="K1800" t="s">
        <v>22</v>
      </c>
      <c r="L1800">
        <v>57795</v>
      </c>
      <c r="M1800">
        <v>3.37</v>
      </c>
      <c r="N1800" s="6">
        <f t="shared" si="28"/>
        <v>3418690995.8999996</v>
      </c>
    </row>
    <row r="1801" spans="1:14" x14ac:dyDescent="0.35">
      <c r="A1801" t="s">
        <v>23</v>
      </c>
      <c r="B1801" t="s">
        <v>83</v>
      </c>
      <c r="C1801">
        <v>2026</v>
      </c>
      <c r="D1801" t="s">
        <v>15</v>
      </c>
      <c r="E1801">
        <v>42539.360000000001</v>
      </c>
      <c r="F1801">
        <v>109.6</v>
      </c>
      <c r="G1801">
        <v>371</v>
      </c>
      <c r="H1801">
        <v>200</v>
      </c>
      <c r="I1801" t="s">
        <v>21</v>
      </c>
      <c r="J1801">
        <v>5</v>
      </c>
      <c r="K1801" t="s">
        <v>22</v>
      </c>
      <c r="L1801">
        <v>18263</v>
      </c>
      <c r="M1801">
        <v>3.65</v>
      </c>
      <c r="N1801" s="6">
        <f t="shared" si="28"/>
        <v>776896331.68000007</v>
      </c>
    </row>
    <row r="1802" spans="1:14" x14ac:dyDescent="0.35">
      <c r="A1802" t="s">
        <v>49</v>
      </c>
      <c r="B1802" t="s">
        <v>87</v>
      </c>
      <c r="C1802">
        <v>2026</v>
      </c>
      <c r="D1802" t="s">
        <v>20</v>
      </c>
      <c r="E1802">
        <v>86930.64</v>
      </c>
      <c r="F1802">
        <v>49.4</v>
      </c>
      <c r="G1802">
        <v>177</v>
      </c>
      <c r="H1802">
        <v>171</v>
      </c>
      <c r="I1802" t="s">
        <v>40</v>
      </c>
      <c r="J1802">
        <v>4</v>
      </c>
      <c r="K1802" t="s">
        <v>20</v>
      </c>
      <c r="L1802">
        <v>147601</v>
      </c>
      <c r="M1802">
        <v>3.5</v>
      </c>
      <c r="N1802" s="6">
        <f t="shared" si="28"/>
        <v>12831049394.639999</v>
      </c>
    </row>
    <row r="1803" spans="1:14" x14ac:dyDescent="0.35">
      <c r="A1803" t="s">
        <v>13</v>
      </c>
      <c r="B1803" t="s">
        <v>14</v>
      </c>
      <c r="C1803">
        <v>2026</v>
      </c>
      <c r="D1803" t="s">
        <v>43</v>
      </c>
      <c r="E1803">
        <v>39803.56</v>
      </c>
      <c r="F1803">
        <v>46.8</v>
      </c>
      <c r="G1803">
        <v>168</v>
      </c>
      <c r="H1803">
        <v>156</v>
      </c>
      <c r="I1803" t="s">
        <v>16</v>
      </c>
      <c r="J1803">
        <v>3</v>
      </c>
      <c r="K1803" t="s">
        <v>22</v>
      </c>
      <c r="L1803">
        <v>248701</v>
      </c>
      <c r="M1803">
        <v>3.08</v>
      </c>
      <c r="N1803" s="6">
        <f t="shared" si="28"/>
        <v>9899185175.5599995</v>
      </c>
    </row>
    <row r="1804" spans="1:14" x14ac:dyDescent="0.35">
      <c r="A1804" t="s">
        <v>13</v>
      </c>
      <c r="B1804" t="s">
        <v>51</v>
      </c>
      <c r="C1804">
        <v>2026</v>
      </c>
      <c r="D1804" t="s">
        <v>43</v>
      </c>
      <c r="E1804">
        <v>86543.35</v>
      </c>
      <c r="F1804">
        <v>56.3</v>
      </c>
      <c r="G1804">
        <v>193</v>
      </c>
      <c r="H1804">
        <v>152</v>
      </c>
      <c r="I1804" t="s">
        <v>32</v>
      </c>
      <c r="J1804">
        <v>4</v>
      </c>
      <c r="K1804" t="s">
        <v>20</v>
      </c>
      <c r="L1804">
        <v>282690</v>
      </c>
      <c r="M1804">
        <v>3.24</v>
      </c>
      <c r="N1804" s="6">
        <f t="shared" si="28"/>
        <v>24464939611.5</v>
      </c>
    </row>
    <row r="1805" spans="1:14" x14ac:dyDescent="0.35">
      <c r="A1805" t="s">
        <v>64</v>
      </c>
      <c r="B1805" t="s">
        <v>97</v>
      </c>
      <c r="C1805">
        <v>2026</v>
      </c>
      <c r="D1805" t="s">
        <v>43</v>
      </c>
      <c r="E1805">
        <v>72989.13</v>
      </c>
      <c r="F1805">
        <v>82</v>
      </c>
      <c r="G1805">
        <v>298</v>
      </c>
      <c r="H1805">
        <v>146</v>
      </c>
      <c r="I1805" t="s">
        <v>32</v>
      </c>
      <c r="J1805">
        <v>5</v>
      </c>
      <c r="K1805" t="s">
        <v>20</v>
      </c>
      <c r="L1805">
        <v>49770</v>
      </c>
      <c r="M1805">
        <v>3.42</v>
      </c>
      <c r="N1805" s="6">
        <f t="shared" si="28"/>
        <v>3632669000.1000004</v>
      </c>
    </row>
    <row r="1806" spans="1:14" x14ac:dyDescent="0.35">
      <c r="A1806" t="s">
        <v>29</v>
      </c>
      <c r="B1806" t="s">
        <v>59</v>
      </c>
      <c r="C1806">
        <v>2026</v>
      </c>
      <c r="D1806" t="s">
        <v>28</v>
      </c>
      <c r="E1806">
        <v>142726.14000000001</v>
      </c>
      <c r="F1806">
        <v>94.6</v>
      </c>
      <c r="G1806">
        <v>318</v>
      </c>
      <c r="H1806">
        <v>176</v>
      </c>
      <c r="I1806" t="s">
        <v>33</v>
      </c>
      <c r="J1806">
        <v>4</v>
      </c>
      <c r="K1806" t="s">
        <v>17</v>
      </c>
      <c r="L1806">
        <v>176985</v>
      </c>
      <c r="M1806">
        <v>4.2300000000000004</v>
      </c>
      <c r="N1806" s="6">
        <f t="shared" si="28"/>
        <v>25260385887.900002</v>
      </c>
    </row>
    <row r="1807" spans="1:14" x14ac:dyDescent="0.35">
      <c r="A1807" t="s">
        <v>26</v>
      </c>
      <c r="B1807" t="s">
        <v>61</v>
      </c>
      <c r="C1807">
        <v>2026</v>
      </c>
      <c r="D1807" t="s">
        <v>38</v>
      </c>
      <c r="E1807">
        <v>62907.99</v>
      </c>
      <c r="F1807">
        <v>56</v>
      </c>
      <c r="G1807">
        <v>184</v>
      </c>
      <c r="H1807">
        <v>142</v>
      </c>
      <c r="I1807" t="s">
        <v>21</v>
      </c>
      <c r="J1807">
        <v>5</v>
      </c>
      <c r="K1807" t="s">
        <v>22</v>
      </c>
      <c r="L1807">
        <v>93165</v>
      </c>
      <c r="M1807">
        <v>3.26</v>
      </c>
      <c r="N1807" s="6">
        <f t="shared" si="28"/>
        <v>5860822888.3499994</v>
      </c>
    </row>
    <row r="1808" spans="1:14" x14ac:dyDescent="0.35">
      <c r="A1808" t="s">
        <v>29</v>
      </c>
      <c r="B1808" t="s">
        <v>30</v>
      </c>
      <c r="C1808">
        <v>2026</v>
      </c>
      <c r="D1808" t="s">
        <v>28</v>
      </c>
      <c r="E1808">
        <v>153057.04</v>
      </c>
      <c r="F1808">
        <v>85.2</v>
      </c>
      <c r="G1808">
        <v>285</v>
      </c>
      <c r="H1808">
        <v>186</v>
      </c>
      <c r="I1808" t="s">
        <v>33</v>
      </c>
      <c r="J1808">
        <v>5</v>
      </c>
      <c r="K1808" t="s">
        <v>17</v>
      </c>
      <c r="L1808">
        <v>178740</v>
      </c>
      <c r="M1808">
        <v>4.0599999999999996</v>
      </c>
      <c r="N1808" s="6">
        <f t="shared" si="28"/>
        <v>27357415329.600002</v>
      </c>
    </row>
    <row r="1809" spans="1:14" x14ac:dyDescent="0.35">
      <c r="A1809" t="s">
        <v>45</v>
      </c>
      <c r="B1809" t="s">
        <v>77</v>
      </c>
      <c r="C1809">
        <v>2026</v>
      </c>
      <c r="D1809" t="s">
        <v>43</v>
      </c>
      <c r="E1809">
        <v>82657.259999999995</v>
      </c>
      <c r="F1809">
        <v>83.9</v>
      </c>
      <c r="G1809">
        <v>294</v>
      </c>
      <c r="H1809">
        <v>153</v>
      </c>
      <c r="I1809" t="s">
        <v>25</v>
      </c>
      <c r="J1809">
        <v>5</v>
      </c>
      <c r="K1809" t="s">
        <v>20</v>
      </c>
      <c r="L1809">
        <v>156944</v>
      </c>
      <c r="M1809">
        <v>3.54</v>
      </c>
      <c r="N1809" s="6">
        <f t="shared" si="28"/>
        <v>12972561013.439999</v>
      </c>
    </row>
    <row r="1810" spans="1:14" x14ac:dyDescent="0.35">
      <c r="A1810" t="s">
        <v>64</v>
      </c>
      <c r="B1810" t="s">
        <v>97</v>
      </c>
      <c r="C1810">
        <v>2026</v>
      </c>
      <c r="D1810" t="s">
        <v>43</v>
      </c>
      <c r="E1810">
        <v>90499.68</v>
      </c>
      <c r="F1810">
        <v>42.2</v>
      </c>
      <c r="G1810">
        <v>167</v>
      </c>
      <c r="H1810">
        <v>132</v>
      </c>
      <c r="I1810" t="s">
        <v>33</v>
      </c>
      <c r="J1810">
        <v>3</v>
      </c>
      <c r="K1810" t="s">
        <v>20</v>
      </c>
      <c r="L1810">
        <v>72987</v>
      </c>
      <c r="M1810">
        <v>3.29</v>
      </c>
      <c r="N1810" s="6">
        <f t="shared" si="28"/>
        <v>6605300144.1599998</v>
      </c>
    </row>
    <row r="1811" spans="1:14" x14ac:dyDescent="0.35">
      <c r="A1811" t="s">
        <v>34</v>
      </c>
      <c r="B1811" t="s">
        <v>78</v>
      </c>
      <c r="C1811">
        <v>2026</v>
      </c>
      <c r="D1811" t="s">
        <v>15</v>
      </c>
      <c r="E1811">
        <v>108052.79</v>
      </c>
      <c r="F1811">
        <v>111.2</v>
      </c>
      <c r="G1811">
        <v>390</v>
      </c>
      <c r="H1811">
        <v>196</v>
      </c>
      <c r="I1811" t="s">
        <v>32</v>
      </c>
      <c r="J1811">
        <v>5</v>
      </c>
      <c r="K1811" t="s">
        <v>17</v>
      </c>
      <c r="L1811">
        <v>49733</v>
      </c>
      <c r="M1811">
        <v>4.0199999999999996</v>
      </c>
      <c r="N1811" s="6">
        <f t="shared" si="28"/>
        <v>5373789405.0699997</v>
      </c>
    </row>
    <row r="1812" spans="1:14" x14ac:dyDescent="0.35">
      <c r="A1812" t="s">
        <v>45</v>
      </c>
      <c r="B1812" t="s">
        <v>63</v>
      </c>
      <c r="C1812">
        <v>2026</v>
      </c>
      <c r="D1812" t="s">
        <v>20</v>
      </c>
      <c r="E1812">
        <v>60331.49</v>
      </c>
      <c r="F1812">
        <v>43.6</v>
      </c>
      <c r="G1812">
        <v>175</v>
      </c>
      <c r="H1812">
        <v>136</v>
      </c>
      <c r="I1812" t="s">
        <v>33</v>
      </c>
      <c r="J1812">
        <v>4</v>
      </c>
      <c r="K1812" t="s">
        <v>22</v>
      </c>
      <c r="L1812">
        <v>145412</v>
      </c>
      <c r="M1812">
        <v>3.34</v>
      </c>
      <c r="N1812" s="6">
        <f t="shared" si="28"/>
        <v>8772922623.8799992</v>
      </c>
    </row>
    <row r="1813" spans="1:14" x14ac:dyDescent="0.35">
      <c r="A1813" t="s">
        <v>64</v>
      </c>
      <c r="B1813" t="s">
        <v>85</v>
      </c>
      <c r="C1813">
        <v>2026</v>
      </c>
      <c r="D1813" t="s">
        <v>43</v>
      </c>
      <c r="E1813">
        <v>111475.63</v>
      </c>
      <c r="F1813">
        <v>44.2</v>
      </c>
      <c r="G1813">
        <v>150</v>
      </c>
      <c r="H1813">
        <v>159</v>
      </c>
      <c r="I1813" t="s">
        <v>25</v>
      </c>
      <c r="J1813">
        <v>4</v>
      </c>
      <c r="K1813" t="s">
        <v>17</v>
      </c>
      <c r="L1813">
        <v>22266</v>
      </c>
      <c r="M1813">
        <v>3.33</v>
      </c>
      <c r="N1813" s="6">
        <f t="shared" si="28"/>
        <v>2482116377.5799999</v>
      </c>
    </row>
    <row r="1814" spans="1:14" x14ac:dyDescent="0.35">
      <c r="A1814" t="s">
        <v>45</v>
      </c>
      <c r="B1814" t="s">
        <v>48</v>
      </c>
      <c r="C1814">
        <v>2026</v>
      </c>
      <c r="D1814" t="s">
        <v>28</v>
      </c>
      <c r="E1814">
        <v>67426.929999999993</v>
      </c>
      <c r="F1814">
        <v>98.7</v>
      </c>
      <c r="G1814">
        <v>353</v>
      </c>
      <c r="H1814">
        <v>162</v>
      </c>
      <c r="I1814" t="s">
        <v>40</v>
      </c>
      <c r="J1814">
        <v>4</v>
      </c>
      <c r="K1814" t="s">
        <v>20</v>
      </c>
      <c r="L1814">
        <v>102350</v>
      </c>
      <c r="M1814">
        <v>3.66</v>
      </c>
      <c r="N1814" s="6">
        <f t="shared" si="28"/>
        <v>6901146285.499999</v>
      </c>
    </row>
    <row r="1815" spans="1:14" x14ac:dyDescent="0.35">
      <c r="A1815" t="s">
        <v>57</v>
      </c>
      <c r="B1815" t="s">
        <v>62</v>
      </c>
      <c r="C1815">
        <v>2026</v>
      </c>
      <c r="D1815" t="s">
        <v>15</v>
      </c>
      <c r="E1815">
        <v>48841.01</v>
      </c>
      <c r="F1815">
        <v>87.7</v>
      </c>
      <c r="G1815">
        <v>333</v>
      </c>
      <c r="H1815">
        <v>180</v>
      </c>
      <c r="I1815" t="s">
        <v>32</v>
      </c>
      <c r="J1815">
        <v>4</v>
      </c>
      <c r="K1815" t="s">
        <v>22</v>
      </c>
      <c r="L1815">
        <v>32288</v>
      </c>
      <c r="M1815">
        <v>3.72</v>
      </c>
      <c r="N1815" s="6">
        <f t="shared" si="28"/>
        <v>1576978530.8800001</v>
      </c>
    </row>
    <row r="1816" spans="1:14" x14ac:dyDescent="0.35">
      <c r="A1816" t="s">
        <v>26</v>
      </c>
      <c r="B1816" t="s">
        <v>36</v>
      </c>
      <c r="C1816">
        <v>2026</v>
      </c>
      <c r="D1816" t="s">
        <v>43</v>
      </c>
      <c r="E1816">
        <v>72349.570000000007</v>
      </c>
      <c r="F1816">
        <v>59.3</v>
      </c>
      <c r="G1816">
        <v>198</v>
      </c>
      <c r="H1816">
        <v>149</v>
      </c>
      <c r="I1816" t="s">
        <v>21</v>
      </c>
      <c r="J1816">
        <v>4</v>
      </c>
      <c r="K1816" t="s">
        <v>20</v>
      </c>
      <c r="L1816">
        <v>69075</v>
      </c>
      <c r="M1816">
        <v>3.22</v>
      </c>
      <c r="N1816" s="6">
        <f t="shared" si="28"/>
        <v>4997546547.750001</v>
      </c>
    </row>
    <row r="1817" spans="1:14" x14ac:dyDescent="0.35">
      <c r="A1817" t="s">
        <v>57</v>
      </c>
      <c r="B1817" t="s">
        <v>79</v>
      </c>
      <c r="C1817">
        <v>2026</v>
      </c>
      <c r="D1817" t="s">
        <v>43</v>
      </c>
      <c r="E1817">
        <v>69136.539999999994</v>
      </c>
      <c r="F1817">
        <v>53.2</v>
      </c>
      <c r="G1817">
        <v>193</v>
      </c>
      <c r="H1817">
        <v>161</v>
      </c>
      <c r="I1817" t="s">
        <v>21</v>
      </c>
      <c r="J1817">
        <v>3</v>
      </c>
      <c r="K1817" t="s">
        <v>20</v>
      </c>
      <c r="L1817">
        <v>61663</v>
      </c>
      <c r="M1817">
        <v>3.2</v>
      </c>
      <c r="N1817" s="6">
        <f t="shared" si="28"/>
        <v>4263166466.0199995</v>
      </c>
    </row>
    <row r="1818" spans="1:14" x14ac:dyDescent="0.35">
      <c r="A1818" t="s">
        <v>80</v>
      </c>
      <c r="B1818" t="s">
        <v>94</v>
      </c>
      <c r="C1818">
        <v>2026</v>
      </c>
      <c r="D1818" t="s">
        <v>28</v>
      </c>
      <c r="E1818">
        <v>220736.96</v>
      </c>
      <c r="F1818">
        <v>82.6</v>
      </c>
      <c r="G1818">
        <v>288</v>
      </c>
      <c r="H1818">
        <v>161</v>
      </c>
      <c r="I1818" t="s">
        <v>21</v>
      </c>
      <c r="J1818">
        <v>5</v>
      </c>
      <c r="K1818" t="s">
        <v>17</v>
      </c>
      <c r="L1818">
        <v>5345</v>
      </c>
      <c r="M1818">
        <v>3.64</v>
      </c>
      <c r="N1818" s="6">
        <f t="shared" si="28"/>
        <v>1179839051.2</v>
      </c>
    </row>
    <row r="1819" spans="1:14" x14ac:dyDescent="0.35">
      <c r="A1819" t="s">
        <v>13</v>
      </c>
      <c r="B1819" t="s">
        <v>56</v>
      </c>
      <c r="C1819">
        <v>2026</v>
      </c>
      <c r="D1819" t="s">
        <v>43</v>
      </c>
      <c r="E1819">
        <v>36003.86</v>
      </c>
      <c r="F1819">
        <v>51.5</v>
      </c>
      <c r="G1819">
        <v>216</v>
      </c>
      <c r="H1819">
        <v>170</v>
      </c>
      <c r="I1819" t="s">
        <v>32</v>
      </c>
      <c r="J1819">
        <v>5</v>
      </c>
      <c r="K1819" t="s">
        <v>22</v>
      </c>
      <c r="L1819">
        <v>241049</v>
      </c>
      <c r="M1819">
        <v>3.54</v>
      </c>
      <c r="N1819" s="6">
        <f t="shared" si="28"/>
        <v>8678694449.1399994</v>
      </c>
    </row>
    <row r="1820" spans="1:14" x14ac:dyDescent="0.35">
      <c r="A1820" t="s">
        <v>29</v>
      </c>
      <c r="B1820" t="s">
        <v>31</v>
      </c>
      <c r="C1820">
        <v>2026</v>
      </c>
      <c r="D1820" t="s">
        <v>43</v>
      </c>
      <c r="E1820">
        <v>40006.71</v>
      </c>
      <c r="F1820">
        <v>63.9</v>
      </c>
      <c r="G1820">
        <v>241</v>
      </c>
      <c r="H1820">
        <v>131</v>
      </c>
      <c r="I1820" t="s">
        <v>16</v>
      </c>
      <c r="J1820">
        <v>4</v>
      </c>
      <c r="K1820" t="s">
        <v>22</v>
      </c>
      <c r="L1820">
        <v>488644</v>
      </c>
      <c r="M1820">
        <v>3.74</v>
      </c>
      <c r="N1820" s="6">
        <f t="shared" si="28"/>
        <v>19549038801.239998</v>
      </c>
    </row>
    <row r="1821" spans="1:14" x14ac:dyDescent="0.35">
      <c r="A1821" t="s">
        <v>29</v>
      </c>
      <c r="B1821" t="s">
        <v>31</v>
      </c>
      <c r="C1821">
        <v>2026</v>
      </c>
      <c r="D1821" t="s">
        <v>38</v>
      </c>
      <c r="E1821">
        <v>41355.449999999997</v>
      </c>
      <c r="F1821">
        <v>69.599999999999994</v>
      </c>
      <c r="G1821">
        <v>247</v>
      </c>
      <c r="H1821">
        <v>165</v>
      </c>
      <c r="I1821" t="s">
        <v>25</v>
      </c>
      <c r="J1821">
        <v>4</v>
      </c>
      <c r="K1821" t="s">
        <v>22</v>
      </c>
      <c r="L1821">
        <v>407336</v>
      </c>
      <c r="M1821">
        <v>3.8</v>
      </c>
      <c r="N1821" s="6">
        <f t="shared" si="28"/>
        <v>16845563581.199999</v>
      </c>
    </row>
    <row r="1822" spans="1:14" x14ac:dyDescent="0.35">
      <c r="A1822" t="s">
        <v>29</v>
      </c>
      <c r="B1822" t="s">
        <v>39</v>
      </c>
      <c r="C1822">
        <v>2026</v>
      </c>
      <c r="D1822" t="s">
        <v>38</v>
      </c>
      <c r="E1822">
        <v>88832.48</v>
      </c>
      <c r="F1822">
        <v>49.6</v>
      </c>
      <c r="G1822">
        <v>157</v>
      </c>
      <c r="H1822">
        <v>138</v>
      </c>
      <c r="I1822" t="s">
        <v>33</v>
      </c>
      <c r="J1822">
        <v>5</v>
      </c>
      <c r="K1822" t="s">
        <v>20</v>
      </c>
      <c r="L1822">
        <v>238605</v>
      </c>
      <c r="M1822">
        <v>3.46</v>
      </c>
      <c r="N1822" s="6">
        <f t="shared" si="28"/>
        <v>21195873890.399998</v>
      </c>
    </row>
    <row r="1823" spans="1:14" x14ac:dyDescent="0.35">
      <c r="A1823" t="s">
        <v>67</v>
      </c>
      <c r="B1823" t="s">
        <v>98</v>
      </c>
      <c r="C1823">
        <v>2026</v>
      </c>
      <c r="D1823" t="s">
        <v>28</v>
      </c>
      <c r="E1823">
        <v>71435.350000000006</v>
      </c>
      <c r="F1823">
        <v>106</v>
      </c>
      <c r="G1823">
        <v>377</v>
      </c>
      <c r="H1823">
        <v>176</v>
      </c>
      <c r="I1823" t="s">
        <v>32</v>
      </c>
      <c r="J1823">
        <v>3</v>
      </c>
      <c r="K1823" t="s">
        <v>20</v>
      </c>
      <c r="L1823">
        <v>45647</v>
      </c>
      <c r="M1823">
        <v>3.96</v>
      </c>
      <c r="N1823" s="6">
        <f t="shared" si="28"/>
        <v>3260809421.4500003</v>
      </c>
    </row>
    <row r="1824" spans="1:14" x14ac:dyDescent="0.35">
      <c r="A1824" t="s">
        <v>13</v>
      </c>
      <c r="B1824" t="s">
        <v>66</v>
      </c>
      <c r="C1824">
        <v>2026</v>
      </c>
      <c r="D1824" t="s">
        <v>28</v>
      </c>
      <c r="E1824">
        <v>92636.43</v>
      </c>
      <c r="F1824">
        <v>109.7</v>
      </c>
      <c r="G1824">
        <v>373</v>
      </c>
      <c r="H1824">
        <v>188</v>
      </c>
      <c r="I1824" t="s">
        <v>16</v>
      </c>
      <c r="J1824">
        <v>5</v>
      </c>
      <c r="K1824" t="s">
        <v>20</v>
      </c>
      <c r="L1824">
        <v>243081</v>
      </c>
      <c r="M1824">
        <v>3.92</v>
      </c>
      <c r="N1824" s="6">
        <f t="shared" si="28"/>
        <v>22518156040.829998</v>
      </c>
    </row>
    <row r="1825" spans="1:14" x14ac:dyDescent="0.35">
      <c r="A1825" t="s">
        <v>29</v>
      </c>
      <c r="B1825" t="s">
        <v>59</v>
      </c>
      <c r="C1825">
        <v>2026</v>
      </c>
      <c r="D1825" t="s">
        <v>15</v>
      </c>
      <c r="E1825">
        <v>167028.1</v>
      </c>
      <c r="F1825">
        <v>106.1</v>
      </c>
      <c r="G1825">
        <v>356</v>
      </c>
      <c r="H1825">
        <v>186</v>
      </c>
      <c r="I1825" t="s">
        <v>21</v>
      </c>
      <c r="J1825">
        <v>4</v>
      </c>
      <c r="K1825" t="s">
        <v>17</v>
      </c>
      <c r="L1825">
        <v>191484</v>
      </c>
      <c r="M1825">
        <v>4.17</v>
      </c>
      <c r="N1825" s="6">
        <f t="shared" si="28"/>
        <v>31983208700.400002</v>
      </c>
    </row>
    <row r="1826" spans="1:14" x14ac:dyDescent="0.35">
      <c r="A1826" t="s">
        <v>34</v>
      </c>
      <c r="B1826" t="s">
        <v>78</v>
      </c>
      <c r="C1826">
        <v>2026</v>
      </c>
      <c r="D1826" t="s">
        <v>38</v>
      </c>
      <c r="E1826">
        <v>137679.26999999999</v>
      </c>
      <c r="F1826">
        <v>71.2</v>
      </c>
      <c r="G1826">
        <v>244</v>
      </c>
      <c r="H1826">
        <v>136</v>
      </c>
      <c r="I1826" t="s">
        <v>33</v>
      </c>
      <c r="J1826">
        <v>5</v>
      </c>
      <c r="K1826" t="s">
        <v>17</v>
      </c>
      <c r="L1826">
        <v>34790</v>
      </c>
      <c r="M1826">
        <v>3.64</v>
      </c>
      <c r="N1826" s="6">
        <f t="shared" si="28"/>
        <v>4789861803.2999992</v>
      </c>
    </row>
    <row r="1827" spans="1:14" x14ac:dyDescent="0.35">
      <c r="A1827" t="s">
        <v>13</v>
      </c>
      <c r="B1827" t="s">
        <v>14</v>
      </c>
      <c r="C1827">
        <v>2026</v>
      </c>
      <c r="D1827" t="s">
        <v>38</v>
      </c>
      <c r="E1827">
        <v>46634.879999999997</v>
      </c>
      <c r="F1827">
        <v>48.4</v>
      </c>
      <c r="G1827">
        <v>169</v>
      </c>
      <c r="H1827">
        <v>137</v>
      </c>
      <c r="I1827" t="s">
        <v>25</v>
      </c>
      <c r="J1827">
        <v>4</v>
      </c>
      <c r="K1827" t="s">
        <v>22</v>
      </c>
      <c r="L1827">
        <v>203221</v>
      </c>
      <c r="M1827">
        <v>3.33</v>
      </c>
      <c r="N1827" s="6">
        <f t="shared" si="28"/>
        <v>9477186948.4799995</v>
      </c>
    </row>
    <row r="1828" spans="1:14" x14ac:dyDescent="0.35">
      <c r="A1828" t="s">
        <v>34</v>
      </c>
      <c r="B1828" t="s">
        <v>44</v>
      </c>
      <c r="C1828">
        <v>2026</v>
      </c>
      <c r="D1828" t="s">
        <v>20</v>
      </c>
      <c r="E1828">
        <v>115211.58</v>
      </c>
      <c r="F1828">
        <v>57.3</v>
      </c>
      <c r="G1828">
        <v>174</v>
      </c>
      <c r="H1828">
        <v>161</v>
      </c>
      <c r="I1828" t="s">
        <v>40</v>
      </c>
      <c r="J1828">
        <v>4</v>
      </c>
      <c r="K1828" t="s">
        <v>17</v>
      </c>
      <c r="L1828">
        <v>42340</v>
      </c>
      <c r="M1828">
        <v>3.43</v>
      </c>
      <c r="N1828" s="6">
        <f t="shared" si="28"/>
        <v>4878058297.1999998</v>
      </c>
    </row>
    <row r="1829" spans="1:14" x14ac:dyDescent="0.35">
      <c r="A1829" t="s">
        <v>13</v>
      </c>
      <c r="B1829" t="s">
        <v>51</v>
      </c>
      <c r="C1829">
        <v>2026</v>
      </c>
      <c r="D1829" t="s">
        <v>43</v>
      </c>
      <c r="E1829">
        <v>44501.34</v>
      </c>
      <c r="F1829">
        <v>41.7</v>
      </c>
      <c r="G1829">
        <v>150</v>
      </c>
      <c r="H1829">
        <v>135</v>
      </c>
      <c r="I1829" t="s">
        <v>33</v>
      </c>
      <c r="J1829">
        <v>5</v>
      </c>
      <c r="K1829" t="s">
        <v>22</v>
      </c>
      <c r="L1829">
        <v>220387</v>
      </c>
      <c r="M1829">
        <v>3.14</v>
      </c>
      <c r="N1829" s="6">
        <f t="shared" si="28"/>
        <v>9807516818.5799999</v>
      </c>
    </row>
    <row r="1830" spans="1:14" x14ac:dyDescent="0.35">
      <c r="A1830" t="s">
        <v>57</v>
      </c>
      <c r="B1830" t="s">
        <v>58</v>
      </c>
      <c r="C1830">
        <v>2026</v>
      </c>
      <c r="D1830" t="s">
        <v>28</v>
      </c>
      <c r="E1830">
        <v>53193.55</v>
      </c>
      <c r="F1830">
        <v>98</v>
      </c>
      <c r="G1830">
        <v>364</v>
      </c>
      <c r="H1830">
        <v>173</v>
      </c>
      <c r="I1830" t="s">
        <v>25</v>
      </c>
      <c r="J1830">
        <v>4</v>
      </c>
      <c r="K1830" t="s">
        <v>22</v>
      </c>
      <c r="L1830">
        <v>23578</v>
      </c>
      <c r="M1830">
        <v>3.93</v>
      </c>
      <c r="N1830" s="6">
        <f t="shared" si="28"/>
        <v>1254197521.9000001</v>
      </c>
    </row>
    <row r="1831" spans="1:14" x14ac:dyDescent="0.35">
      <c r="A1831" t="s">
        <v>109</v>
      </c>
      <c r="B1831" t="s">
        <v>110</v>
      </c>
      <c r="C1831">
        <v>2026</v>
      </c>
      <c r="D1831" t="s">
        <v>15</v>
      </c>
      <c r="E1831">
        <v>51309.25</v>
      </c>
      <c r="F1831">
        <v>118.5</v>
      </c>
      <c r="G1831">
        <v>410</v>
      </c>
      <c r="H1831">
        <v>200</v>
      </c>
      <c r="I1831" t="s">
        <v>40</v>
      </c>
      <c r="J1831">
        <v>5</v>
      </c>
      <c r="K1831" t="s">
        <v>22</v>
      </c>
      <c r="L1831">
        <v>6885</v>
      </c>
      <c r="M1831">
        <v>3.78</v>
      </c>
      <c r="N1831" s="6">
        <f t="shared" si="28"/>
        <v>353264186.25</v>
      </c>
    </row>
    <row r="1832" spans="1:14" x14ac:dyDescent="0.35">
      <c r="A1832" t="s">
        <v>64</v>
      </c>
      <c r="B1832" t="s">
        <v>65</v>
      </c>
      <c r="C1832">
        <v>2026</v>
      </c>
      <c r="D1832" t="s">
        <v>38</v>
      </c>
      <c r="E1832">
        <v>48107.44</v>
      </c>
      <c r="F1832">
        <v>41.6</v>
      </c>
      <c r="G1832">
        <v>150</v>
      </c>
      <c r="H1832">
        <v>169</v>
      </c>
      <c r="I1832" t="s">
        <v>21</v>
      </c>
      <c r="J1832">
        <v>4</v>
      </c>
      <c r="K1832" t="s">
        <v>22</v>
      </c>
      <c r="L1832">
        <v>49300</v>
      </c>
      <c r="M1832">
        <v>3.02</v>
      </c>
      <c r="N1832" s="6">
        <f t="shared" si="28"/>
        <v>2371696792</v>
      </c>
    </row>
    <row r="1833" spans="1:14" x14ac:dyDescent="0.35">
      <c r="A1833" t="s">
        <v>64</v>
      </c>
      <c r="B1833" t="s">
        <v>65</v>
      </c>
      <c r="C1833">
        <v>2026</v>
      </c>
      <c r="D1833" t="s">
        <v>15</v>
      </c>
      <c r="E1833">
        <v>116974.41</v>
      </c>
      <c r="F1833">
        <v>71.900000000000006</v>
      </c>
      <c r="G1833">
        <v>251</v>
      </c>
      <c r="H1833">
        <v>190</v>
      </c>
      <c r="I1833" t="s">
        <v>16</v>
      </c>
      <c r="J1833">
        <v>5</v>
      </c>
      <c r="K1833" t="s">
        <v>17</v>
      </c>
      <c r="L1833">
        <v>50944</v>
      </c>
      <c r="M1833">
        <v>3.38</v>
      </c>
      <c r="N1833" s="6">
        <f t="shared" si="28"/>
        <v>5959144343.04</v>
      </c>
    </row>
    <row r="1834" spans="1:14" x14ac:dyDescent="0.35">
      <c r="A1834" t="s">
        <v>49</v>
      </c>
      <c r="B1834" t="s">
        <v>71</v>
      </c>
      <c r="C1834">
        <v>2026</v>
      </c>
      <c r="D1834" t="s">
        <v>28</v>
      </c>
      <c r="E1834">
        <v>78614.710000000006</v>
      </c>
      <c r="F1834">
        <v>78</v>
      </c>
      <c r="G1834">
        <v>278</v>
      </c>
      <c r="H1834">
        <v>159</v>
      </c>
      <c r="I1834" t="s">
        <v>16</v>
      </c>
      <c r="J1834">
        <v>5</v>
      </c>
      <c r="K1834" t="s">
        <v>20</v>
      </c>
      <c r="L1834">
        <v>126223</v>
      </c>
      <c r="M1834">
        <v>3.68</v>
      </c>
      <c r="N1834" s="6">
        <f t="shared" si="28"/>
        <v>9922984540.3299999</v>
      </c>
    </row>
    <row r="1835" spans="1:14" x14ac:dyDescent="0.35">
      <c r="A1835" t="s">
        <v>34</v>
      </c>
      <c r="B1835" t="s">
        <v>84</v>
      </c>
      <c r="C1835">
        <v>2026</v>
      </c>
      <c r="D1835" t="s">
        <v>43</v>
      </c>
      <c r="E1835">
        <v>135101.31</v>
      </c>
      <c r="F1835">
        <v>74.2</v>
      </c>
      <c r="G1835">
        <v>242</v>
      </c>
      <c r="H1835">
        <v>181</v>
      </c>
      <c r="I1835" t="s">
        <v>21</v>
      </c>
      <c r="J1835">
        <v>4</v>
      </c>
      <c r="K1835" t="s">
        <v>17</v>
      </c>
      <c r="L1835">
        <v>54508</v>
      </c>
      <c r="M1835">
        <v>3.82</v>
      </c>
      <c r="N1835" s="6">
        <f t="shared" si="28"/>
        <v>7364102205.4799995</v>
      </c>
    </row>
    <row r="1836" spans="1:14" x14ac:dyDescent="0.35">
      <c r="A1836" t="s">
        <v>45</v>
      </c>
      <c r="B1836" t="s">
        <v>69</v>
      </c>
      <c r="C1836">
        <v>2026</v>
      </c>
      <c r="D1836" t="s">
        <v>15</v>
      </c>
      <c r="E1836">
        <v>90766.48</v>
      </c>
      <c r="F1836">
        <v>91</v>
      </c>
      <c r="G1836">
        <v>318</v>
      </c>
      <c r="H1836">
        <v>200</v>
      </c>
      <c r="I1836" t="s">
        <v>40</v>
      </c>
      <c r="J1836">
        <v>4</v>
      </c>
      <c r="K1836" t="s">
        <v>20</v>
      </c>
      <c r="L1836">
        <v>205278</v>
      </c>
      <c r="M1836">
        <v>3.53</v>
      </c>
      <c r="N1836" s="6">
        <f t="shared" si="28"/>
        <v>18632361481.439999</v>
      </c>
    </row>
    <row r="1837" spans="1:14" x14ac:dyDescent="0.35">
      <c r="A1837" t="s">
        <v>29</v>
      </c>
      <c r="B1837" t="s">
        <v>31</v>
      </c>
      <c r="C1837">
        <v>2026</v>
      </c>
      <c r="D1837" t="s">
        <v>38</v>
      </c>
      <c r="E1837">
        <v>111102.01</v>
      </c>
      <c r="F1837">
        <v>57.5</v>
      </c>
      <c r="G1837">
        <v>194</v>
      </c>
      <c r="H1837">
        <v>140</v>
      </c>
      <c r="I1837" t="s">
        <v>40</v>
      </c>
      <c r="J1837">
        <v>5</v>
      </c>
      <c r="K1837" t="s">
        <v>17</v>
      </c>
      <c r="L1837">
        <v>457566</v>
      </c>
      <c r="M1837">
        <v>3.79</v>
      </c>
      <c r="N1837" s="6">
        <f t="shared" si="28"/>
        <v>50836502307.659996</v>
      </c>
    </row>
    <row r="1838" spans="1:14" x14ac:dyDescent="0.35">
      <c r="A1838" t="s">
        <v>29</v>
      </c>
      <c r="B1838" t="s">
        <v>53</v>
      </c>
      <c r="C1838">
        <v>2026</v>
      </c>
      <c r="D1838" t="s">
        <v>38</v>
      </c>
      <c r="E1838">
        <v>121350.3</v>
      </c>
      <c r="F1838">
        <v>82.3</v>
      </c>
      <c r="G1838">
        <v>289</v>
      </c>
      <c r="H1838">
        <v>130</v>
      </c>
      <c r="I1838" t="s">
        <v>16</v>
      </c>
      <c r="J1838">
        <v>5</v>
      </c>
      <c r="K1838" t="s">
        <v>17</v>
      </c>
      <c r="L1838">
        <v>144677</v>
      </c>
      <c r="M1838">
        <v>3.86</v>
      </c>
      <c r="N1838" s="6">
        <f t="shared" si="28"/>
        <v>17556597353.100002</v>
      </c>
    </row>
    <row r="1839" spans="1:14" x14ac:dyDescent="0.35">
      <c r="A1839" t="s">
        <v>26</v>
      </c>
      <c r="B1839" t="s">
        <v>61</v>
      </c>
      <c r="C1839">
        <v>2026</v>
      </c>
      <c r="D1839" t="s">
        <v>28</v>
      </c>
      <c r="E1839">
        <v>37918.559999999998</v>
      </c>
      <c r="F1839">
        <v>79.900000000000006</v>
      </c>
      <c r="G1839">
        <v>304</v>
      </c>
      <c r="H1839">
        <v>182</v>
      </c>
      <c r="I1839" t="s">
        <v>21</v>
      </c>
      <c r="J1839">
        <v>5</v>
      </c>
      <c r="K1839" t="s">
        <v>22</v>
      </c>
      <c r="L1839">
        <v>92798</v>
      </c>
      <c r="M1839">
        <v>3.66</v>
      </c>
      <c r="N1839" s="6">
        <f t="shared" si="28"/>
        <v>3518766530.8799996</v>
      </c>
    </row>
    <row r="1840" spans="1:14" x14ac:dyDescent="0.35">
      <c r="A1840" t="s">
        <v>45</v>
      </c>
      <c r="B1840" t="s">
        <v>77</v>
      </c>
      <c r="C1840">
        <v>2026</v>
      </c>
      <c r="D1840" t="s">
        <v>38</v>
      </c>
      <c r="E1840">
        <v>33590.410000000003</v>
      </c>
      <c r="F1840">
        <v>74.099999999999994</v>
      </c>
      <c r="G1840">
        <v>252</v>
      </c>
      <c r="H1840">
        <v>140</v>
      </c>
      <c r="I1840" t="s">
        <v>16</v>
      </c>
      <c r="J1840">
        <v>4</v>
      </c>
      <c r="K1840" t="s">
        <v>47</v>
      </c>
      <c r="L1840">
        <v>225478</v>
      </c>
      <c r="M1840">
        <v>3.58</v>
      </c>
      <c r="N1840" s="6">
        <f t="shared" si="28"/>
        <v>7573898465.9800005</v>
      </c>
    </row>
    <row r="1841" spans="1:14" x14ac:dyDescent="0.35">
      <c r="A1841" t="s">
        <v>45</v>
      </c>
      <c r="B1841" t="s">
        <v>46</v>
      </c>
      <c r="C1841">
        <v>2026</v>
      </c>
      <c r="D1841" t="s">
        <v>43</v>
      </c>
      <c r="E1841">
        <v>75687.78</v>
      </c>
      <c r="F1841">
        <v>57.9</v>
      </c>
      <c r="G1841">
        <v>223</v>
      </c>
      <c r="H1841">
        <v>136</v>
      </c>
      <c r="I1841" t="s">
        <v>40</v>
      </c>
      <c r="J1841">
        <v>3</v>
      </c>
      <c r="K1841" t="s">
        <v>20</v>
      </c>
      <c r="L1841">
        <v>230330</v>
      </c>
      <c r="M1841">
        <v>3.4</v>
      </c>
      <c r="N1841" s="6">
        <f t="shared" si="28"/>
        <v>17433166367.400002</v>
      </c>
    </row>
    <row r="1842" spans="1:14" x14ac:dyDescent="0.35">
      <c r="A1842" t="s">
        <v>49</v>
      </c>
      <c r="B1842" t="s">
        <v>60</v>
      </c>
      <c r="C1842">
        <v>2026</v>
      </c>
      <c r="D1842" t="s">
        <v>28</v>
      </c>
      <c r="E1842">
        <v>93179.93</v>
      </c>
      <c r="F1842">
        <v>102.1</v>
      </c>
      <c r="G1842">
        <v>351</v>
      </c>
      <c r="H1842">
        <v>181</v>
      </c>
      <c r="I1842" t="s">
        <v>40</v>
      </c>
      <c r="J1842">
        <v>4</v>
      </c>
      <c r="K1842" t="s">
        <v>20</v>
      </c>
      <c r="L1842">
        <v>64997</v>
      </c>
      <c r="M1842">
        <v>3.42</v>
      </c>
      <c r="N1842" s="6">
        <f t="shared" si="28"/>
        <v>6056415910.2099991</v>
      </c>
    </row>
    <row r="1843" spans="1:14" x14ac:dyDescent="0.35">
      <c r="A1843" t="s">
        <v>29</v>
      </c>
      <c r="B1843" t="s">
        <v>39</v>
      </c>
      <c r="C1843">
        <v>2026</v>
      </c>
      <c r="D1843" t="s">
        <v>28</v>
      </c>
      <c r="E1843">
        <v>125990.82</v>
      </c>
      <c r="F1843">
        <v>75.3</v>
      </c>
      <c r="G1843">
        <v>272</v>
      </c>
      <c r="H1843">
        <v>171</v>
      </c>
      <c r="I1843" t="s">
        <v>32</v>
      </c>
      <c r="J1843">
        <v>5</v>
      </c>
      <c r="K1843" t="s">
        <v>17</v>
      </c>
      <c r="L1843">
        <v>200607</v>
      </c>
      <c r="M1843">
        <v>3.97</v>
      </c>
      <c r="N1843" s="6">
        <f t="shared" si="28"/>
        <v>25274640427.740002</v>
      </c>
    </row>
    <row r="1844" spans="1:14" x14ac:dyDescent="0.35">
      <c r="A1844" t="s">
        <v>45</v>
      </c>
      <c r="B1844" t="s">
        <v>69</v>
      </c>
      <c r="C1844">
        <v>2026</v>
      </c>
      <c r="D1844" t="s">
        <v>43</v>
      </c>
      <c r="E1844">
        <v>42445.79</v>
      </c>
      <c r="F1844">
        <v>53</v>
      </c>
      <c r="G1844">
        <v>173</v>
      </c>
      <c r="H1844">
        <v>167</v>
      </c>
      <c r="I1844" t="s">
        <v>33</v>
      </c>
      <c r="J1844">
        <v>4</v>
      </c>
      <c r="K1844" t="s">
        <v>22</v>
      </c>
      <c r="L1844">
        <v>217748</v>
      </c>
      <c r="M1844">
        <v>3.05</v>
      </c>
      <c r="N1844" s="6">
        <f t="shared" si="28"/>
        <v>9242485880.9200001</v>
      </c>
    </row>
    <row r="1845" spans="1:14" x14ac:dyDescent="0.35">
      <c r="A1845" t="s">
        <v>57</v>
      </c>
      <c r="B1845" t="s">
        <v>79</v>
      </c>
      <c r="C1845">
        <v>2026</v>
      </c>
      <c r="D1845" t="s">
        <v>38</v>
      </c>
      <c r="E1845">
        <v>55828.42</v>
      </c>
      <c r="F1845">
        <v>47.5</v>
      </c>
      <c r="G1845">
        <v>163</v>
      </c>
      <c r="H1845">
        <v>167</v>
      </c>
      <c r="I1845" t="s">
        <v>32</v>
      </c>
      <c r="J1845">
        <v>5</v>
      </c>
      <c r="K1845" t="s">
        <v>22</v>
      </c>
      <c r="L1845">
        <v>64449</v>
      </c>
      <c r="M1845">
        <v>3.39</v>
      </c>
      <c r="N1845" s="6">
        <f t="shared" si="28"/>
        <v>3598085840.5799999</v>
      </c>
    </row>
    <row r="1846" spans="1:14" x14ac:dyDescent="0.35">
      <c r="A1846" t="s">
        <v>13</v>
      </c>
      <c r="B1846" t="s">
        <v>66</v>
      </c>
      <c r="C1846">
        <v>2026</v>
      </c>
      <c r="D1846" t="s">
        <v>43</v>
      </c>
      <c r="E1846">
        <v>36867.620000000003</v>
      </c>
      <c r="F1846">
        <v>42</v>
      </c>
      <c r="G1846">
        <v>175</v>
      </c>
      <c r="H1846">
        <v>148</v>
      </c>
      <c r="I1846" t="s">
        <v>25</v>
      </c>
      <c r="J1846">
        <v>5</v>
      </c>
      <c r="K1846" t="s">
        <v>22</v>
      </c>
      <c r="L1846">
        <v>299992</v>
      </c>
      <c r="M1846">
        <v>3.38</v>
      </c>
      <c r="N1846" s="6">
        <f t="shared" si="28"/>
        <v>11059991059.040001</v>
      </c>
    </row>
    <row r="1847" spans="1:14" x14ac:dyDescent="0.35">
      <c r="A1847" t="s">
        <v>23</v>
      </c>
      <c r="B1847" t="s">
        <v>37</v>
      </c>
      <c r="C1847">
        <v>2026</v>
      </c>
      <c r="D1847" t="s">
        <v>43</v>
      </c>
      <c r="E1847">
        <v>47749.35</v>
      </c>
      <c r="F1847">
        <v>64.3</v>
      </c>
      <c r="G1847">
        <v>253</v>
      </c>
      <c r="H1847">
        <v>170</v>
      </c>
      <c r="I1847" t="s">
        <v>16</v>
      </c>
      <c r="J1847">
        <v>5</v>
      </c>
      <c r="K1847" t="s">
        <v>22</v>
      </c>
      <c r="L1847">
        <v>11602</v>
      </c>
      <c r="M1847">
        <v>3.26</v>
      </c>
      <c r="N1847" s="6">
        <f t="shared" si="28"/>
        <v>553987958.69999993</v>
      </c>
    </row>
    <row r="1848" spans="1:14" x14ac:dyDescent="0.35">
      <c r="A1848" t="s">
        <v>64</v>
      </c>
      <c r="B1848" t="s">
        <v>85</v>
      </c>
      <c r="C1848">
        <v>2026</v>
      </c>
      <c r="D1848" t="s">
        <v>43</v>
      </c>
      <c r="E1848">
        <v>111337.67</v>
      </c>
      <c r="F1848">
        <v>83.1</v>
      </c>
      <c r="G1848">
        <v>295</v>
      </c>
      <c r="H1848">
        <v>167</v>
      </c>
      <c r="I1848" t="s">
        <v>25</v>
      </c>
      <c r="J1848">
        <v>4</v>
      </c>
      <c r="K1848" t="s">
        <v>17</v>
      </c>
      <c r="L1848">
        <v>20689</v>
      </c>
      <c r="M1848">
        <v>3.65</v>
      </c>
      <c r="N1848" s="6">
        <f t="shared" si="28"/>
        <v>2303465054.6300001</v>
      </c>
    </row>
    <row r="1849" spans="1:14" x14ac:dyDescent="0.35">
      <c r="A1849" t="s">
        <v>29</v>
      </c>
      <c r="B1849" t="s">
        <v>31</v>
      </c>
      <c r="C1849">
        <v>2026</v>
      </c>
      <c r="D1849" t="s">
        <v>38</v>
      </c>
      <c r="E1849">
        <v>113350.86</v>
      </c>
      <c r="F1849">
        <v>73.5</v>
      </c>
      <c r="G1849">
        <v>268</v>
      </c>
      <c r="H1849">
        <v>155</v>
      </c>
      <c r="I1849" t="s">
        <v>40</v>
      </c>
      <c r="J1849">
        <v>5</v>
      </c>
      <c r="K1849" t="s">
        <v>17</v>
      </c>
      <c r="L1849">
        <v>463970</v>
      </c>
      <c r="M1849">
        <v>3.62</v>
      </c>
      <c r="N1849" s="6">
        <f t="shared" si="28"/>
        <v>52591398514.199997</v>
      </c>
    </row>
    <row r="1850" spans="1:14" x14ac:dyDescent="0.35">
      <c r="A1850" t="s">
        <v>13</v>
      </c>
      <c r="B1850" t="s">
        <v>66</v>
      </c>
      <c r="C1850">
        <v>2026</v>
      </c>
      <c r="D1850" t="s">
        <v>28</v>
      </c>
      <c r="E1850">
        <v>57231.82</v>
      </c>
      <c r="F1850">
        <v>83.1</v>
      </c>
      <c r="G1850">
        <v>283</v>
      </c>
      <c r="H1850">
        <v>170</v>
      </c>
      <c r="I1850" t="s">
        <v>25</v>
      </c>
      <c r="J1850">
        <v>4</v>
      </c>
      <c r="K1850" t="s">
        <v>22</v>
      </c>
      <c r="L1850">
        <v>290062</v>
      </c>
      <c r="M1850">
        <v>3.77</v>
      </c>
      <c r="N1850" s="6">
        <f t="shared" si="28"/>
        <v>16600776172.84</v>
      </c>
    </row>
    <row r="1851" spans="1:14" x14ac:dyDescent="0.35">
      <c r="A1851" t="s">
        <v>26</v>
      </c>
      <c r="B1851" t="s">
        <v>52</v>
      </c>
      <c r="C1851">
        <v>2026</v>
      </c>
      <c r="D1851" t="s">
        <v>28</v>
      </c>
      <c r="E1851">
        <v>38689.25</v>
      </c>
      <c r="F1851">
        <v>93</v>
      </c>
      <c r="G1851">
        <v>330</v>
      </c>
      <c r="H1851">
        <v>173</v>
      </c>
      <c r="I1851" t="s">
        <v>21</v>
      </c>
      <c r="J1851">
        <v>3</v>
      </c>
      <c r="K1851" t="s">
        <v>22</v>
      </c>
      <c r="L1851">
        <v>112175</v>
      </c>
      <c r="M1851">
        <v>3.57</v>
      </c>
      <c r="N1851" s="6">
        <f t="shared" si="28"/>
        <v>4339966618.75</v>
      </c>
    </row>
    <row r="1852" spans="1:14" x14ac:dyDescent="0.35">
      <c r="A1852" t="s">
        <v>29</v>
      </c>
      <c r="B1852" t="s">
        <v>30</v>
      </c>
      <c r="C1852">
        <v>2026</v>
      </c>
      <c r="D1852" t="s">
        <v>43</v>
      </c>
      <c r="E1852">
        <v>127646.69</v>
      </c>
      <c r="F1852">
        <v>65.599999999999994</v>
      </c>
      <c r="G1852">
        <v>239</v>
      </c>
      <c r="H1852">
        <v>154</v>
      </c>
      <c r="I1852" t="s">
        <v>21</v>
      </c>
      <c r="J1852">
        <v>4</v>
      </c>
      <c r="K1852" t="s">
        <v>17</v>
      </c>
      <c r="L1852">
        <v>120535</v>
      </c>
      <c r="M1852">
        <v>3.74</v>
      </c>
      <c r="N1852" s="6">
        <f t="shared" si="28"/>
        <v>15385893779.15</v>
      </c>
    </row>
    <row r="1853" spans="1:14" x14ac:dyDescent="0.35">
      <c r="A1853" t="s">
        <v>102</v>
      </c>
      <c r="B1853" t="s">
        <v>115</v>
      </c>
      <c r="C1853">
        <v>2026</v>
      </c>
      <c r="D1853" t="s">
        <v>28</v>
      </c>
      <c r="E1853">
        <v>68234.87</v>
      </c>
      <c r="F1853">
        <v>75.5</v>
      </c>
      <c r="G1853">
        <v>251</v>
      </c>
      <c r="H1853">
        <v>165</v>
      </c>
      <c r="I1853" t="s">
        <v>21</v>
      </c>
      <c r="J1853">
        <v>4</v>
      </c>
      <c r="K1853" t="s">
        <v>20</v>
      </c>
      <c r="L1853">
        <v>22605</v>
      </c>
      <c r="M1853">
        <v>3.33</v>
      </c>
      <c r="N1853" s="6">
        <f t="shared" si="28"/>
        <v>1542449236.3499999</v>
      </c>
    </row>
    <row r="1854" spans="1:14" x14ac:dyDescent="0.35">
      <c r="A1854" t="s">
        <v>75</v>
      </c>
      <c r="B1854" t="s">
        <v>108</v>
      </c>
      <c r="C1854">
        <v>2026</v>
      </c>
      <c r="D1854" t="s">
        <v>43</v>
      </c>
      <c r="E1854">
        <v>87078.44</v>
      </c>
      <c r="F1854">
        <v>72.099999999999994</v>
      </c>
      <c r="G1854">
        <v>262</v>
      </c>
      <c r="H1854">
        <v>150</v>
      </c>
      <c r="I1854" t="s">
        <v>33</v>
      </c>
      <c r="J1854">
        <v>5</v>
      </c>
      <c r="K1854" t="s">
        <v>20</v>
      </c>
      <c r="L1854">
        <v>21561</v>
      </c>
      <c r="M1854">
        <v>3.72</v>
      </c>
      <c r="N1854" s="6">
        <f t="shared" si="28"/>
        <v>1877498244.8400002</v>
      </c>
    </row>
    <row r="1855" spans="1:14" x14ac:dyDescent="0.35">
      <c r="A1855" t="s">
        <v>41</v>
      </c>
      <c r="B1855" t="s">
        <v>42</v>
      </c>
      <c r="C1855">
        <v>2026</v>
      </c>
      <c r="D1855" t="s">
        <v>38</v>
      </c>
      <c r="E1855">
        <v>89077.35</v>
      </c>
      <c r="F1855">
        <v>81.7</v>
      </c>
      <c r="G1855">
        <v>286</v>
      </c>
      <c r="H1855">
        <v>155</v>
      </c>
      <c r="I1855" t="s">
        <v>33</v>
      </c>
      <c r="J1855">
        <v>4</v>
      </c>
      <c r="K1855" t="s">
        <v>20</v>
      </c>
      <c r="L1855">
        <v>28442</v>
      </c>
      <c r="M1855">
        <v>3.61</v>
      </c>
      <c r="N1855" s="6">
        <f t="shared" si="28"/>
        <v>2533537988.7000003</v>
      </c>
    </row>
    <row r="1856" spans="1:14" x14ac:dyDescent="0.35">
      <c r="A1856" t="s">
        <v>29</v>
      </c>
      <c r="B1856" t="s">
        <v>53</v>
      </c>
      <c r="C1856">
        <v>2026</v>
      </c>
      <c r="D1856" t="s">
        <v>38</v>
      </c>
      <c r="E1856">
        <v>101101.42</v>
      </c>
      <c r="F1856">
        <v>71.8</v>
      </c>
      <c r="G1856">
        <v>255</v>
      </c>
      <c r="H1856">
        <v>163</v>
      </c>
      <c r="I1856" t="s">
        <v>16</v>
      </c>
      <c r="J1856">
        <v>3</v>
      </c>
      <c r="K1856" t="s">
        <v>17</v>
      </c>
      <c r="L1856">
        <v>118722</v>
      </c>
      <c r="M1856">
        <v>3.89</v>
      </c>
      <c r="N1856" s="6">
        <f t="shared" si="28"/>
        <v>12002962785.24</v>
      </c>
    </row>
    <row r="1857" spans="1:14" x14ac:dyDescent="0.35">
      <c r="A1857" t="s">
        <v>26</v>
      </c>
      <c r="B1857" t="s">
        <v>96</v>
      </c>
      <c r="C1857">
        <v>2026</v>
      </c>
      <c r="D1857" t="s">
        <v>38</v>
      </c>
      <c r="E1857">
        <v>65902.95</v>
      </c>
      <c r="F1857">
        <v>59.6</v>
      </c>
      <c r="G1857">
        <v>203</v>
      </c>
      <c r="H1857">
        <v>132</v>
      </c>
      <c r="I1857" t="s">
        <v>40</v>
      </c>
      <c r="J1857">
        <v>4</v>
      </c>
      <c r="K1857" t="s">
        <v>20</v>
      </c>
      <c r="L1857">
        <v>95119</v>
      </c>
      <c r="M1857">
        <v>3.3</v>
      </c>
      <c r="N1857" s="6">
        <f t="shared" si="28"/>
        <v>6268622701.0500002</v>
      </c>
    </row>
    <row r="1858" spans="1:14" x14ac:dyDescent="0.35">
      <c r="A1858" t="s">
        <v>64</v>
      </c>
      <c r="B1858" t="s">
        <v>70</v>
      </c>
      <c r="C1858">
        <v>2026</v>
      </c>
      <c r="D1858" t="s">
        <v>43</v>
      </c>
      <c r="E1858">
        <v>62674.5</v>
      </c>
      <c r="F1858">
        <v>70.599999999999994</v>
      </c>
      <c r="G1858">
        <v>211</v>
      </c>
      <c r="H1858">
        <v>160</v>
      </c>
      <c r="I1858" t="s">
        <v>33</v>
      </c>
      <c r="J1858">
        <v>3</v>
      </c>
      <c r="K1858" t="s">
        <v>22</v>
      </c>
      <c r="L1858">
        <v>61611</v>
      </c>
      <c r="M1858">
        <v>3.24</v>
      </c>
      <c r="N1858" s="6">
        <f t="shared" ref="N1858:N1921" si="29">E1858*L1858</f>
        <v>3861438619.5</v>
      </c>
    </row>
    <row r="1859" spans="1:14" x14ac:dyDescent="0.35">
      <c r="A1859" t="s">
        <v>13</v>
      </c>
      <c r="B1859" t="s">
        <v>14</v>
      </c>
      <c r="C1859">
        <v>2026</v>
      </c>
      <c r="D1859" t="s">
        <v>20</v>
      </c>
      <c r="E1859">
        <v>50055.73</v>
      </c>
      <c r="F1859">
        <v>71.2</v>
      </c>
      <c r="G1859">
        <v>256</v>
      </c>
      <c r="H1859">
        <v>140</v>
      </c>
      <c r="I1859" t="s">
        <v>32</v>
      </c>
      <c r="J1859">
        <v>5</v>
      </c>
      <c r="K1859" t="s">
        <v>22</v>
      </c>
      <c r="L1859">
        <v>296123</v>
      </c>
      <c r="M1859">
        <v>3.65</v>
      </c>
      <c r="N1859" s="6">
        <f t="shared" si="29"/>
        <v>14822652934.790001</v>
      </c>
    </row>
    <row r="1860" spans="1:14" x14ac:dyDescent="0.35">
      <c r="A1860" t="s">
        <v>67</v>
      </c>
      <c r="B1860" t="s">
        <v>68</v>
      </c>
      <c r="C1860">
        <v>2026</v>
      </c>
      <c r="D1860" t="s">
        <v>20</v>
      </c>
      <c r="E1860">
        <v>101046.9</v>
      </c>
      <c r="F1860">
        <v>80.3</v>
      </c>
      <c r="G1860">
        <v>301</v>
      </c>
      <c r="H1860">
        <v>174</v>
      </c>
      <c r="I1860" t="s">
        <v>21</v>
      </c>
      <c r="J1860">
        <v>4</v>
      </c>
      <c r="K1860" t="s">
        <v>17</v>
      </c>
      <c r="L1860">
        <v>68624</v>
      </c>
      <c r="M1860">
        <v>3.78</v>
      </c>
      <c r="N1860" s="6">
        <f t="shared" si="29"/>
        <v>6934242465.5999994</v>
      </c>
    </row>
    <row r="1861" spans="1:14" x14ac:dyDescent="0.35">
      <c r="A1861" t="s">
        <v>45</v>
      </c>
      <c r="B1861" t="s">
        <v>69</v>
      </c>
      <c r="C1861">
        <v>2026</v>
      </c>
      <c r="D1861" t="s">
        <v>28</v>
      </c>
      <c r="E1861">
        <v>92693.85</v>
      </c>
      <c r="F1861">
        <v>89.9</v>
      </c>
      <c r="G1861">
        <v>310</v>
      </c>
      <c r="H1861">
        <v>159</v>
      </c>
      <c r="I1861" t="s">
        <v>16</v>
      </c>
      <c r="J1861">
        <v>5</v>
      </c>
      <c r="K1861" t="s">
        <v>20</v>
      </c>
      <c r="L1861">
        <v>133159</v>
      </c>
      <c r="M1861">
        <v>3.42</v>
      </c>
      <c r="N1861" s="6">
        <f t="shared" si="29"/>
        <v>12343020372.150002</v>
      </c>
    </row>
    <row r="1862" spans="1:14" x14ac:dyDescent="0.35">
      <c r="A1862" t="s">
        <v>45</v>
      </c>
      <c r="B1862" t="s">
        <v>48</v>
      </c>
      <c r="C1862">
        <v>2026</v>
      </c>
      <c r="D1862" t="s">
        <v>15</v>
      </c>
      <c r="E1862">
        <v>110109.78</v>
      </c>
      <c r="F1862">
        <v>119.3</v>
      </c>
      <c r="G1862">
        <v>403</v>
      </c>
      <c r="H1862">
        <v>200</v>
      </c>
      <c r="I1862" t="s">
        <v>25</v>
      </c>
      <c r="J1862">
        <v>4</v>
      </c>
      <c r="K1862" t="s">
        <v>17</v>
      </c>
      <c r="L1862">
        <v>116675</v>
      </c>
      <c r="M1862">
        <v>4.1900000000000004</v>
      </c>
      <c r="N1862" s="6">
        <f t="shared" si="29"/>
        <v>12847058581.5</v>
      </c>
    </row>
    <row r="1863" spans="1:14" x14ac:dyDescent="0.35">
      <c r="A1863" t="s">
        <v>23</v>
      </c>
      <c r="B1863" t="s">
        <v>83</v>
      </c>
      <c r="C1863">
        <v>2026</v>
      </c>
      <c r="D1863" t="s">
        <v>20</v>
      </c>
      <c r="E1863">
        <v>81491.33</v>
      </c>
      <c r="F1863">
        <v>73.3</v>
      </c>
      <c r="G1863">
        <v>257</v>
      </c>
      <c r="H1863">
        <v>145</v>
      </c>
      <c r="I1863" t="s">
        <v>21</v>
      </c>
      <c r="J1863">
        <v>3</v>
      </c>
      <c r="K1863" t="s">
        <v>20</v>
      </c>
      <c r="L1863">
        <v>15310</v>
      </c>
      <c r="M1863">
        <v>3.75</v>
      </c>
      <c r="N1863" s="6">
        <f t="shared" si="29"/>
        <v>1247632262.3</v>
      </c>
    </row>
    <row r="1864" spans="1:14" x14ac:dyDescent="0.35">
      <c r="A1864" t="s">
        <v>45</v>
      </c>
      <c r="B1864" t="s">
        <v>48</v>
      </c>
      <c r="C1864">
        <v>2026</v>
      </c>
      <c r="D1864" t="s">
        <v>28</v>
      </c>
      <c r="E1864">
        <v>104593.9</v>
      </c>
      <c r="F1864">
        <v>89.1</v>
      </c>
      <c r="G1864">
        <v>296</v>
      </c>
      <c r="H1864">
        <v>172</v>
      </c>
      <c r="I1864" t="s">
        <v>25</v>
      </c>
      <c r="J1864">
        <v>5</v>
      </c>
      <c r="K1864" t="s">
        <v>17</v>
      </c>
      <c r="L1864">
        <v>219672</v>
      </c>
      <c r="M1864">
        <v>3.59</v>
      </c>
      <c r="N1864" s="6">
        <f t="shared" si="29"/>
        <v>22976351200.799999</v>
      </c>
    </row>
    <row r="1865" spans="1:14" x14ac:dyDescent="0.35">
      <c r="A1865" t="s">
        <v>57</v>
      </c>
      <c r="B1865" t="s">
        <v>72</v>
      </c>
      <c r="C1865">
        <v>2026</v>
      </c>
      <c r="D1865" t="s">
        <v>20</v>
      </c>
      <c r="E1865">
        <v>95704.24</v>
      </c>
      <c r="F1865">
        <v>84.6</v>
      </c>
      <c r="G1865">
        <v>300</v>
      </c>
      <c r="H1865">
        <v>176</v>
      </c>
      <c r="I1865" t="s">
        <v>16</v>
      </c>
      <c r="J1865">
        <v>5</v>
      </c>
      <c r="K1865" t="s">
        <v>20</v>
      </c>
      <c r="L1865">
        <v>70819</v>
      </c>
      <c r="M1865">
        <v>3.48</v>
      </c>
      <c r="N1865" s="6">
        <f t="shared" si="29"/>
        <v>6777678572.5600004</v>
      </c>
    </row>
    <row r="1866" spans="1:14" x14ac:dyDescent="0.35">
      <c r="A1866" t="s">
        <v>26</v>
      </c>
      <c r="B1866" t="s">
        <v>96</v>
      </c>
      <c r="C1866">
        <v>2026</v>
      </c>
      <c r="D1866" t="s">
        <v>20</v>
      </c>
      <c r="E1866">
        <v>81787.56</v>
      </c>
      <c r="F1866">
        <v>61.8</v>
      </c>
      <c r="G1866">
        <v>200</v>
      </c>
      <c r="H1866">
        <v>173</v>
      </c>
      <c r="I1866" t="s">
        <v>33</v>
      </c>
      <c r="J1866">
        <v>3</v>
      </c>
      <c r="K1866" t="s">
        <v>20</v>
      </c>
      <c r="L1866">
        <v>103637</v>
      </c>
      <c r="M1866">
        <v>3.28</v>
      </c>
      <c r="N1866" s="6">
        <f t="shared" si="29"/>
        <v>8476217355.7199993</v>
      </c>
    </row>
    <row r="1867" spans="1:14" x14ac:dyDescent="0.35">
      <c r="A1867" t="s">
        <v>45</v>
      </c>
      <c r="B1867" t="s">
        <v>69</v>
      </c>
      <c r="C1867">
        <v>2026</v>
      </c>
      <c r="D1867" t="s">
        <v>43</v>
      </c>
      <c r="E1867">
        <v>76922.710000000006</v>
      </c>
      <c r="F1867">
        <v>71.2</v>
      </c>
      <c r="G1867">
        <v>254</v>
      </c>
      <c r="H1867">
        <v>139</v>
      </c>
      <c r="I1867" t="s">
        <v>16</v>
      </c>
      <c r="J1867">
        <v>5</v>
      </c>
      <c r="K1867" t="s">
        <v>20</v>
      </c>
      <c r="L1867">
        <v>121433</v>
      </c>
      <c r="M1867">
        <v>3.41</v>
      </c>
      <c r="N1867" s="6">
        <f t="shared" si="29"/>
        <v>9340955443.4300003</v>
      </c>
    </row>
    <row r="1868" spans="1:14" x14ac:dyDescent="0.35">
      <c r="A1868" t="s">
        <v>29</v>
      </c>
      <c r="B1868" t="s">
        <v>31</v>
      </c>
      <c r="C1868">
        <v>2026</v>
      </c>
      <c r="D1868" t="s">
        <v>43</v>
      </c>
      <c r="E1868">
        <v>131838.32999999999</v>
      </c>
      <c r="F1868">
        <v>68.900000000000006</v>
      </c>
      <c r="G1868">
        <v>241</v>
      </c>
      <c r="H1868">
        <v>152</v>
      </c>
      <c r="I1868" t="s">
        <v>40</v>
      </c>
      <c r="J1868">
        <v>5</v>
      </c>
      <c r="K1868" t="s">
        <v>17</v>
      </c>
      <c r="L1868">
        <v>410211</v>
      </c>
      <c r="M1868">
        <v>3.81</v>
      </c>
      <c r="N1868" s="6">
        <f t="shared" si="29"/>
        <v>54081533187.629997</v>
      </c>
    </row>
    <row r="1869" spans="1:14" x14ac:dyDescent="0.35">
      <c r="A1869" t="s">
        <v>49</v>
      </c>
      <c r="B1869" t="s">
        <v>87</v>
      </c>
      <c r="C1869">
        <v>2026</v>
      </c>
      <c r="D1869" t="s">
        <v>43</v>
      </c>
      <c r="E1869">
        <v>60217.03</v>
      </c>
      <c r="F1869">
        <v>73.900000000000006</v>
      </c>
      <c r="G1869">
        <v>251</v>
      </c>
      <c r="H1869">
        <v>159</v>
      </c>
      <c r="I1869" t="s">
        <v>21</v>
      </c>
      <c r="J1869">
        <v>4</v>
      </c>
      <c r="K1869" t="s">
        <v>22</v>
      </c>
      <c r="L1869">
        <v>83698</v>
      </c>
      <c r="M1869">
        <v>3.17</v>
      </c>
      <c r="N1869" s="6">
        <f t="shared" si="29"/>
        <v>5040044976.9399996</v>
      </c>
    </row>
    <row r="1870" spans="1:14" x14ac:dyDescent="0.35">
      <c r="A1870" t="s">
        <v>26</v>
      </c>
      <c r="B1870" t="s">
        <v>27</v>
      </c>
      <c r="C1870">
        <v>2026</v>
      </c>
      <c r="D1870" t="s">
        <v>38</v>
      </c>
      <c r="E1870">
        <v>72429.61</v>
      </c>
      <c r="F1870">
        <v>64.2</v>
      </c>
      <c r="G1870">
        <v>178</v>
      </c>
      <c r="H1870">
        <v>153</v>
      </c>
      <c r="I1870" t="s">
        <v>21</v>
      </c>
      <c r="J1870">
        <v>5</v>
      </c>
      <c r="K1870" t="s">
        <v>20</v>
      </c>
      <c r="L1870">
        <v>52716</v>
      </c>
      <c r="M1870">
        <v>3</v>
      </c>
      <c r="N1870" s="6">
        <f t="shared" si="29"/>
        <v>3818199320.7600002</v>
      </c>
    </row>
    <row r="1871" spans="1:14" x14ac:dyDescent="0.35">
      <c r="A1871" t="s">
        <v>75</v>
      </c>
      <c r="B1871" t="s">
        <v>101</v>
      </c>
      <c r="C1871">
        <v>2026</v>
      </c>
      <c r="D1871" t="s">
        <v>28</v>
      </c>
      <c r="E1871">
        <v>98562.96</v>
      </c>
      <c r="F1871">
        <v>97.1</v>
      </c>
      <c r="G1871">
        <v>316</v>
      </c>
      <c r="H1871">
        <v>160</v>
      </c>
      <c r="I1871" t="s">
        <v>21</v>
      </c>
      <c r="J1871">
        <v>3</v>
      </c>
      <c r="K1871" t="s">
        <v>20</v>
      </c>
      <c r="L1871">
        <v>20133</v>
      </c>
      <c r="M1871">
        <v>3.71</v>
      </c>
      <c r="N1871" s="6">
        <f t="shared" si="29"/>
        <v>1984368073.6800001</v>
      </c>
    </row>
    <row r="1872" spans="1:14" x14ac:dyDescent="0.35">
      <c r="A1872" t="s">
        <v>34</v>
      </c>
      <c r="B1872" t="s">
        <v>78</v>
      </c>
      <c r="C1872">
        <v>2026</v>
      </c>
      <c r="D1872" t="s">
        <v>20</v>
      </c>
      <c r="E1872">
        <v>151394.73000000001</v>
      </c>
      <c r="F1872">
        <v>70.8</v>
      </c>
      <c r="G1872">
        <v>264</v>
      </c>
      <c r="H1872">
        <v>153</v>
      </c>
      <c r="I1872" t="s">
        <v>25</v>
      </c>
      <c r="J1872">
        <v>5</v>
      </c>
      <c r="K1872" t="s">
        <v>17</v>
      </c>
      <c r="L1872">
        <v>37405</v>
      </c>
      <c r="M1872">
        <v>3.71</v>
      </c>
      <c r="N1872" s="6">
        <f t="shared" si="29"/>
        <v>5662919875.6500006</v>
      </c>
    </row>
    <row r="1873" spans="1:14" x14ac:dyDescent="0.35">
      <c r="A1873" t="s">
        <v>13</v>
      </c>
      <c r="B1873" t="s">
        <v>14</v>
      </c>
      <c r="C1873">
        <v>2026</v>
      </c>
      <c r="D1873" t="s">
        <v>28</v>
      </c>
      <c r="E1873">
        <v>42399.68</v>
      </c>
      <c r="F1873">
        <v>101.9</v>
      </c>
      <c r="G1873">
        <v>356</v>
      </c>
      <c r="H1873">
        <v>186</v>
      </c>
      <c r="I1873" t="s">
        <v>32</v>
      </c>
      <c r="J1873">
        <v>4</v>
      </c>
      <c r="K1873" t="s">
        <v>22</v>
      </c>
      <c r="L1873">
        <v>252676</v>
      </c>
      <c r="M1873">
        <v>3.68</v>
      </c>
      <c r="N1873" s="6">
        <f t="shared" si="29"/>
        <v>10713381543.68</v>
      </c>
    </row>
    <row r="1874" spans="1:14" x14ac:dyDescent="0.35">
      <c r="A1874" t="s">
        <v>45</v>
      </c>
      <c r="B1874" t="s">
        <v>48</v>
      </c>
      <c r="C1874">
        <v>2026</v>
      </c>
      <c r="D1874" t="s">
        <v>15</v>
      </c>
      <c r="E1874">
        <v>31933.47</v>
      </c>
      <c r="F1874">
        <v>119.9</v>
      </c>
      <c r="G1874">
        <v>430</v>
      </c>
      <c r="H1874">
        <v>200</v>
      </c>
      <c r="I1874" t="s">
        <v>33</v>
      </c>
      <c r="J1874">
        <v>3</v>
      </c>
      <c r="K1874" t="s">
        <v>47</v>
      </c>
      <c r="L1874">
        <v>219100</v>
      </c>
      <c r="M1874">
        <v>4.1900000000000004</v>
      </c>
      <c r="N1874" s="6">
        <f t="shared" si="29"/>
        <v>6996623277</v>
      </c>
    </row>
    <row r="1875" spans="1:14" x14ac:dyDescent="0.35">
      <c r="A1875" t="s">
        <v>13</v>
      </c>
      <c r="B1875" t="s">
        <v>66</v>
      </c>
      <c r="C1875">
        <v>2026</v>
      </c>
      <c r="D1875" t="s">
        <v>43</v>
      </c>
      <c r="E1875">
        <v>33483.919999999998</v>
      </c>
      <c r="F1875">
        <v>82.6</v>
      </c>
      <c r="G1875">
        <v>293</v>
      </c>
      <c r="H1875">
        <v>160</v>
      </c>
      <c r="I1875" t="s">
        <v>16</v>
      </c>
      <c r="J1875">
        <v>5</v>
      </c>
      <c r="K1875" t="s">
        <v>47</v>
      </c>
      <c r="L1875">
        <v>207337</v>
      </c>
      <c r="M1875">
        <v>3.62</v>
      </c>
      <c r="N1875" s="6">
        <f t="shared" si="29"/>
        <v>6942455521.04</v>
      </c>
    </row>
    <row r="1876" spans="1:14" x14ac:dyDescent="0.35">
      <c r="A1876" t="s">
        <v>75</v>
      </c>
      <c r="B1876" t="s">
        <v>108</v>
      </c>
      <c r="C1876">
        <v>2026</v>
      </c>
      <c r="D1876" t="s">
        <v>20</v>
      </c>
      <c r="E1876">
        <v>110739.07</v>
      </c>
      <c r="F1876">
        <v>48.4</v>
      </c>
      <c r="G1876">
        <v>163</v>
      </c>
      <c r="H1876">
        <v>146</v>
      </c>
      <c r="I1876" t="s">
        <v>40</v>
      </c>
      <c r="J1876">
        <v>5</v>
      </c>
      <c r="K1876" t="s">
        <v>17</v>
      </c>
      <c r="L1876">
        <v>26386</v>
      </c>
      <c r="M1876">
        <v>3.24</v>
      </c>
      <c r="N1876" s="6">
        <f t="shared" si="29"/>
        <v>2921961101.02</v>
      </c>
    </row>
    <row r="1877" spans="1:14" x14ac:dyDescent="0.35">
      <c r="A1877" t="s">
        <v>67</v>
      </c>
      <c r="B1877" t="s">
        <v>98</v>
      </c>
      <c r="C1877">
        <v>2026</v>
      </c>
      <c r="D1877" t="s">
        <v>15</v>
      </c>
      <c r="E1877">
        <v>163470.92000000001</v>
      </c>
      <c r="F1877">
        <v>73.400000000000006</v>
      </c>
      <c r="G1877">
        <v>267</v>
      </c>
      <c r="H1877">
        <v>196</v>
      </c>
      <c r="I1877" t="s">
        <v>40</v>
      </c>
      <c r="J1877">
        <v>5</v>
      </c>
      <c r="K1877" t="s">
        <v>17</v>
      </c>
      <c r="L1877">
        <v>31112</v>
      </c>
      <c r="M1877">
        <v>3.43</v>
      </c>
      <c r="N1877" s="6">
        <f t="shared" si="29"/>
        <v>5085907263.04</v>
      </c>
    </row>
    <row r="1878" spans="1:14" x14ac:dyDescent="0.35">
      <c r="A1878" t="s">
        <v>26</v>
      </c>
      <c r="B1878" t="s">
        <v>36</v>
      </c>
      <c r="C1878">
        <v>2026</v>
      </c>
      <c r="D1878" t="s">
        <v>15</v>
      </c>
      <c r="E1878">
        <v>110515.91</v>
      </c>
      <c r="F1878">
        <v>78.099999999999994</v>
      </c>
      <c r="G1878">
        <v>283</v>
      </c>
      <c r="H1878">
        <v>200</v>
      </c>
      <c r="I1878" t="s">
        <v>33</v>
      </c>
      <c r="J1878">
        <v>5</v>
      </c>
      <c r="K1878" t="s">
        <v>17</v>
      </c>
      <c r="L1878">
        <v>62032</v>
      </c>
      <c r="M1878">
        <v>3.56</v>
      </c>
      <c r="N1878" s="6">
        <f t="shared" si="29"/>
        <v>6855522929.1199999</v>
      </c>
    </row>
    <row r="1879" spans="1:14" x14ac:dyDescent="0.35">
      <c r="A1879" t="s">
        <v>13</v>
      </c>
      <c r="B1879" t="s">
        <v>66</v>
      </c>
      <c r="C1879">
        <v>2026</v>
      </c>
      <c r="D1879" t="s">
        <v>38</v>
      </c>
      <c r="E1879">
        <v>56734.76</v>
      </c>
      <c r="F1879">
        <v>49.7</v>
      </c>
      <c r="G1879">
        <v>207</v>
      </c>
      <c r="H1879">
        <v>168</v>
      </c>
      <c r="I1879" t="s">
        <v>32</v>
      </c>
      <c r="J1879">
        <v>4</v>
      </c>
      <c r="K1879" t="s">
        <v>22</v>
      </c>
      <c r="L1879">
        <v>257294</v>
      </c>
      <c r="M1879">
        <v>3.13</v>
      </c>
      <c r="N1879" s="6">
        <f t="shared" si="29"/>
        <v>14597513339.440001</v>
      </c>
    </row>
    <row r="1880" spans="1:14" x14ac:dyDescent="0.35">
      <c r="A1880" t="s">
        <v>64</v>
      </c>
      <c r="B1880" t="s">
        <v>65</v>
      </c>
      <c r="C1880">
        <v>2026</v>
      </c>
      <c r="D1880" t="s">
        <v>20</v>
      </c>
      <c r="E1880">
        <v>125746.52</v>
      </c>
      <c r="F1880">
        <v>63.5</v>
      </c>
      <c r="G1880">
        <v>224</v>
      </c>
      <c r="H1880">
        <v>168</v>
      </c>
      <c r="I1880" t="s">
        <v>32</v>
      </c>
      <c r="J1880">
        <v>3</v>
      </c>
      <c r="K1880" t="s">
        <v>17</v>
      </c>
      <c r="L1880">
        <v>62950</v>
      </c>
      <c r="M1880">
        <v>3.45</v>
      </c>
      <c r="N1880" s="6">
        <f t="shared" si="29"/>
        <v>7915743434</v>
      </c>
    </row>
    <row r="1881" spans="1:14" x14ac:dyDescent="0.35">
      <c r="A1881" t="s">
        <v>45</v>
      </c>
      <c r="B1881" t="s">
        <v>54</v>
      </c>
      <c r="C1881">
        <v>2026</v>
      </c>
      <c r="D1881" t="s">
        <v>38</v>
      </c>
      <c r="E1881">
        <v>71806.41</v>
      </c>
      <c r="F1881">
        <v>73</v>
      </c>
      <c r="G1881">
        <v>253</v>
      </c>
      <c r="H1881">
        <v>163</v>
      </c>
      <c r="I1881" t="s">
        <v>40</v>
      </c>
      <c r="J1881">
        <v>4</v>
      </c>
      <c r="K1881" t="s">
        <v>20</v>
      </c>
      <c r="L1881">
        <v>163682</v>
      </c>
      <c r="M1881">
        <v>3.35</v>
      </c>
      <c r="N1881" s="6">
        <f t="shared" si="29"/>
        <v>11753416801.620001</v>
      </c>
    </row>
    <row r="1882" spans="1:14" x14ac:dyDescent="0.35">
      <c r="A1882" t="s">
        <v>67</v>
      </c>
      <c r="B1882" t="s">
        <v>98</v>
      </c>
      <c r="C1882">
        <v>2026</v>
      </c>
      <c r="D1882" t="s">
        <v>28</v>
      </c>
      <c r="E1882">
        <v>145965.35999999999</v>
      </c>
      <c r="F1882">
        <v>78.2</v>
      </c>
      <c r="G1882">
        <v>269</v>
      </c>
      <c r="H1882">
        <v>173</v>
      </c>
      <c r="I1882" t="s">
        <v>33</v>
      </c>
      <c r="J1882">
        <v>4</v>
      </c>
      <c r="K1882" t="s">
        <v>17</v>
      </c>
      <c r="L1882">
        <v>21092</v>
      </c>
      <c r="M1882">
        <v>3.74</v>
      </c>
      <c r="N1882" s="6">
        <f t="shared" si="29"/>
        <v>3078701373.1199999</v>
      </c>
    </row>
    <row r="1883" spans="1:14" x14ac:dyDescent="0.35">
      <c r="A1883" t="s">
        <v>29</v>
      </c>
      <c r="B1883" t="s">
        <v>30</v>
      </c>
      <c r="C1883">
        <v>2026</v>
      </c>
      <c r="D1883" t="s">
        <v>15</v>
      </c>
      <c r="E1883">
        <v>147080.28</v>
      </c>
      <c r="F1883">
        <v>107.7</v>
      </c>
      <c r="G1883">
        <v>395</v>
      </c>
      <c r="H1883">
        <v>195</v>
      </c>
      <c r="I1883" t="s">
        <v>40</v>
      </c>
      <c r="J1883">
        <v>5</v>
      </c>
      <c r="K1883" t="s">
        <v>17</v>
      </c>
      <c r="L1883">
        <v>199927</v>
      </c>
      <c r="M1883">
        <v>4.26</v>
      </c>
      <c r="N1883" s="6">
        <f t="shared" si="29"/>
        <v>29405319139.560001</v>
      </c>
    </row>
    <row r="1884" spans="1:14" x14ac:dyDescent="0.35">
      <c r="A1884" t="s">
        <v>26</v>
      </c>
      <c r="B1884" t="s">
        <v>61</v>
      </c>
      <c r="C1884">
        <v>2026</v>
      </c>
      <c r="D1884" t="s">
        <v>15</v>
      </c>
      <c r="E1884">
        <v>78041.17</v>
      </c>
      <c r="F1884">
        <v>113.5</v>
      </c>
      <c r="G1884">
        <v>407</v>
      </c>
      <c r="H1884">
        <v>185</v>
      </c>
      <c r="I1884" t="s">
        <v>21</v>
      </c>
      <c r="J1884">
        <v>5</v>
      </c>
      <c r="K1884" t="s">
        <v>20</v>
      </c>
      <c r="L1884">
        <v>103428</v>
      </c>
      <c r="M1884">
        <v>3.83</v>
      </c>
      <c r="N1884" s="6">
        <f t="shared" si="29"/>
        <v>8071642130.7600002</v>
      </c>
    </row>
    <row r="1885" spans="1:14" x14ac:dyDescent="0.35">
      <c r="A1885" t="s">
        <v>45</v>
      </c>
      <c r="B1885" t="s">
        <v>46</v>
      </c>
      <c r="C1885">
        <v>2026</v>
      </c>
      <c r="D1885" t="s">
        <v>15</v>
      </c>
      <c r="E1885">
        <v>95761.12</v>
      </c>
      <c r="F1885">
        <v>80.599999999999994</v>
      </c>
      <c r="G1885">
        <v>277</v>
      </c>
      <c r="H1885">
        <v>181</v>
      </c>
      <c r="I1885" t="s">
        <v>33</v>
      </c>
      <c r="J1885">
        <v>4</v>
      </c>
      <c r="K1885" t="s">
        <v>20</v>
      </c>
      <c r="L1885">
        <v>171938</v>
      </c>
      <c r="M1885">
        <v>3.56</v>
      </c>
      <c r="N1885" s="6">
        <f t="shared" si="29"/>
        <v>16464975450.559999</v>
      </c>
    </row>
    <row r="1886" spans="1:14" x14ac:dyDescent="0.35">
      <c r="A1886" t="s">
        <v>26</v>
      </c>
      <c r="B1886" t="s">
        <v>36</v>
      </c>
      <c r="C1886">
        <v>2026</v>
      </c>
      <c r="D1886" t="s">
        <v>15</v>
      </c>
      <c r="E1886">
        <v>91033.29</v>
      </c>
      <c r="F1886">
        <v>72.5</v>
      </c>
      <c r="G1886">
        <v>267</v>
      </c>
      <c r="H1886">
        <v>194</v>
      </c>
      <c r="I1886" t="s">
        <v>25</v>
      </c>
      <c r="J1886">
        <v>4</v>
      </c>
      <c r="K1886" t="s">
        <v>20</v>
      </c>
      <c r="L1886">
        <v>54833</v>
      </c>
      <c r="M1886">
        <v>3.25</v>
      </c>
      <c r="N1886" s="6">
        <f t="shared" si="29"/>
        <v>4991628390.5699997</v>
      </c>
    </row>
    <row r="1887" spans="1:14" x14ac:dyDescent="0.35">
      <c r="A1887" t="s">
        <v>57</v>
      </c>
      <c r="B1887" t="s">
        <v>79</v>
      </c>
      <c r="C1887">
        <v>2026</v>
      </c>
      <c r="D1887" t="s">
        <v>20</v>
      </c>
      <c r="E1887">
        <v>97985.03</v>
      </c>
      <c r="F1887">
        <v>84.1</v>
      </c>
      <c r="G1887">
        <v>304</v>
      </c>
      <c r="H1887">
        <v>167</v>
      </c>
      <c r="I1887" t="s">
        <v>40</v>
      </c>
      <c r="J1887">
        <v>5</v>
      </c>
      <c r="K1887" t="s">
        <v>20</v>
      </c>
      <c r="L1887">
        <v>45069</v>
      </c>
      <c r="M1887">
        <v>3.49</v>
      </c>
      <c r="N1887" s="6">
        <f t="shared" si="29"/>
        <v>4416087317.0699997</v>
      </c>
    </row>
    <row r="1888" spans="1:14" x14ac:dyDescent="0.35">
      <c r="A1888" t="s">
        <v>45</v>
      </c>
      <c r="B1888" t="s">
        <v>77</v>
      </c>
      <c r="C1888">
        <v>2026</v>
      </c>
      <c r="D1888" t="s">
        <v>28</v>
      </c>
      <c r="E1888">
        <v>49411.4</v>
      </c>
      <c r="F1888">
        <v>105.1</v>
      </c>
      <c r="G1888">
        <v>362</v>
      </c>
      <c r="H1888">
        <v>181</v>
      </c>
      <c r="I1888" t="s">
        <v>21</v>
      </c>
      <c r="J1888">
        <v>4</v>
      </c>
      <c r="K1888" t="s">
        <v>22</v>
      </c>
      <c r="L1888">
        <v>124104</v>
      </c>
      <c r="M1888">
        <v>3.7</v>
      </c>
      <c r="N1888" s="6">
        <f t="shared" si="29"/>
        <v>6132152385.6000004</v>
      </c>
    </row>
    <row r="1889" spans="1:14" x14ac:dyDescent="0.35">
      <c r="A1889" t="s">
        <v>64</v>
      </c>
      <c r="B1889" t="s">
        <v>70</v>
      </c>
      <c r="C1889">
        <v>2026</v>
      </c>
      <c r="D1889" t="s">
        <v>15</v>
      </c>
      <c r="E1889">
        <v>148406.75</v>
      </c>
      <c r="F1889">
        <v>116.4</v>
      </c>
      <c r="G1889">
        <v>409</v>
      </c>
      <c r="H1889">
        <v>187</v>
      </c>
      <c r="I1889" t="s">
        <v>32</v>
      </c>
      <c r="J1889">
        <v>4</v>
      </c>
      <c r="K1889" t="s">
        <v>17</v>
      </c>
      <c r="L1889">
        <v>27898</v>
      </c>
      <c r="M1889">
        <v>3.83</v>
      </c>
      <c r="N1889" s="6">
        <f t="shared" si="29"/>
        <v>4140251511.5</v>
      </c>
    </row>
    <row r="1890" spans="1:14" x14ac:dyDescent="0.35">
      <c r="A1890" t="s">
        <v>34</v>
      </c>
      <c r="B1890" t="s">
        <v>44</v>
      </c>
      <c r="C1890">
        <v>2026</v>
      </c>
      <c r="D1890" t="s">
        <v>38</v>
      </c>
      <c r="E1890">
        <v>129546.31</v>
      </c>
      <c r="F1890">
        <v>72</v>
      </c>
      <c r="G1890">
        <v>248</v>
      </c>
      <c r="H1890">
        <v>174</v>
      </c>
      <c r="I1890" t="s">
        <v>16</v>
      </c>
      <c r="J1890">
        <v>4</v>
      </c>
      <c r="K1890" t="s">
        <v>17</v>
      </c>
      <c r="L1890">
        <v>57503</v>
      </c>
      <c r="M1890">
        <v>3.59</v>
      </c>
      <c r="N1890" s="6">
        <f t="shared" si="29"/>
        <v>7449301463.9300003</v>
      </c>
    </row>
    <row r="1891" spans="1:14" x14ac:dyDescent="0.35">
      <c r="A1891" t="s">
        <v>34</v>
      </c>
      <c r="B1891" t="s">
        <v>106</v>
      </c>
      <c r="C1891">
        <v>2026</v>
      </c>
      <c r="D1891" t="s">
        <v>15</v>
      </c>
      <c r="E1891">
        <v>148924.89000000001</v>
      </c>
      <c r="F1891">
        <v>98.3</v>
      </c>
      <c r="G1891">
        <v>357</v>
      </c>
      <c r="H1891">
        <v>196</v>
      </c>
      <c r="I1891" t="s">
        <v>21</v>
      </c>
      <c r="J1891">
        <v>4</v>
      </c>
      <c r="K1891" t="s">
        <v>17</v>
      </c>
      <c r="L1891">
        <v>66282</v>
      </c>
      <c r="M1891">
        <v>3.8</v>
      </c>
      <c r="N1891" s="6">
        <f t="shared" si="29"/>
        <v>9871039558.9800014</v>
      </c>
    </row>
    <row r="1892" spans="1:14" x14ac:dyDescent="0.35">
      <c r="A1892" t="s">
        <v>13</v>
      </c>
      <c r="B1892" t="s">
        <v>56</v>
      </c>
      <c r="C1892">
        <v>2026</v>
      </c>
      <c r="D1892" t="s">
        <v>43</v>
      </c>
      <c r="E1892">
        <v>86339.6</v>
      </c>
      <c r="F1892">
        <v>57.8</v>
      </c>
      <c r="G1892">
        <v>217</v>
      </c>
      <c r="H1892">
        <v>145</v>
      </c>
      <c r="I1892" t="s">
        <v>40</v>
      </c>
      <c r="J1892">
        <v>5</v>
      </c>
      <c r="K1892" t="s">
        <v>20</v>
      </c>
      <c r="L1892">
        <v>279621</v>
      </c>
      <c r="M1892">
        <v>3.38</v>
      </c>
      <c r="N1892" s="6">
        <f t="shared" si="29"/>
        <v>24142365291.600002</v>
      </c>
    </row>
    <row r="1893" spans="1:14" x14ac:dyDescent="0.35">
      <c r="A1893" t="s">
        <v>29</v>
      </c>
      <c r="B1893" t="s">
        <v>39</v>
      </c>
      <c r="C1893">
        <v>2026</v>
      </c>
      <c r="D1893" t="s">
        <v>15</v>
      </c>
      <c r="E1893">
        <v>120990.97</v>
      </c>
      <c r="F1893">
        <v>76.900000000000006</v>
      </c>
      <c r="G1893">
        <v>272</v>
      </c>
      <c r="H1893">
        <v>200</v>
      </c>
      <c r="I1893" t="s">
        <v>16</v>
      </c>
      <c r="J1893">
        <v>4</v>
      </c>
      <c r="K1893" t="s">
        <v>17</v>
      </c>
      <c r="L1893">
        <v>177875</v>
      </c>
      <c r="M1893">
        <v>3.74</v>
      </c>
      <c r="N1893" s="6">
        <f t="shared" si="29"/>
        <v>21521268788.75</v>
      </c>
    </row>
    <row r="1894" spans="1:14" x14ac:dyDescent="0.35">
      <c r="A1894" t="s">
        <v>57</v>
      </c>
      <c r="B1894" t="s">
        <v>58</v>
      </c>
      <c r="C1894">
        <v>2026</v>
      </c>
      <c r="D1894" t="s">
        <v>20</v>
      </c>
      <c r="E1894">
        <v>56792.12</v>
      </c>
      <c r="F1894">
        <v>67.2</v>
      </c>
      <c r="G1894">
        <v>207</v>
      </c>
      <c r="H1894">
        <v>135</v>
      </c>
      <c r="I1894" t="s">
        <v>21</v>
      </c>
      <c r="J1894">
        <v>4</v>
      </c>
      <c r="K1894" t="s">
        <v>22</v>
      </c>
      <c r="L1894">
        <v>31784</v>
      </c>
      <c r="M1894">
        <v>3.24</v>
      </c>
      <c r="N1894" s="6">
        <f t="shared" si="29"/>
        <v>1805080742.0800002</v>
      </c>
    </row>
    <row r="1895" spans="1:14" x14ac:dyDescent="0.35">
      <c r="A1895" t="s">
        <v>13</v>
      </c>
      <c r="B1895" t="s">
        <v>56</v>
      </c>
      <c r="C1895">
        <v>2026</v>
      </c>
      <c r="D1895" t="s">
        <v>43</v>
      </c>
      <c r="E1895">
        <v>69769.06</v>
      </c>
      <c r="F1895">
        <v>45</v>
      </c>
      <c r="G1895">
        <v>150</v>
      </c>
      <c r="H1895">
        <v>140</v>
      </c>
      <c r="I1895" t="s">
        <v>32</v>
      </c>
      <c r="J1895">
        <v>4</v>
      </c>
      <c r="K1895" t="s">
        <v>20</v>
      </c>
      <c r="L1895">
        <v>251078</v>
      </c>
      <c r="M1895">
        <v>3</v>
      </c>
      <c r="N1895" s="6">
        <f t="shared" si="29"/>
        <v>17517476046.68</v>
      </c>
    </row>
    <row r="1896" spans="1:14" x14ac:dyDescent="0.35">
      <c r="A1896" t="s">
        <v>45</v>
      </c>
      <c r="B1896" t="s">
        <v>54</v>
      </c>
      <c r="C1896">
        <v>2026</v>
      </c>
      <c r="D1896" t="s">
        <v>43</v>
      </c>
      <c r="E1896">
        <v>35604.120000000003</v>
      </c>
      <c r="F1896">
        <v>69.8</v>
      </c>
      <c r="G1896">
        <v>235</v>
      </c>
      <c r="H1896">
        <v>174</v>
      </c>
      <c r="I1896" t="s">
        <v>16</v>
      </c>
      <c r="J1896">
        <v>5</v>
      </c>
      <c r="K1896" t="s">
        <v>22</v>
      </c>
      <c r="L1896">
        <v>210674</v>
      </c>
      <c r="M1896">
        <v>3.59</v>
      </c>
      <c r="N1896" s="6">
        <f t="shared" si="29"/>
        <v>7500862376.8800001</v>
      </c>
    </row>
    <row r="1897" spans="1:14" x14ac:dyDescent="0.35">
      <c r="A1897" t="s">
        <v>26</v>
      </c>
      <c r="B1897" t="s">
        <v>52</v>
      </c>
      <c r="C1897">
        <v>2026</v>
      </c>
      <c r="D1897" t="s">
        <v>28</v>
      </c>
      <c r="E1897">
        <v>70115.710000000006</v>
      </c>
      <c r="F1897">
        <v>95.5</v>
      </c>
      <c r="G1897">
        <v>342</v>
      </c>
      <c r="H1897">
        <v>168</v>
      </c>
      <c r="I1897" t="s">
        <v>40</v>
      </c>
      <c r="J1897">
        <v>5</v>
      </c>
      <c r="K1897" t="s">
        <v>20</v>
      </c>
      <c r="L1897">
        <v>82992</v>
      </c>
      <c r="M1897">
        <v>3.83</v>
      </c>
      <c r="N1897" s="6">
        <f t="shared" si="29"/>
        <v>5819043004.3200006</v>
      </c>
    </row>
    <row r="1898" spans="1:14" x14ac:dyDescent="0.35">
      <c r="A1898" t="s">
        <v>13</v>
      </c>
      <c r="B1898" t="s">
        <v>14</v>
      </c>
      <c r="C1898">
        <v>2026</v>
      </c>
      <c r="D1898" t="s">
        <v>38</v>
      </c>
      <c r="E1898">
        <v>70180.350000000006</v>
      </c>
      <c r="F1898">
        <v>48.8</v>
      </c>
      <c r="G1898">
        <v>170</v>
      </c>
      <c r="H1898">
        <v>159</v>
      </c>
      <c r="I1898" t="s">
        <v>16</v>
      </c>
      <c r="J1898">
        <v>4</v>
      </c>
      <c r="K1898" t="s">
        <v>20</v>
      </c>
      <c r="L1898">
        <v>220918</v>
      </c>
      <c r="M1898">
        <v>3.38</v>
      </c>
      <c r="N1898" s="6">
        <f t="shared" si="29"/>
        <v>15504102561.300001</v>
      </c>
    </row>
    <row r="1899" spans="1:14" x14ac:dyDescent="0.35">
      <c r="A1899" t="s">
        <v>75</v>
      </c>
      <c r="B1899" t="s">
        <v>76</v>
      </c>
      <c r="C1899">
        <v>2026</v>
      </c>
      <c r="D1899" t="s">
        <v>15</v>
      </c>
      <c r="E1899">
        <v>113739.43</v>
      </c>
      <c r="F1899">
        <v>106.9</v>
      </c>
      <c r="G1899">
        <v>358</v>
      </c>
      <c r="H1899">
        <v>200</v>
      </c>
      <c r="I1899" t="s">
        <v>33</v>
      </c>
      <c r="J1899">
        <v>4</v>
      </c>
      <c r="K1899" t="s">
        <v>17</v>
      </c>
      <c r="L1899">
        <v>22439</v>
      </c>
      <c r="M1899">
        <v>3.75</v>
      </c>
      <c r="N1899" s="6">
        <f t="shared" si="29"/>
        <v>2552199069.77</v>
      </c>
    </row>
    <row r="1900" spans="1:14" x14ac:dyDescent="0.35">
      <c r="A1900" t="s">
        <v>18</v>
      </c>
      <c r="B1900" t="s">
        <v>93</v>
      </c>
      <c r="C1900">
        <v>2026</v>
      </c>
      <c r="D1900" t="s">
        <v>28</v>
      </c>
      <c r="E1900">
        <v>89238.61</v>
      </c>
      <c r="F1900">
        <v>105.2</v>
      </c>
      <c r="G1900">
        <v>336</v>
      </c>
      <c r="H1900">
        <v>178</v>
      </c>
      <c r="I1900" t="s">
        <v>32</v>
      </c>
      <c r="J1900">
        <v>5</v>
      </c>
      <c r="K1900" t="s">
        <v>20</v>
      </c>
      <c r="L1900">
        <v>3195</v>
      </c>
      <c r="M1900">
        <v>3.98</v>
      </c>
      <c r="N1900" s="6">
        <f t="shared" si="29"/>
        <v>285117358.94999999</v>
      </c>
    </row>
    <row r="1901" spans="1:14" x14ac:dyDescent="0.35">
      <c r="A1901" t="s">
        <v>34</v>
      </c>
      <c r="B1901" t="s">
        <v>35</v>
      </c>
      <c r="C1901">
        <v>2026</v>
      </c>
      <c r="D1901" t="s">
        <v>20</v>
      </c>
      <c r="E1901">
        <v>108752.82</v>
      </c>
      <c r="F1901">
        <v>76.2</v>
      </c>
      <c r="G1901">
        <v>250</v>
      </c>
      <c r="H1901">
        <v>144</v>
      </c>
      <c r="I1901" t="s">
        <v>21</v>
      </c>
      <c r="J1901">
        <v>4</v>
      </c>
      <c r="K1901" t="s">
        <v>17</v>
      </c>
      <c r="L1901">
        <v>65854</v>
      </c>
      <c r="M1901">
        <v>3.7</v>
      </c>
      <c r="N1901" s="6">
        <f t="shared" si="29"/>
        <v>7161808208.2800007</v>
      </c>
    </row>
    <row r="1902" spans="1:14" x14ac:dyDescent="0.35">
      <c r="A1902" t="s">
        <v>67</v>
      </c>
      <c r="B1902" t="s">
        <v>89</v>
      </c>
      <c r="C1902">
        <v>2026</v>
      </c>
      <c r="D1902" t="s">
        <v>15</v>
      </c>
      <c r="E1902">
        <v>104966.05</v>
      </c>
      <c r="F1902">
        <v>96.6</v>
      </c>
      <c r="G1902">
        <v>360</v>
      </c>
      <c r="H1902">
        <v>200</v>
      </c>
      <c r="I1902" t="s">
        <v>40</v>
      </c>
      <c r="J1902">
        <v>4</v>
      </c>
      <c r="K1902" t="s">
        <v>17</v>
      </c>
      <c r="L1902">
        <v>20618</v>
      </c>
      <c r="M1902">
        <v>3.66</v>
      </c>
      <c r="N1902" s="6">
        <f t="shared" si="29"/>
        <v>2164190018.9000001</v>
      </c>
    </row>
    <row r="1903" spans="1:14" x14ac:dyDescent="0.35">
      <c r="A1903" t="s">
        <v>49</v>
      </c>
      <c r="B1903" t="s">
        <v>60</v>
      </c>
      <c r="C1903">
        <v>2026</v>
      </c>
      <c r="D1903" t="s">
        <v>20</v>
      </c>
      <c r="E1903">
        <v>43930.22</v>
      </c>
      <c r="F1903">
        <v>71.2</v>
      </c>
      <c r="G1903">
        <v>285</v>
      </c>
      <c r="H1903">
        <v>141</v>
      </c>
      <c r="I1903" t="s">
        <v>21</v>
      </c>
      <c r="J1903">
        <v>4</v>
      </c>
      <c r="K1903" t="s">
        <v>22</v>
      </c>
      <c r="L1903">
        <v>60140</v>
      </c>
      <c r="M1903">
        <v>3.56</v>
      </c>
      <c r="N1903" s="6">
        <f t="shared" si="29"/>
        <v>2641963430.8000002</v>
      </c>
    </row>
    <row r="1904" spans="1:14" x14ac:dyDescent="0.35">
      <c r="A1904" t="s">
        <v>26</v>
      </c>
      <c r="B1904" t="s">
        <v>61</v>
      </c>
      <c r="C1904">
        <v>2026</v>
      </c>
      <c r="D1904" t="s">
        <v>28</v>
      </c>
      <c r="E1904">
        <v>68589.740000000005</v>
      </c>
      <c r="F1904">
        <v>83.3</v>
      </c>
      <c r="G1904">
        <v>269</v>
      </c>
      <c r="H1904">
        <v>185</v>
      </c>
      <c r="I1904" t="s">
        <v>21</v>
      </c>
      <c r="J1904">
        <v>5</v>
      </c>
      <c r="K1904" t="s">
        <v>20</v>
      </c>
      <c r="L1904">
        <v>136116</v>
      </c>
      <c r="M1904">
        <v>3.29</v>
      </c>
      <c r="N1904" s="6">
        <f t="shared" si="29"/>
        <v>9336161049.8400002</v>
      </c>
    </row>
    <row r="1905" spans="1:14" x14ac:dyDescent="0.35">
      <c r="A1905" t="s">
        <v>49</v>
      </c>
      <c r="B1905" t="s">
        <v>60</v>
      </c>
      <c r="C1905">
        <v>2026</v>
      </c>
      <c r="D1905" t="s">
        <v>20</v>
      </c>
      <c r="E1905">
        <v>56433</v>
      </c>
      <c r="F1905">
        <v>62.7</v>
      </c>
      <c r="G1905">
        <v>241</v>
      </c>
      <c r="H1905">
        <v>161</v>
      </c>
      <c r="I1905" t="s">
        <v>16</v>
      </c>
      <c r="J1905">
        <v>4</v>
      </c>
      <c r="K1905" t="s">
        <v>22</v>
      </c>
      <c r="L1905">
        <v>82791</v>
      </c>
      <c r="M1905">
        <v>3.39</v>
      </c>
      <c r="N1905" s="6">
        <f t="shared" si="29"/>
        <v>4672144503</v>
      </c>
    </row>
    <row r="1906" spans="1:14" x14ac:dyDescent="0.35">
      <c r="A1906" t="s">
        <v>45</v>
      </c>
      <c r="B1906" t="s">
        <v>48</v>
      </c>
      <c r="C1906">
        <v>2026</v>
      </c>
      <c r="D1906" t="s">
        <v>28</v>
      </c>
      <c r="E1906">
        <v>27583.09</v>
      </c>
      <c r="F1906">
        <v>88.1</v>
      </c>
      <c r="G1906">
        <v>308</v>
      </c>
      <c r="H1906">
        <v>181</v>
      </c>
      <c r="I1906" t="s">
        <v>16</v>
      </c>
      <c r="J1906">
        <v>5</v>
      </c>
      <c r="K1906" t="s">
        <v>47</v>
      </c>
      <c r="L1906">
        <v>122434</v>
      </c>
      <c r="M1906">
        <v>3.77</v>
      </c>
      <c r="N1906" s="6">
        <f t="shared" si="29"/>
        <v>3377108041.0599999</v>
      </c>
    </row>
    <row r="1907" spans="1:14" x14ac:dyDescent="0.35">
      <c r="A1907" t="s">
        <v>29</v>
      </c>
      <c r="B1907" t="s">
        <v>39</v>
      </c>
      <c r="C1907">
        <v>2026</v>
      </c>
      <c r="D1907" t="s">
        <v>38</v>
      </c>
      <c r="E1907">
        <v>58826.879999999997</v>
      </c>
      <c r="F1907">
        <v>44.1</v>
      </c>
      <c r="G1907">
        <v>150</v>
      </c>
      <c r="H1907">
        <v>133</v>
      </c>
      <c r="I1907" t="s">
        <v>40</v>
      </c>
      <c r="J1907">
        <v>4</v>
      </c>
      <c r="K1907" t="s">
        <v>22</v>
      </c>
      <c r="L1907">
        <v>198300</v>
      </c>
      <c r="M1907">
        <v>3.51</v>
      </c>
      <c r="N1907" s="6">
        <f t="shared" si="29"/>
        <v>11665370304</v>
      </c>
    </row>
    <row r="1908" spans="1:14" x14ac:dyDescent="0.35">
      <c r="A1908" t="s">
        <v>41</v>
      </c>
      <c r="B1908" t="s">
        <v>42</v>
      </c>
      <c r="C1908">
        <v>2026</v>
      </c>
      <c r="D1908" t="s">
        <v>43</v>
      </c>
      <c r="E1908">
        <v>93652.94</v>
      </c>
      <c r="F1908">
        <v>54.5</v>
      </c>
      <c r="G1908">
        <v>193</v>
      </c>
      <c r="H1908">
        <v>177</v>
      </c>
      <c r="I1908" t="s">
        <v>40</v>
      </c>
      <c r="J1908">
        <v>3</v>
      </c>
      <c r="K1908" t="s">
        <v>20</v>
      </c>
      <c r="L1908">
        <v>24709</v>
      </c>
      <c r="M1908">
        <v>3.26</v>
      </c>
      <c r="N1908" s="6">
        <f t="shared" si="29"/>
        <v>2314070494.46</v>
      </c>
    </row>
    <row r="1909" spans="1:14" x14ac:dyDescent="0.35">
      <c r="A1909" t="s">
        <v>29</v>
      </c>
      <c r="B1909" t="s">
        <v>30</v>
      </c>
      <c r="C1909">
        <v>2026</v>
      </c>
      <c r="D1909" t="s">
        <v>15</v>
      </c>
      <c r="E1909">
        <v>112274.6</v>
      </c>
      <c r="F1909">
        <v>73.599999999999994</v>
      </c>
      <c r="G1909">
        <v>242</v>
      </c>
      <c r="H1909">
        <v>190</v>
      </c>
      <c r="I1909" t="s">
        <v>32</v>
      </c>
      <c r="J1909">
        <v>4</v>
      </c>
      <c r="K1909" t="s">
        <v>17</v>
      </c>
      <c r="L1909">
        <v>193133</v>
      </c>
      <c r="M1909">
        <v>3.85</v>
      </c>
      <c r="N1909" s="6">
        <f t="shared" si="29"/>
        <v>21683930321.799999</v>
      </c>
    </row>
    <row r="1910" spans="1:14" x14ac:dyDescent="0.35">
      <c r="A1910" t="s">
        <v>45</v>
      </c>
      <c r="B1910" t="s">
        <v>88</v>
      </c>
      <c r="C1910">
        <v>2026</v>
      </c>
      <c r="D1910" t="s">
        <v>38</v>
      </c>
      <c r="E1910">
        <v>45158.26</v>
      </c>
      <c r="F1910">
        <v>84</v>
      </c>
      <c r="G1910">
        <v>315</v>
      </c>
      <c r="H1910">
        <v>140</v>
      </c>
      <c r="I1910" t="s">
        <v>21</v>
      </c>
      <c r="J1910">
        <v>5</v>
      </c>
      <c r="K1910" t="s">
        <v>22</v>
      </c>
      <c r="L1910">
        <v>119766</v>
      </c>
      <c r="M1910">
        <v>3.6</v>
      </c>
      <c r="N1910" s="6">
        <f t="shared" si="29"/>
        <v>5408424167.1599998</v>
      </c>
    </row>
    <row r="1911" spans="1:14" x14ac:dyDescent="0.35">
      <c r="A1911" t="s">
        <v>64</v>
      </c>
      <c r="B1911" t="s">
        <v>97</v>
      </c>
      <c r="C1911">
        <v>2026</v>
      </c>
      <c r="D1911" t="s">
        <v>20</v>
      </c>
      <c r="E1911">
        <v>103491.15</v>
      </c>
      <c r="F1911">
        <v>48.4</v>
      </c>
      <c r="G1911">
        <v>152</v>
      </c>
      <c r="H1911">
        <v>147</v>
      </c>
      <c r="I1911" t="s">
        <v>40</v>
      </c>
      <c r="J1911">
        <v>5</v>
      </c>
      <c r="K1911" t="s">
        <v>17</v>
      </c>
      <c r="L1911">
        <v>42817</v>
      </c>
      <c r="M1911">
        <v>3.39</v>
      </c>
      <c r="N1911" s="6">
        <f t="shared" si="29"/>
        <v>4431180569.5500002</v>
      </c>
    </row>
    <row r="1912" spans="1:14" x14ac:dyDescent="0.35">
      <c r="A1912" t="s">
        <v>26</v>
      </c>
      <c r="B1912" t="s">
        <v>36</v>
      </c>
      <c r="C1912">
        <v>2026</v>
      </c>
      <c r="D1912" t="s">
        <v>28</v>
      </c>
      <c r="E1912">
        <v>67363.850000000006</v>
      </c>
      <c r="F1912">
        <v>101</v>
      </c>
      <c r="G1912">
        <v>376</v>
      </c>
      <c r="H1912">
        <v>160</v>
      </c>
      <c r="I1912" t="s">
        <v>21</v>
      </c>
      <c r="J1912">
        <v>3</v>
      </c>
      <c r="K1912" t="s">
        <v>20</v>
      </c>
      <c r="L1912">
        <v>128059</v>
      </c>
      <c r="M1912">
        <v>3.95</v>
      </c>
      <c r="N1912" s="6">
        <f t="shared" si="29"/>
        <v>8626547267.1500015</v>
      </c>
    </row>
    <row r="1913" spans="1:14" x14ac:dyDescent="0.35">
      <c r="A1913" t="s">
        <v>23</v>
      </c>
      <c r="B1913" t="s">
        <v>99</v>
      </c>
      <c r="C1913">
        <v>2026</v>
      </c>
      <c r="D1913" t="s">
        <v>20</v>
      </c>
      <c r="E1913">
        <v>68395.009999999995</v>
      </c>
      <c r="F1913">
        <v>46</v>
      </c>
      <c r="G1913">
        <v>165</v>
      </c>
      <c r="H1913">
        <v>146</v>
      </c>
      <c r="I1913" t="s">
        <v>33</v>
      </c>
      <c r="J1913">
        <v>4</v>
      </c>
      <c r="K1913" t="s">
        <v>20</v>
      </c>
      <c r="L1913">
        <v>27929</v>
      </c>
      <c r="M1913">
        <v>3</v>
      </c>
      <c r="N1913" s="6">
        <f t="shared" si="29"/>
        <v>1910204234.29</v>
      </c>
    </row>
    <row r="1914" spans="1:14" x14ac:dyDescent="0.35">
      <c r="A1914" t="s">
        <v>67</v>
      </c>
      <c r="B1914" t="s">
        <v>89</v>
      </c>
      <c r="C1914">
        <v>2026</v>
      </c>
      <c r="D1914" t="s">
        <v>38</v>
      </c>
      <c r="E1914">
        <v>97863.03</v>
      </c>
      <c r="F1914">
        <v>41.7</v>
      </c>
      <c r="G1914">
        <v>166</v>
      </c>
      <c r="H1914">
        <v>145</v>
      </c>
      <c r="I1914" t="s">
        <v>33</v>
      </c>
      <c r="J1914">
        <v>5</v>
      </c>
      <c r="K1914" t="s">
        <v>20</v>
      </c>
      <c r="L1914">
        <v>24216</v>
      </c>
      <c r="M1914">
        <v>3.41</v>
      </c>
      <c r="N1914" s="6">
        <f t="shared" si="29"/>
        <v>2369851134.48</v>
      </c>
    </row>
    <row r="1915" spans="1:14" x14ac:dyDescent="0.35">
      <c r="A1915" t="s">
        <v>26</v>
      </c>
      <c r="B1915" t="s">
        <v>52</v>
      </c>
      <c r="C1915">
        <v>2026</v>
      </c>
      <c r="D1915" t="s">
        <v>20</v>
      </c>
      <c r="E1915">
        <v>97174.66</v>
      </c>
      <c r="F1915">
        <v>65.2</v>
      </c>
      <c r="G1915">
        <v>227</v>
      </c>
      <c r="H1915">
        <v>140</v>
      </c>
      <c r="I1915" t="s">
        <v>16</v>
      </c>
      <c r="J1915">
        <v>4</v>
      </c>
      <c r="K1915" t="s">
        <v>20</v>
      </c>
      <c r="L1915">
        <v>93712</v>
      </c>
      <c r="M1915">
        <v>3.12</v>
      </c>
      <c r="N1915" s="6">
        <f t="shared" si="29"/>
        <v>9106431737.9200001</v>
      </c>
    </row>
    <row r="1916" spans="1:14" x14ac:dyDescent="0.35">
      <c r="A1916" t="s">
        <v>64</v>
      </c>
      <c r="B1916" t="s">
        <v>85</v>
      </c>
      <c r="C1916">
        <v>2026</v>
      </c>
      <c r="D1916" t="s">
        <v>28</v>
      </c>
      <c r="E1916">
        <v>81773.509999999995</v>
      </c>
      <c r="F1916">
        <v>75.7</v>
      </c>
      <c r="G1916">
        <v>277</v>
      </c>
      <c r="H1916">
        <v>182</v>
      </c>
      <c r="I1916" t="s">
        <v>16</v>
      </c>
      <c r="J1916">
        <v>5</v>
      </c>
      <c r="K1916" t="s">
        <v>20</v>
      </c>
      <c r="L1916">
        <v>38573</v>
      </c>
      <c r="M1916">
        <v>3.54</v>
      </c>
      <c r="N1916" s="6">
        <f t="shared" si="29"/>
        <v>3154249601.23</v>
      </c>
    </row>
    <row r="1917" spans="1:14" x14ac:dyDescent="0.35">
      <c r="A1917" t="s">
        <v>34</v>
      </c>
      <c r="B1917" t="s">
        <v>44</v>
      </c>
      <c r="C1917">
        <v>2026</v>
      </c>
      <c r="D1917" t="s">
        <v>28</v>
      </c>
      <c r="E1917">
        <v>124673.1</v>
      </c>
      <c r="F1917">
        <v>100.9</v>
      </c>
      <c r="G1917">
        <v>347</v>
      </c>
      <c r="H1917">
        <v>173</v>
      </c>
      <c r="I1917" t="s">
        <v>21</v>
      </c>
      <c r="J1917">
        <v>5</v>
      </c>
      <c r="K1917" t="s">
        <v>17</v>
      </c>
      <c r="L1917">
        <v>24079</v>
      </c>
      <c r="M1917">
        <v>4</v>
      </c>
      <c r="N1917" s="6">
        <f t="shared" si="29"/>
        <v>3002003574.9000001</v>
      </c>
    </row>
    <row r="1918" spans="1:14" x14ac:dyDescent="0.35">
      <c r="A1918" t="s">
        <v>23</v>
      </c>
      <c r="B1918" t="s">
        <v>24</v>
      </c>
      <c r="C1918">
        <v>2026</v>
      </c>
      <c r="D1918" t="s">
        <v>20</v>
      </c>
      <c r="E1918">
        <v>67711.199999999997</v>
      </c>
      <c r="F1918">
        <v>41.3</v>
      </c>
      <c r="G1918">
        <v>150</v>
      </c>
      <c r="H1918">
        <v>155</v>
      </c>
      <c r="I1918" t="s">
        <v>25</v>
      </c>
      <c r="J1918">
        <v>5</v>
      </c>
      <c r="K1918" t="s">
        <v>20</v>
      </c>
      <c r="L1918">
        <v>15428</v>
      </c>
      <c r="M1918">
        <v>3.23</v>
      </c>
      <c r="N1918" s="6">
        <f t="shared" si="29"/>
        <v>1044648393.5999999</v>
      </c>
    </row>
    <row r="1919" spans="1:14" x14ac:dyDescent="0.35">
      <c r="A1919" t="s">
        <v>29</v>
      </c>
      <c r="B1919" t="s">
        <v>31</v>
      </c>
      <c r="C1919">
        <v>2026</v>
      </c>
      <c r="D1919" t="s">
        <v>28</v>
      </c>
      <c r="E1919">
        <v>83728.44</v>
      </c>
      <c r="F1919">
        <v>82.6</v>
      </c>
      <c r="G1919">
        <v>280</v>
      </c>
      <c r="H1919">
        <v>180</v>
      </c>
      <c r="I1919" t="s">
        <v>32</v>
      </c>
      <c r="J1919">
        <v>4</v>
      </c>
      <c r="K1919" t="s">
        <v>20</v>
      </c>
      <c r="L1919">
        <v>490450</v>
      </c>
      <c r="M1919">
        <v>3.83</v>
      </c>
      <c r="N1919" s="6">
        <f t="shared" si="29"/>
        <v>41064613398</v>
      </c>
    </row>
    <row r="1920" spans="1:14" x14ac:dyDescent="0.35">
      <c r="A1920" t="s">
        <v>49</v>
      </c>
      <c r="B1920" t="s">
        <v>50</v>
      </c>
      <c r="C1920">
        <v>2026</v>
      </c>
      <c r="D1920" t="s">
        <v>15</v>
      </c>
      <c r="E1920">
        <v>77799.73</v>
      </c>
      <c r="F1920">
        <v>108</v>
      </c>
      <c r="G1920">
        <v>367</v>
      </c>
      <c r="H1920">
        <v>200</v>
      </c>
      <c r="I1920" t="s">
        <v>32</v>
      </c>
      <c r="J1920">
        <v>4</v>
      </c>
      <c r="K1920" t="s">
        <v>20</v>
      </c>
      <c r="L1920">
        <v>58908</v>
      </c>
      <c r="M1920">
        <v>3.8</v>
      </c>
      <c r="N1920" s="6">
        <f t="shared" si="29"/>
        <v>4583026494.8400002</v>
      </c>
    </row>
    <row r="1921" spans="1:14" x14ac:dyDescent="0.35">
      <c r="A1921" t="s">
        <v>45</v>
      </c>
      <c r="B1921" t="s">
        <v>48</v>
      </c>
      <c r="C1921">
        <v>2026</v>
      </c>
      <c r="D1921" t="s">
        <v>20</v>
      </c>
      <c r="E1921">
        <v>87619.97</v>
      </c>
      <c r="F1921">
        <v>76.3</v>
      </c>
      <c r="G1921">
        <v>270</v>
      </c>
      <c r="H1921">
        <v>163</v>
      </c>
      <c r="I1921" t="s">
        <v>32</v>
      </c>
      <c r="J1921">
        <v>4</v>
      </c>
      <c r="K1921" t="s">
        <v>20</v>
      </c>
      <c r="L1921">
        <v>118872</v>
      </c>
      <c r="M1921">
        <v>3.49</v>
      </c>
      <c r="N1921" s="6">
        <f t="shared" si="29"/>
        <v>10415561073.84</v>
      </c>
    </row>
    <row r="1922" spans="1:14" x14ac:dyDescent="0.35">
      <c r="A1922" t="s">
        <v>29</v>
      </c>
      <c r="B1922" t="s">
        <v>31</v>
      </c>
      <c r="C1922">
        <v>2026</v>
      </c>
      <c r="D1922" t="s">
        <v>20</v>
      </c>
      <c r="E1922">
        <v>55363.64</v>
      </c>
      <c r="F1922">
        <v>49.7</v>
      </c>
      <c r="G1922">
        <v>197</v>
      </c>
      <c r="H1922">
        <v>138</v>
      </c>
      <c r="I1922" t="s">
        <v>21</v>
      </c>
      <c r="J1922">
        <v>4</v>
      </c>
      <c r="K1922" t="s">
        <v>22</v>
      </c>
      <c r="L1922">
        <v>467657</v>
      </c>
      <c r="M1922">
        <v>3.42</v>
      </c>
      <c r="N1922" s="6">
        <f t="shared" ref="N1922:N1965" si="30">E1922*L1922</f>
        <v>25891193791.48</v>
      </c>
    </row>
    <row r="1923" spans="1:14" x14ac:dyDescent="0.35">
      <c r="A1923" t="s">
        <v>34</v>
      </c>
      <c r="B1923" t="s">
        <v>78</v>
      </c>
      <c r="C1923">
        <v>2026</v>
      </c>
      <c r="D1923" t="s">
        <v>28</v>
      </c>
      <c r="E1923">
        <v>122737.35</v>
      </c>
      <c r="F1923">
        <v>76.099999999999994</v>
      </c>
      <c r="G1923">
        <v>281</v>
      </c>
      <c r="H1923">
        <v>174</v>
      </c>
      <c r="I1923" t="s">
        <v>21</v>
      </c>
      <c r="J1923">
        <v>5</v>
      </c>
      <c r="K1923" t="s">
        <v>17</v>
      </c>
      <c r="L1923">
        <v>45500</v>
      </c>
      <c r="M1923">
        <v>3.92</v>
      </c>
      <c r="N1923" s="6">
        <f t="shared" si="30"/>
        <v>5584549425</v>
      </c>
    </row>
    <row r="1924" spans="1:14" x14ac:dyDescent="0.35">
      <c r="A1924" t="s">
        <v>23</v>
      </c>
      <c r="B1924" t="s">
        <v>99</v>
      </c>
      <c r="C1924">
        <v>2026</v>
      </c>
      <c r="D1924" t="s">
        <v>28</v>
      </c>
      <c r="E1924">
        <v>75057.34</v>
      </c>
      <c r="F1924">
        <v>81.400000000000006</v>
      </c>
      <c r="G1924">
        <v>277</v>
      </c>
      <c r="H1924">
        <v>178</v>
      </c>
      <c r="I1924" t="s">
        <v>16</v>
      </c>
      <c r="J1924">
        <v>3</v>
      </c>
      <c r="K1924" t="s">
        <v>20</v>
      </c>
      <c r="L1924">
        <v>18197</v>
      </c>
      <c r="M1924">
        <v>3.62</v>
      </c>
      <c r="N1924" s="6">
        <f t="shared" si="30"/>
        <v>1365818415.98</v>
      </c>
    </row>
    <row r="1925" spans="1:14" x14ac:dyDescent="0.35">
      <c r="A1925" t="s">
        <v>26</v>
      </c>
      <c r="B1925" t="s">
        <v>52</v>
      </c>
      <c r="C1925">
        <v>2026</v>
      </c>
      <c r="D1925" t="s">
        <v>43</v>
      </c>
      <c r="E1925">
        <v>54591.6</v>
      </c>
      <c r="F1925">
        <v>68.599999999999994</v>
      </c>
      <c r="G1925">
        <v>257</v>
      </c>
      <c r="H1925">
        <v>158</v>
      </c>
      <c r="I1925" t="s">
        <v>25</v>
      </c>
      <c r="J1925">
        <v>4</v>
      </c>
      <c r="K1925" t="s">
        <v>22</v>
      </c>
      <c r="L1925">
        <v>84955</v>
      </c>
      <c r="M1925">
        <v>3.44</v>
      </c>
      <c r="N1925" s="6">
        <f t="shared" si="30"/>
        <v>4637829378</v>
      </c>
    </row>
    <row r="1926" spans="1:14" x14ac:dyDescent="0.35">
      <c r="A1926" t="s">
        <v>49</v>
      </c>
      <c r="B1926" t="s">
        <v>50</v>
      </c>
      <c r="C1926">
        <v>2026</v>
      </c>
      <c r="D1926" t="s">
        <v>43</v>
      </c>
      <c r="E1926">
        <v>45692.14</v>
      </c>
      <c r="F1926">
        <v>83.7</v>
      </c>
      <c r="G1926">
        <v>288</v>
      </c>
      <c r="H1926">
        <v>154</v>
      </c>
      <c r="I1926" t="s">
        <v>33</v>
      </c>
      <c r="J1926">
        <v>5</v>
      </c>
      <c r="K1926" t="s">
        <v>22</v>
      </c>
      <c r="L1926">
        <v>89861</v>
      </c>
      <c r="M1926">
        <v>3.5</v>
      </c>
      <c r="N1926" s="6">
        <f t="shared" si="30"/>
        <v>4105941392.54</v>
      </c>
    </row>
    <row r="1927" spans="1:14" x14ac:dyDescent="0.35">
      <c r="A1927" t="s">
        <v>29</v>
      </c>
      <c r="B1927" t="s">
        <v>30</v>
      </c>
      <c r="C1927">
        <v>2026</v>
      </c>
      <c r="D1927" t="s">
        <v>28</v>
      </c>
      <c r="E1927">
        <v>146733.12</v>
      </c>
      <c r="F1927">
        <v>98.1</v>
      </c>
      <c r="G1927">
        <v>336</v>
      </c>
      <c r="H1927">
        <v>173</v>
      </c>
      <c r="I1927" t="s">
        <v>16</v>
      </c>
      <c r="J1927">
        <v>5</v>
      </c>
      <c r="K1927" t="s">
        <v>17</v>
      </c>
      <c r="L1927">
        <v>162803</v>
      </c>
      <c r="M1927">
        <v>4.05</v>
      </c>
      <c r="N1927" s="6">
        <f t="shared" si="30"/>
        <v>23888592135.360001</v>
      </c>
    </row>
    <row r="1928" spans="1:14" x14ac:dyDescent="0.35">
      <c r="A1928" t="s">
        <v>13</v>
      </c>
      <c r="B1928" t="s">
        <v>56</v>
      </c>
      <c r="C1928">
        <v>2026</v>
      </c>
      <c r="D1928" t="s">
        <v>15</v>
      </c>
      <c r="E1928">
        <v>102827.77</v>
      </c>
      <c r="F1928">
        <v>98.2</v>
      </c>
      <c r="G1928">
        <v>350</v>
      </c>
      <c r="H1928">
        <v>196</v>
      </c>
      <c r="I1928" t="s">
        <v>16</v>
      </c>
      <c r="J1928">
        <v>5</v>
      </c>
      <c r="K1928" t="s">
        <v>17</v>
      </c>
      <c r="L1928">
        <v>238315</v>
      </c>
      <c r="M1928">
        <v>3.78</v>
      </c>
      <c r="N1928" s="6">
        <f t="shared" si="30"/>
        <v>24505400007.549999</v>
      </c>
    </row>
    <row r="1929" spans="1:14" x14ac:dyDescent="0.35">
      <c r="A1929" t="s">
        <v>45</v>
      </c>
      <c r="B1929" t="s">
        <v>54</v>
      </c>
      <c r="C1929">
        <v>2026</v>
      </c>
      <c r="D1929" t="s">
        <v>28</v>
      </c>
      <c r="E1929">
        <v>32377.24</v>
      </c>
      <c r="F1929">
        <v>104</v>
      </c>
      <c r="G1929">
        <v>378</v>
      </c>
      <c r="H1929">
        <v>184</v>
      </c>
      <c r="I1929" t="s">
        <v>33</v>
      </c>
      <c r="J1929">
        <v>4</v>
      </c>
      <c r="K1929" t="s">
        <v>47</v>
      </c>
      <c r="L1929">
        <v>164156</v>
      </c>
      <c r="M1929">
        <v>3.81</v>
      </c>
      <c r="N1929" s="6">
        <f t="shared" si="30"/>
        <v>5314918209.4400005</v>
      </c>
    </row>
    <row r="1930" spans="1:14" x14ac:dyDescent="0.35">
      <c r="A1930" t="s">
        <v>57</v>
      </c>
      <c r="B1930" t="s">
        <v>79</v>
      </c>
      <c r="C1930">
        <v>2026</v>
      </c>
      <c r="D1930" t="s">
        <v>38</v>
      </c>
      <c r="E1930">
        <v>61243.81</v>
      </c>
      <c r="F1930">
        <v>76.7</v>
      </c>
      <c r="G1930">
        <v>281</v>
      </c>
      <c r="H1930">
        <v>163</v>
      </c>
      <c r="I1930" t="s">
        <v>40</v>
      </c>
      <c r="J1930">
        <v>4</v>
      </c>
      <c r="K1930" t="s">
        <v>22</v>
      </c>
      <c r="L1930">
        <v>57282</v>
      </c>
      <c r="M1930">
        <v>3.51</v>
      </c>
      <c r="N1930" s="6">
        <f t="shared" si="30"/>
        <v>3508167924.4200001</v>
      </c>
    </row>
    <row r="1931" spans="1:14" x14ac:dyDescent="0.35">
      <c r="A1931" t="s">
        <v>29</v>
      </c>
      <c r="B1931" t="s">
        <v>53</v>
      </c>
      <c r="C1931">
        <v>2026</v>
      </c>
      <c r="D1931" t="s">
        <v>43</v>
      </c>
      <c r="E1931">
        <v>80796.91</v>
      </c>
      <c r="F1931">
        <v>64.599999999999994</v>
      </c>
      <c r="G1931">
        <v>239</v>
      </c>
      <c r="H1931">
        <v>148</v>
      </c>
      <c r="I1931" t="s">
        <v>16</v>
      </c>
      <c r="J1931">
        <v>4</v>
      </c>
      <c r="K1931" t="s">
        <v>20</v>
      </c>
      <c r="L1931">
        <v>212130</v>
      </c>
      <c r="M1931">
        <v>3.66</v>
      </c>
      <c r="N1931" s="6">
        <f t="shared" si="30"/>
        <v>17139448518.300001</v>
      </c>
    </row>
    <row r="1932" spans="1:14" x14ac:dyDescent="0.35">
      <c r="A1932" t="s">
        <v>104</v>
      </c>
      <c r="B1932" t="s">
        <v>105</v>
      </c>
      <c r="C1932">
        <v>2026</v>
      </c>
      <c r="D1932" t="s">
        <v>38</v>
      </c>
      <c r="E1932">
        <v>137880.07999999999</v>
      </c>
      <c r="F1932">
        <v>41.3</v>
      </c>
      <c r="G1932">
        <v>150</v>
      </c>
      <c r="H1932">
        <v>127</v>
      </c>
      <c r="I1932" t="s">
        <v>16</v>
      </c>
      <c r="J1932">
        <v>5</v>
      </c>
      <c r="K1932" t="s">
        <v>17</v>
      </c>
      <c r="L1932">
        <v>21377</v>
      </c>
      <c r="M1932">
        <v>3.21</v>
      </c>
      <c r="N1932" s="6">
        <f t="shared" si="30"/>
        <v>2947462470.1599998</v>
      </c>
    </row>
    <row r="1933" spans="1:14" x14ac:dyDescent="0.35">
      <c r="A1933" t="s">
        <v>64</v>
      </c>
      <c r="B1933" t="s">
        <v>65</v>
      </c>
      <c r="C1933">
        <v>2026</v>
      </c>
      <c r="D1933" t="s">
        <v>20</v>
      </c>
      <c r="E1933">
        <v>125637.29</v>
      </c>
      <c r="F1933">
        <v>67.5</v>
      </c>
      <c r="G1933">
        <v>240</v>
      </c>
      <c r="H1933">
        <v>151</v>
      </c>
      <c r="I1933" t="s">
        <v>32</v>
      </c>
      <c r="J1933">
        <v>5</v>
      </c>
      <c r="K1933" t="s">
        <v>17</v>
      </c>
      <c r="L1933">
        <v>47587</v>
      </c>
      <c r="M1933">
        <v>3.56</v>
      </c>
      <c r="N1933" s="6">
        <f t="shared" si="30"/>
        <v>5978701719.2299995</v>
      </c>
    </row>
    <row r="1934" spans="1:14" x14ac:dyDescent="0.35">
      <c r="A1934" t="s">
        <v>45</v>
      </c>
      <c r="B1934" t="s">
        <v>63</v>
      </c>
      <c r="C1934">
        <v>2026</v>
      </c>
      <c r="D1934" t="s">
        <v>28</v>
      </c>
      <c r="E1934">
        <v>101979.86</v>
      </c>
      <c r="F1934">
        <v>105.4</v>
      </c>
      <c r="G1934">
        <v>376</v>
      </c>
      <c r="H1934">
        <v>183</v>
      </c>
      <c r="I1934" t="s">
        <v>25</v>
      </c>
      <c r="J1934">
        <v>4</v>
      </c>
      <c r="K1934" t="s">
        <v>17</v>
      </c>
      <c r="L1934">
        <v>128300</v>
      </c>
      <c r="M1934">
        <v>3.96</v>
      </c>
      <c r="N1934" s="6">
        <f t="shared" si="30"/>
        <v>13084016038</v>
      </c>
    </row>
    <row r="1935" spans="1:14" x14ac:dyDescent="0.35">
      <c r="A1935" t="s">
        <v>34</v>
      </c>
      <c r="B1935" t="s">
        <v>84</v>
      </c>
      <c r="C1935">
        <v>2026</v>
      </c>
      <c r="D1935" t="s">
        <v>15</v>
      </c>
      <c r="E1935">
        <v>104553.67</v>
      </c>
      <c r="F1935">
        <v>111.7</v>
      </c>
      <c r="G1935">
        <v>412</v>
      </c>
      <c r="H1935">
        <v>192</v>
      </c>
      <c r="I1935" t="s">
        <v>32</v>
      </c>
      <c r="J1935">
        <v>4</v>
      </c>
      <c r="K1935" t="s">
        <v>17</v>
      </c>
      <c r="L1935">
        <v>68955</v>
      </c>
      <c r="M1935">
        <v>4.3899999999999997</v>
      </c>
      <c r="N1935" s="6">
        <f t="shared" si="30"/>
        <v>7209498314.8499994</v>
      </c>
    </row>
    <row r="1936" spans="1:14" x14ac:dyDescent="0.35">
      <c r="A1936" t="s">
        <v>45</v>
      </c>
      <c r="B1936" t="s">
        <v>88</v>
      </c>
      <c r="C1936">
        <v>2026</v>
      </c>
      <c r="D1936" t="s">
        <v>15</v>
      </c>
      <c r="E1936">
        <v>112008.03</v>
      </c>
      <c r="F1936">
        <v>112.5</v>
      </c>
      <c r="G1936">
        <v>389</v>
      </c>
      <c r="H1936">
        <v>200</v>
      </c>
      <c r="I1936" t="s">
        <v>21</v>
      </c>
      <c r="J1936">
        <v>3</v>
      </c>
      <c r="K1936" t="s">
        <v>17</v>
      </c>
      <c r="L1936">
        <v>201649</v>
      </c>
      <c r="M1936">
        <v>3.59</v>
      </c>
      <c r="N1936" s="6">
        <f t="shared" si="30"/>
        <v>22586307241.470001</v>
      </c>
    </row>
    <row r="1937" spans="1:14" x14ac:dyDescent="0.35">
      <c r="A1937" t="s">
        <v>23</v>
      </c>
      <c r="B1937" t="s">
        <v>82</v>
      </c>
      <c r="C1937">
        <v>2026</v>
      </c>
      <c r="D1937" t="s">
        <v>20</v>
      </c>
      <c r="E1937">
        <v>52994.74</v>
      </c>
      <c r="F1937">
        <v>63.4</v>
      </c>
      <c r="G1937">
        <v>206</v>
      </c>
      <c r="H1937">
        <v>130</v>
      </c>
      <c r="I1937" t="s">
        <v>16</v>
      </c>
      <c r="J1937">
        <v>5</v>
      </c>
      <c r="K1937" t="s">
        <v>22</v>
      </c>
      <c r="L1937">
        <v>5490</v>
      </c>
      <c r="M1937">
        <v>3.27</v>
      </c>
      <c r="N1937" s="6">
        <f t="shared" si="30"/>
        <v>290941122.59999996</v>
      </c>
    </row>
    <row r="1938" spans="1:14" x14ac:dyDescent="0.35">
      <c r="A1938" t="s">
        <v>41</v>
      </c>
      <c r="B1938" t="s">
        <v>92</v>
      </c>
      <c r="C1938">
        <v>2026</v>
      </c>
      <c r="D1938" t="s">
        <v>43</v>
      </c>
      <c r="E1938">
        <v>67825.009999999995</v>
      </c>
      <c r="F1938">
        <v>82.9</v>
      </c>
      <c r="G1938">
        <v>297</v>
      </c>
      <c r="H1938">
        <v>160</v>
      </c>
      <c r="I1938" t="s">
        <v>40</v>
      </c>
      <c r="J1938">
        <v>5</v>
      </c>
      <c r="K1938" t="s">
        <v>20</v>
      </c>
      <c r="L1938">
        <v>26063</v>
      </c>
      <c r="M1938">
        <v>3.56</v>
      </c>
      <c r="N1938" s="6">
        <f t="shared" si="30"/>
        <v>1767723235.6299999</v>
      </c>
    </row>
    <row r="1939" spans="1:14" x14ac:dyDescent="0.35">
      <c r="A1939" t="s">
        <v>49</v>
      </c>
      <c r="B1939" t="s">
        <v>50</v>
      </c>
      <c r="C1939">
        <v>2026</v>
      </c>
      <c r="D1939" t="s">
        <v>43</v>
      </c>
      <c r="E1939">
        <v>68247.960000000006</v>
      </c>
      <c r="F1939">
        <v>73.099999999999994</v>
      </c>
      <c r="G1939">
        <v>240</v>
      </c>
      <c r="H1939">
        <v>151</v>
      </c>
      <c r="I1939" t="s">
        <v>32</v>
      </c>
      <c r="J1939">
        <v>5</v>
      </c>
      <c r="K1939" t="s">
        <v>20</v>
      </c>
      <c r="L1939">
        <v>75804</v>
      </c>
      <c r="M1939">
        <v>3.31</v>
      </c>
      <c r="N1939" s="6">
        <f t="shared" si="30"/>
        <v>5173468359.8400002</v>
      </c>
    </row>
    <row r="1940" spans="1:14" x14ac:dyDescent="0.35">
      <c r="A1940" t="s">
        <v>34</v>
      </c>
      <c r="B1940" t="s">
        <v>78</v>
      </c>
      <c r="C1940">
        <v>2026</v>
      </c>
      <c r="D1940" t="s">
        <v>15</v>
      </c>
      <c r="E1940">
        <v>185592.86</v>
      </c>
      <c r="F1940">
        <v>107.8</v>
      </c>
      <c r="G1940">
        <v>359</v>
      </c>
      <c r="H1940">
        <v>192</v>
      </c>
      <c r="I1940" t="s">
        <v>33</v>
      </c>
      <c r="J1940">
        <v>4</v>
      </c>
      <c r="K1940" t="s">
        <v>17</v>
      </c>
      <c r="L1940">
        <v>51560</v>
      </c>
      <c r="M1940">
        <v>3.97</v>
      </c>
      <c r="N1940" s="6">
        <f t="shared" si="30"/>
        <v>9569167861.5999985</v>
      </c>
    </row>
    <row r="1941" spans="1:14" x14ac:dyDescent="0.35">
      <c r="A1941" t="s">
        <v>13</v>
      </c>
      <c r="B1941" t="s">
        <v>51</v>
      </c>
      <c r="C1941">
        <v>2026</v>
      </c>
      <c r="D1941" t="s">
        <v>38</v>
      </c>
      <c r="E1941">
        <v>49575.71</v>
      </c>
      <c r="F1941">
        <v>47.3</v>
      </c>
      <c r="G1941">
        <v>158</v>
      </c>
      <c r="H1941">
        <v>141</v>
      </c>
      <c r="I1941" t="s">
        <v>40</v>
      </c>
      <c r="J1941">
        <v>4</v>
      </c>
      <c r="K1941" t="s">
        <v>22</v>
      </c>
      <c r="L1941">
        <v>295672</v>
      </c>
      <c r="M1941">
        <v>3.23</v>
      </c>
      <c r="N1941" s="6">
        <f t="shared" si="30"/>
        <v>14658149327.119999</v>
      </c>
    </row>
    <row r="1942" spans="1:14" x14ac:dyDescent="0.35">
      <c r="A1942" t="s">
        <v>23</v>
      </c>
      <c r="B1942" t="s">
        <v>99</v>
      </c>
      <c r="C1942">
        <v>2026</v>
      </c>
      <c r="D1942" t="s">
        <v>43</v>
      </c>
      <c r="E1942">
        <v>64854.51</v>
      </c>
      <c r="F1942">
        <v>76</v>
      </c>
      <c r="G1942">
        <v>264</v>
      </c>
      <c r="H1942">
        <v>158</v>
      </c>
      <c r="I1942" t="s">
        <v>25</v>
      </c>
      <c r="J1942">
        <v>4</v>
      </c>
      <c r="K1942" t="s">
        <v>22</v>
      </c>
      <c r="L1942">
        <v>16372</v>
      </c>
      <c r="M1942">
        <v>3.34</v>
      </c>
      <c r="N1942" s="6">
        <f t="shared" si="30"/>
        <v>1061798037.72</v>
      </c>
    </row>
    <row r="1943" spans="1:14" x14ac:dyDescent="0.35">
      <c r="A1943" t="s">
        <v>49</v>
      </c>
      <c r="B1943" t="s">
        <v>50</v>
      </c>
      <c r="C1943">
        <v>2026</v>
      </c>
      <c r="D1943" t="s">
        <v>20</v>
      </c>
      <c r="E1943">
        <v>78808.06</v>
      </c>
      <c r="F1943">
        <v>83.8</v>
      </c>
      <c r="G1943">
        <v>310</v>
      </c>
      <c r="H1943">
        <v>163</v>
      </c>
      <c r="I1943" t="s">
        <v>16</v>
      </c>
      <c r="J1943">
        <v>4</v>
      </c>
      <c r="K1943" t="s">
        <v>20</v>
      </c>
      <c r="L1943">
        <v>79142</v>
      </c>
      <c r="M1943">
        <v>3.33</v>
      </c>
      <c r="N1943" s="6">
        <f t="shared" si="30"/>
        <v>6237027484.5199995</v>
      </c>
    </row>
    <row r="1944" spans="1:14" x14ac:dyDescent="0.35">
      <c r="A1944" t="s">
        <v>34</v>
      </c>
      <c r="B1944" t="s">
        <v>78</v>
      </c>
      <c r="C1944">
        <v>2026</v>
      </c>
      <c r="D1944" t="s">
        <v>20</v>
      </c>
      <c r="E1944">
        <v>89766.7</v>
      </c>
      <c r="F1944">
        <v>44.8</v>
      </c>
      <c r="G1944">
        <v>150</v>
      </c>
      <c r="H1944">
        <v>131</v>
      </c>
      <c r="I1944" t="s">
        <v>40</v>
      </c>
      <c r="J1944">
        <v>4</v>
      </c>
      <c r="K1944" t="s">
        <v>20</v>
      </c>
      <c r="L1944">
        <v>44745</v>
      </c>
      <c r="M1944">
        <v>3.43</v>
      </c>
      <c r="N1944" s="6">
        <f t="shared" si="30"/>
        <v>4016610991.5</v>
      </c>
    </row>
    <row r="1945" spans="1:14" x14ac:dyDescent="0.35">
      <c r="A1945" t="s">
        <v>45</v>
      </c>
      <c r="B1945" t="s">
        <v>77</v>
      </c>
      <c r="C1945">
        <v>2026</v>
      </c>
      <c r="D1945" t="s">
        <v>38</v>
      </c>
      <c r="E1945">
        <v>27881.47</v>
      </c>
      <c r="F1945">
        <v>60.3</v>
      </c>
      <c r="G1945">
        <v>202</v>
      </c>
      <c r="H1945">
        <v>169</v>
      </c>
      <c r="I1945" t="s">
        <v>25</v>
      </c>
      <c r="J1945">
        <v>4</v>
      </c>
      <c r="K1945" t="s">
        <v>47</v>
      </c>
      <c r="L1945">
        <v>131662</v>
      </c>
      <c r="M1945">
        <v>3.35</v>
      </c>
      <c r="N1945" s="6">
        <f t="shared" si="30"/>
        <v>3670930103.1400003</v>
      </c>
    </row>
    <row r="1946" spans="1:14" x14ac:dyDescent="0.35">
      <c r="A1946" t="s">
        <v>13</v>
      </c>
      <c r="B1946" t="s">
        <v>14</v>
      </c>
      <c r="C1946">
        <v>2026</v>
      </c>
      <c r="D1946" t="s">
        <v>38</v>
      </c>
      <c r="E1946">
        <v>77633.039999999994</v>
      </c>
      <c r="F1946">
        <v>74</v>
      </c>
      <c r="G1946">
        <v>273</v>
      </c>
      <c r="H1946">
        <v>165</v>
      </c>
      <c r="I1946" t="s">
        <v>16</v>
      </c>
      <c r="J1946">
        <v>5</v>
      </c>
      <c r="K1946" t="s">
        <v>20</v>
      </c>
      <c r="L1946">
        <v>203039</v>
      </c>
      <c r="M1946">
        <v>3.53</v>
      </c>
      <c r="N1946" s="6">
        <f t="shared" si="30"/>
        <v>15762534808.559999</v>
      </c>
    </row>
    <row r="1947" spans="1:14" x14ac:dyDescent="0.35">
      <c r="A1947" t="s">
        <v>29</v>
      </c>
      <c r="B1947" t="s">
        <v>59</v>
      </c>
      <c r="C1947">
        <v>2026</v>
      </c>
      <c r="D1947" t="s">
        <v>38</v>
      </c>
      <c r="E1947">
        <v>27570.57</v>
      </c>
      <c r="F1947">
        <v>44.6</v>
      </c>
      <c r="G1947">
        <v>153</v>
      </c>
      <c r="H1947">
        <v>137</v>
      </c>
      <c r="I1947" t="s">
        <v>33</v>
      </c>
      <c r="J1947">
        <v>5</v>
      </c>
      <c r="K1947" t="s">
        <v>47</v>
      </c>
      <c r="L1947">
        <v>203167</v>
      </c>
      <c r="M1947">
        <v>3.2</v>
      </c>
      <c r="N1947" s="6">
        <f t="shared" si="30"/>
        <v>5601429995.1899996</v>
      </c>
    </row>
    <row r="1948" spans="1:14" x14ac:dyDescent="0.35">
      <c r="A1948" t="s">
        <v>18</v>
      </c>
      <c r="B1948" t="s">
        <v>93</v>
      </c>
      <c r="C1948">
        <v>2026</v>
      </c>
      <c r="D1948" t="s">
        <v>15</v>
      </c>
      <c r="E1948">
        <v>108712.63</v>
      </c>
      <c r="F1948">
        <v>111.4</v>
      </c>
      <c r="G1948">
        <v>366</v>
      </c>
      <c r="H1948">
        <v>195</v>
      </c>
      <c r="I1948" t="s">
        <v>40</v>
      </c>
      <c r="J1948">
        <v>4</v>
      </c>
      <c r="K1948" t="s">
        <v>17</v>
      </c>
      <c r="L1948">
        <v>12763</v>
      </c>
      <c r="M1948">
        <v>3.93</v>
      </c>
      <c r="N1948" s="6">
        <f t="shared" si="30"/>
        <v>1387499296.6900001</v>
      </c>
    </row>
    <row r="1949" spans="1:14" x14ac:dyDescent="0.35">
      <c r="A1949" t="s">
        <v>64</v>
      </c>
      <c r="B1949" t="s">
        <v>65</v>
      </c>
      <c r="C1949">
        <v>2026</v>
      </c>
      <c r="D1949" t="s">
        <v>15</v>
      </c>
      <c r="E1949">
        <v>96474.96</v>
      </c>
      <c r="F1949">
        <v>76.8</v>
      </c>
      <c r="G1949">
        <v>250</v>
      </c>
      <c r="H1949">
        <v>200</v>
      </c>
      <c r="I1949" t="s">
        <v>25</v>
      </c>
      <c r="J1949">
        <v>5</v>
      </c>
      <c r="K1949" t="s">
        <v>20</v>
      </c>
      <c r="L1949">
        <v>54809</v>
      </c>
      <c r="M1949">
        <v>3.45</v>
      </c>
      <c r="N1949" s="6">
        <f t="shared" si="30"/>
        <v>5287696082.6400003</v>
      </c>
    </row>
    <row r="1950" spans="1:14" x14ac:dyDescent="0.35">
      <c r="A1950" t="s">
        <v>104</v>
      </c>
      <c r="B1950" t="s">
        <v>105</v>
      </c>
      <c r="C1950">
        <v>2026</v>
      </c>
      <c r="D1950" t="s">
        <v>20</v>
      </c>
      <c r="E1950">
        <v>225594.15</v>
      </c>
      <c r="F1950">
        <v>63.1</v>
      </c>
      <c r="G1950">
        <v>216</v>
      </c>
      <c r="H1950">
        <v>125</v>
      </c>
      <c r="I1950" t="s">
        <v>25</v>
      </c>
      <c r="J1950">
        <v>5</v>
      </c>
      <c r="K1950" t="s">
        <v>17</v>
      </c>
      <c r="L1950">
        <v>21994</v>
      </c>
      <c r="M1950">
        <v>3.37</v>
      </c>
      <c r="N1950" s="6">
        <f t="shared" si="30"/>
        <v>4961717735.0999994</v>
      </c>
    </row>
    <row r="1951" spans="1:14" x14ac:dyDescent="0.35">
      <c r="A1951" t="s">
        <v>57</v>
      </c>
      <c r="B1951" t="s">
        <v>72</v>
      </c>
      <c r="C1951">
        <v>2026</v>
      </c>
      <c r="D1951" t="s">
        <v>20</v>
      </c>
      <c r="E1951">
        <v>73146.64</v>
      </c>
      <c r="F1951">
        <v>40.1</v>
      </c>
      <c r="G1951">
        <v>150</v>
      </c>
      <c r="H1951">
        <v>157</v>
      </c>
      <c r="I1951" t="s">
        <v>16</v>
      </c>
      <c r="J1951">
        <v>5</v>
      </c>
      <c r="K1951" t="s">
        <v>20</v>
      </c>
      <c r="L1951">
        <v>26454</v>
      </c>
      <c r="M1951">
        <v>3.22</v>
      </c>
      <c r="N1951" s="6">
        <f t="shared" si="30"/>
        <v>1935021214.5599999</v>
      </c>
    </row>
    <row r="1952" spans="1:14" x14ac:dyDescent="0.35">
      <c r="A1952" t="s">
        <v>26</v>
      </c>
      <c r="B1952" t="s">
        <v>61</v>
      </c>
      <c r="C1952">
        <v>2026</v>
      </c>
      <c r="D1952" t="s">
        <v>43</v>
      </c>
      <c r="E1952">
        <v>52324.87</v>
      </c>
      <c r="F1952">
        <v>44.4</v>
      </c>
      <c r="G1952">
        <v>154</v>
      </c>
      <c r="H1952">
        <v>158</v>
      </c>
      <c r="I1952" t="s">
        <v>21</v>
      </c>
      <c r="J1952">
        <v>5</v>
      </c>
      <c r="K1952" t="s">
        <v>22</v>
      </c>
      <c r="L1952">
        <v>142095</v>
      </c>
      <c r="M1952">
        <v>3.03</v>
      </c>
      <c r="N1952" s="6">
        <f t="shared" si="30"/>
        <v>7435102402.6500006</v>
      </c>
    </row>
    <row r="1953" spans="1:14" x14ac:dyDescent="0.35">
      <c r="A1953" t="s">
        <v>34</v>
      </c>
      <c r="B1953" t="s">
        <v>84</v>
      </c>
      <c r="C1953">
        <v>2026</v>
      </c>
      <c r="D1953" t="s">
        <v>28</v>
      </c>
      <c r="E1953">
        <v>89516.61</v>
      </c>
      <c r="F1953">
        <v>78.7</v>
      </c>
      <c r="G1953">
        <v>296</v>
      </c>
      <c r="H1953">
        <v>185</v>
      </c>
      <c r="I1953" t="s">
        <v>25</v>
      </c>
      <c r="J1953">
        <v>4</v>
      </c>
      <c r="K1953" t="s">
        <v>20</v>
      </c>
      <c r="L1953">
        <v>50182</v>
      </c>
      <c r="M1953">
        <v>4.07</v>
      </c>
      <c r="N1953" s="6">
        <f t="shared" si="30"/>
        <v>4492122523.0200005</v>
      </c>
    </row>
    <row r="1954" spans="1:14" x14ac:dyDescent="0.35">
      <c r="A1954" t="s">
        <v>49</v>
      </c>
      <c r="B1954" t="s">
        <v>87</v>
      </c>
      <c r="C1954">
        <v>2026</v>
      </c>
      <c r="D1954" t="s">
        <v>15</v>
      </c>
      <c r="E1954">
        <v>46435.85</v>
      </c>
      <c r="F1954">
        <v>100.4</v>
      </c>
      <c r="G1954">
        <v>359</v>
      </c>
      <c r="H1954">
        <v>189</v>
      </c>
      <c r="I1954" t="s">
        <v>21</v>
      </c>
      <c r="J1954">
        <v>4</v>
      </c>
      <c r="K1954" t="s">
        <v>22</v>
      </c>
      <c r="L1954">
        <v>73520</v>
      </c>
      <c r="M1954">
        <v>3.68</v>
      </c>
      <c r="N1954" s="6">
        <f t="shared" si="30"/>
        <v>3413963692</v>
      </c>
    </row>
    <row r="1955" spans="1:14" x14ac:dyDescent="0.35">
      <c r="A1955" t="s">
        <v>29</v>
      </c>
      <c r="B1955" t="s">
        <v>59</v>
      </c>
      <c r="C1955">
        <v>2026</v>
      </c>
      <c r="D1955" t="s">
        <v>20</v>
      </c>
      <c r="E1955">
        <v>88927.83</v>
      </c>
      <c r="F1955">
        <v>60.1</v>
      </c>
      <c r="G1955">
        <v>213</v>
      </c>
      <c r="H1955">
        <v>143</v>
      </c>
      <c r="I1955" t="s">
        <v>21</v>
      </c>
      <c r="J1955">
        <v>4</v>
      </c>
      <c r="K1955" t="s">
        <v>20</v>
      </c>
      <c r="L1955">
        <v>116766</v>
      </c>
      <c r="M1955">
        <v>3.76</v>
      </c>
      <c r="N1955" s="6">
        <f t="shared" si="30"/>
        <v>10383746997.780001</v>
      </c>
    </row>
    <row r="1956" spans="1:14" x14ac:dyDescent="0.35">
      <c r="A1956" t="s">
        <v>18</v>
      </c>
      <c r="B1956" t="s">
        <v>19</v>
      </c>
      <c r="C1956">
        <v>2026</v>
      </c>
      <c r="D1956" t="s">
        <v>28</v>
      </c>
      <c r="E1956">
        <v>86892.09</v>
      </c>
      <c r="F1956">
        <v>84.1</v>
      </c>
      <c r="G1956">
        <v>298</v>
      </c>
      <c r="H1956">
        <v>186</v>
      </c>
      <c r="I1956" t="s">
        <v>21</v>
      </c>
      <c r="J1956">
        <v>4</v>
      </c>
      <c r="K1956" t="s">
        <v>20</v>
      </c>
      <c r="L1956">
        <v>27998</v>
      </c>
      <c r="M1956">
        <v>3.62</v>
      </c>
      <c r="N1956" s="6">
        <f t="shared" si="30"/>
        <v>2432804735.8199997</v>
      </c>
    </row>
    <row r="1957" spans="1:14" x14ac:dyDescent="0.35">
      <c r="A1957" t="s">
        <v>18</v>
      </c>
      <c r="B1957" t="s">
        <v>93</v>
      </c>
      <c r="C1957">
        <v>2026</v>
      </c>
      <c r="D1957" t="s">
        <v>20</v>
      </c>
      <c r="E1957">
        <v>73010.399999999994</v>
      </c>
      <c r="F1957">
        <v>55.3</v>
      </c>
      <c r="G1957">
        <v>213</v>
      </c>
      <c r="H1957">
        <v>152</v>
      </c>
      <c r="I1957" t="s">
        <v>40</v>
      </c>
      <c r="J1957">
        <v>4</v>
      </c>
      <c r="K1957" t="s">
        <v>20</v>
      </c>
      <c r="L1957">
        <v>9198</v>
      </c>
      <c r="M1957">
        <v>3.03</v>
      </c>
      <c r="N1957" s="6">
        <f t="shared" si="30"/>
        <v>671549659.19999993</v>
      </c>
    </row>
    <row r="1958" spans="1:14" x14ac:dyDescent="0.35">
      <c r="A1958" t="s">
        <v>26</v>
      </c>
      <c r="B1958" t="s">
        <v>52</v>
      </c>
      <c r="C1958">
        <v>2026</v>
      </c>
      <c r="D1958" t="s">
        <v>28</v>
      </c>
      <c r="E1958">
        <v>53569.81</v>
      </c>
      <c r="F1958">
        <v>105.4</v>
      </c>
      <c r="G1958">
        <v>370</v>
      </c>
      <c r="H1958">
        <v>168</v>
      </c>
      <c r="I1958" t="s">
        <v>33</v>
      </c>
      <c r="J1958">
        <v>5</v>
      </c>
      <c r="K1958" t="s">
        <v>22</v>
      </c>
      <c r="L1958">
        <v>112650</v>
      </c>
      <c r="M1958">
        <v>3.77</v>
      </c>
      <c r="N1958" s="6">
        <f t="shared" si="30"/>
        <v>6034639096.5</v>
      </c>
    </row>
    <row r="1959" spans="1:14" x14ac:dyDescent="0.35">
      <c r="A1959" t="s">
        <v>57</v>
      </c>
      <c r="B1959" t="s">
        <v>58</v>
      </c>
      <c r="C1959">
        <v>2026</v>
      </c>
      <c r="D1959" t="s">
        <v>38</v>
      </c>
      <c r="E1959">
        <v>43574.22</v>
      </c>
      <c r="F1959">
        <v>67.2</v>
      </c>
      <c r="G1959">
        <v>237</v>
      </c>
      <c r="H1959">
        <v>159</v>
      </c>
      <c r="I1959" t="s">
        <v>21</v>
      </c>
      <c r="J1959">
        <v>5</v>
      </c>
      <c r="K1959" t="s">
        <v>22</v>
      </c>
      <c r="L1959">
        <v>55997</v>
      </c>
      <c r="M1959">
        <v>3.06</v>
      </c>
      <c r="N1959" s="6">
        <f t="shared" si="30"/>
        <v>2440025597.3400002</v>
      </c>
    </row>
    <row r="1960" spans="1:14" x14ac:dyDescent="0.35">
      <c r="A1960" t="s">
        <v>26</v>
      </c>
      <c r="B1960" t="s">
        <v>96</v>
      </c>
      <c r="C1960">
        <v>2026</v>
      </c>
      <c r="D1960" t="s">
        <v>20</v>
      </c>
      <c r="E1960">
        <v>95775.65</v>
      </c>
      <c r="F1960">
        <v>51.6</v>
      </c>
      <c r="G1960">
        <v>194</v>
      </c>
      <c r="H1960">
        <v>155</v>
      </c>
      <c r="I1960" t="s">
        <v>25</v>
      </c>
      <c r="J1960">
        <v>5</v>
      </c>
      <c r="K1960" t="s">
        <v>20</v>
      </c>
      <c r="L1960">
        <v>81075</v>
      </c>
      <c r="M1960">
        <v>3.4</v>
      </c>
      <c r="N1960" s="6">
        <f t="shared" si="30"/>
        <v>7765010823.75</v>
      </c>
    </row>
    <row r="1961" spans="1:14" x14ac:dyDescent="0.35">
      <c r="A1961" t="s">
        <v>45</v>
      </c>
      <c r="B1961" t="s">
        <v>88</v>
      </c>
      <c r="C1961">
        <v>2026</v>
      </c>
      <c r="D1961" t="s">
        <v>20</v>
      </c>
      <c r="E1961">
        <v>79542.78</v>
      </c>
      <c r="F1961">
        <v>81.099999999999994</v>
      </c>
      <c r="G1961">
        <v>295</v>
      </c>
      <c r="H1961">
        <v>137</v>
      </c>
      <c r="I1961" t="s">
        <v>25</v>
      </c>
      <c r="J1961">
        <v>5</v>
      </c>
      <c r="K1961" t="s">
        <v>20</v>
      </c>
      <c r="L1961">
        <v>153987</v>
      </c>
      <c r="M1961">
        <v>3.28</v>
      </c>
      <c r="N1961" s="6">
        <f t="shared" si="30"/>
        <v>12248554063.860001</v>
      </c>
    </row>
    <row r="1962" spans="1:14" x14ac:dyDescent="0.35">
      <c r="A1962" t="s">
        <v>102</v>
      </c>
      <c r="B1962" t="s">
        <v>117</v>
      </c>
      <c r="C1962">
        <v>2026</v>
      </c>
      <c r="D1962" t="s">
        <v>15</v>
      </c>
      <c r="E1962">
        <v>111533.26</v>
      </c>
      <c r="F1962">
        <v>116.5</v>
      </c>
      <c r="G1962">
        <v>422</v>
      </c>
      <c r="H1962">
        <v>200</v>
      </c>
      <c r="I1962" t="s">
        <v>21</v>
      </c>
      <c r="J1962">
        <v>4</v>
      </c>
      <c r="K1962" t="s">
        <v>17</v>
      </c>
      <c r="L1962">
        <v>29548</v>
      </c>
      <c r="M1962">
        <v>3.71</v>
      </c>
      <c r="N1962" s="6">
        <f t="shared" si="30"/>
        <v>3295584766.48</v>
      </c>
    </row>
    <row r="1963" spans="1:14" x14ac:dyDescent="0.35">
      <c r="A1963" t="s">
        <v>29</v>
      </c>
      <c r="B1963" t="s">
        <v>39</v>
      </c>
      <c r="C1963">
        <v>2026</v>
      </c>
      <c r="D1963" t="s">
        <v>43</v>
      </c>
      <c r="E1963">
        <v>81673.279999999999</v>
      </c>
      <c r="F1963">
        <v>69.3</v>
      </c>
      <c r="G1963">
        <v>252</v>
      </c>
      <c r="H1963">
        <v>153</v>
      </c>
      <c r="I1963" t="s">
        <v>21</v>
      </c>
      <c r="J1963">
        <v>4</v>
      </c>
      <c r="K1963" t="s">
        <v>20</v>
      </c>
      <c r="L1963">
        <v>117880</v>
      </c>
      <c r="M1963">
        <v>3.75</v>
      </c>
      <c r="N1963" s="6">
        <f t="shared" si="30"/>
        <v>9627646246.3999996</v>
      </c>
    </row>
    <row r="1964" spans="1:14" x14ac:dyDescent="0.35">
      <c r="A1964" t="s">
        <v>29</v>
      </c>
      <c r="B1964" t="s">
        <v>53</v>
      </c>
      <c r="C1964">
        <v>2026</v>
      </c>
      <c r="D1964" t="s">
        <v>38</v>
      </c>
      <c r="E1964">
        <v>55329.7</v>
      </c>
      <c r="F1964">
        <v>56.6</v>
      </c>
      <c r="G1964">
        <v>217</v>
      </c>
      <c r="H1964">
        <v>151</v>
      </c>
      <c r="I1964" t="s">
        <v>16</v>
      </c>
      <c r="J1964">
        <v>4</v>
      </c>
      <c r="K1964" t="s">
        <v>22</v>
      </c>
      <c r="L1964">
        <v>211999</v>
      </c>
      <c r="M1964">
        <v>3.34</v>
      </c>
      <c r="N1964" s="6">
        <f t="shared" si="30"/>
        <v>11729841070.299999</v>
      </c>
    </row>
    <row r="1965" spans="1:14" x14ac:dyDescent="0.35">
      <c r="A1965" t="s">
        <v>67</v>
      </c>
      <c r="B1965" t="s">
        <v>86</v>
      </c>
      <c r="C1965">
        <v>2026</v>
      </c>
      <c r="D1965" t="s">
        <v>15</v>
      </c>
      <c r="E1965">
        <v>79000.66</v>
      </c>
      <c r="F1965">
        <v>102.5</v>
      </c>
      <c r="G1965">
        <v>355</v>
      </c>
      <c r="H1965">
        <v>200</v>
      </c>
      <c r="I1965" t="s">
        <v>33</v>
      </c>
      <c r="J1965">
        <v>5</v>
      </c>
      <c r="K1965" t="s">
        <v>20</v>
      </c>
      <c r="L1965">
        <v>72672</v>
      </c>
      <c r="M1965">
        <v>4.03</v>
      </c>
      <c r="N1965" s="6">
        <f t="shared" si="30"/>
        <v>5741135963.5200005</v>
      </c>
    </row>
    <row r="1966" spans="1:14" x14ac:dyDescent="0.35">
      <c r="A1966" t="s">
        <v>45</v>
      </c>
      <c r="B1966" t="s">
        <v>54</v>
      </c>
      <c r="C1966">
        <v>2026</v>
      </c>
      <c r="D1966" t="s">
        <v>43</v>
      </c>
      <c r="E1966">
        <v>90374.6</v>
      </c>
      <c r="F1966">
        <v>57.6</v>
      </c>
      <c r="G1966">
        <v>191</v>
      </c>
      <c r="H1966">
        <v>145</v>
      </c>
      <c r="I1966" t="s">
        <v>32</v>
      </c>
      <c r="J1966">
        <v>5</v>
      </c>
      <c r="K1966" t="s">
        <v>22</v>
      </c>
      <c r="L1966">
        <v>232416</v>
      </c>
      <c r="M1966">
        <v>3.5</v>
      </c>
      <c r="N1966" s="6">
        <f t="shared" ref="N1966:N2001" si="31">E1966*L1966</f>
        <v>21004503033.600002</v>
      </c>
    </row>
    <row r="1967" spans="1:14" x14ac:dyDescent="0.35">
      <c r="A1967" t="s">
        <v>29</v>
      </c>
      <c r="B1967" t="s">
        <v>39</v>
      </c>
      <c r="C1967">
        <v>2026</v>
      </c>
      <c r="D1967" t="s">
        <v>28</v>
      </c>
      <c r="E1967">
        <v>127635.34</v>
      </c>
      <c r="F1967">
        <v>105.5</v>
      </c>
      <c r="G1967">
        <v>384</v>
      </c>
      <c r="H1967">
        <v>176</v>
      </c>
      <c r="I1967" t="s">
        <v>21</v>
      </c>
      <c r="J1967">
        <v>5</v>
      </c>
      <c r="K1967" t="s">
        <v>20</v>
      </c>
      <c r="L1967">
        <v>158325</v>
      </c>
      <c r="M1967">
        <v>4.24</v>
      </c>
      <c r="N1967" s="6">
        <f t="shared" si="31"/>
        <v>20207865205.5</v>
      </c>
    </row>
    <row r="1968" spans="1:14" x14ac:dyDescent="0.35">
      <c r="A1968" t="s">
        <v>49</v>
      </c>
      <c r="B1968" t="s">
        <v>87</v>
      </c>
      <c r="C1968">
        <v>2026</v>
      </c>
      <c r="D1968" t="s">
        <v>43</v>
      </c>
      <c r="E1968">
        <v>59666.31</v>
      </c>
      <c r="F1968">
        <v>75.5</v>
      </c>
      <c r="G1968">
        <v>262</v>
      </c>
      <c r="H1968">
        <v>147</v>
      </c>
      <c r="I1968" t="s">
        <v>40</v>
      </c>
      <c r="J1968">
        <v>4</v>
      </c>
      <c r="K1968" t="s">
        <v>20</v>
      </c>
      <c r="L1968">
        <v>130091</v>
      </c>
      <c r="M1968">
        <v>3.79</v>
      </c>
      <c r="N1968" s="6">
        <f t="shared" si="31"/>
        <v>7762049934.21</v>
      </c>
    </row>
    <row r="1969" spans="1:14" x14ac:dyDescent="0.35">
      <c r="A1969" t="s">
        <v>45</v>
      </c>
      <c r="B1969" t="s">
        <v>54</v>
      </c>
      <c r="C1969">
        <v>2026</v>
      </c>
      <c r="D1969" t="s">
        <v>28</v>
      </c>
      <c r="E1969">
        <v>92189.49</v>
      </c>
      <c r="F1969">
        <v>91.2</v>
      </c>
      <c r="G1969">
        <v>317</v>
      </c>
      <c r="H1969">
        <v>188</v>
      </c>
      <c r="I1969" t="s">
        <v>33</v>
      </c>
      <c r="J1969">
        <v>4</v>
      </c>
      <c r="K1969" t="s">
        <v>20</v>
      </c>
      <c r="L1969">
        <v>158795</v>
      </c>
      <c r="M1969">
        <v>3.92</v>
      </c>
      <c r="N1969" s="6">
        <f t="shared" si="31"/>
        <v>14639230064.550001</v>
      </c>
    </row>
    <row r="1970" spans="1:14" x14ac:dyDescent="0.35">
      <c r="A1970" t="s">
        <v>26</v>
      </c>
      <c r="B1970" t="s">
        <v>36</v>
      </c>
      <c r="C1970">
        <v>2026</v>
      </c>
      <c r="D1970" t="s">
        <v>15</v>
      </c>
      <c r="E1970">
        <v>71757.16</v>
      </c>
      <c r="F1970">
        <v>96</v>
      </c>
      <c r="G1970">
        <v>336</v>
      </c>
      <c r="H1970">
        <v>181</v>
      </c>
      <c r="I1970" t="s">
        <v>16</v>
      </c>
      <c r="J1970">
        <v>5</v>
      </c>
      <c r="K1970" t="s">
        <v>17</v>
      </c>
      <c r="L1970">
        <v>123775</v>
      </c>
      <c r="M1970">
        <v>3.66</v>
      </c>
      <c r="N1970" s="6">
        <f t="shared" si="31"/>
        <v>8881742479</v>
      </c>
    </row>
    <row r="1971" spans="1:14" x14ac:dyDescent="0.35">
      <c r="A1971" t="s">
        <v>45</v>
      </c>
      <c r="B1971" t="s">
        <v>69</v>
      </c>
      <c r="C1971">
        <v>2026</v>
      </c>
      <c r="D1971" t="s">
        <v>15</v>
      </c>
      <c r="E1971">
        <v>71385.39</v>
      </c>
      <c r="F1971">
        <v>109.6</v>
      </c>
      <c r="G1971">
        <v>380</v>
      </c>
      <c r="H1971">
        <v>193</v>
      </c>
      <c r="I1971" t="s">
        <v>33</v>
      </c>
      <c r="J1971">
        <v>4</v>
      </c>
      <c r="K1971" t="s">
        <v>20</v>
      </c>
      <c r="L1971">
        <v>234079</v>
      </c>
      <c r="M1971">
        <v>3.75</v>
      </c>
      <c r="N1971" s="6">
        <f t="shared" si="31"/>
        <v>16709820705.809999</v>
      </c>
    </row>
    <row r="1972" spans="1:14" x14ac:dyDescent="0.35">
      <c r="A1972" t="s">
        <v>29</v>
      </c>
      <c r="B1972" t="s">
        <v>39</v>
      </c>
      <c r="C1972">
        <v>2026</v>
      </c>
      <c r="D1972" t="s">
        <v>15</v>
      </c>
      <c r="E1972">
        <v>173601</v>
      </c>
      <c r="F1972">
        <v>82</v>
      </c>
      <c r="G1972">
        <v>301</v>
      </c>
      <c r="H1972">
        <v>184</v>
      </c>
      <c r="I1972" t="s">
        <v>16</v>
      </c>
      <c r="J1972">
        <v>4</v>
      </c>
      <c r="K1972" t="s">
        <v>17</v>
      </c>
      <c r="L1972">
        <v>192234</v>
      </c>
      <c r="M1972">
        <v>3.86</v>
      </c>
      <c r="N1972" s="6">
        <f t="shared" si="31"/>
        <v>33372014634</v>
      </c>
    </row>
    <row r="1973" spans="1:14" x14ac:dyDescent="0.35">
      <c r="A1973" t="s">
        <v>29</v>
      </c>
      <c r="B1973" t="s">
        <v>39</v>
      </c>
      <c r="C1973">
        <v>2026</v>
      </c>
      <c r="D1973" t="s">
        <v>15</v>
      </c>
      <c r="E1973">
        <v>120237.63</v>
      </c>
      <c r="F1973">
        <v>106.4</v>
      </c>
      <c r="G1973">
        <v>374</v>
      </c>
      <c r="H1973">
        <v>197</v>
      </c>
      <c r="I1973" t="s">
        <v>25</v>
      </c>
      <c r="J1973">
        <v>3</v>
      </c>
      <c r="K1973" t="s">
        <v>20</v>
      </c>
      <c r="L1973">
        <v>139118</v>
      </c>
      <c r="M1973">
        <v>4.3600000000000003</v>
      </c>
      <c r="N1973" s="6">
        <f t="shared" si="31"/>
        <v>16727218610.34</v>
      </c>
    </row>
    <row r="1974" spans="1:14" x14ac:dyDescent="0.35">
      <c r="A1974" t="s">
        <v>49</v>
      </c>
      <c r="B1974" t="s">
        <v>90</v>
      </c>
      <c r="C1974">
        <v>2026</v>
      </c>
      <c r="D1974" t="s">
        <v>20</v>
      </c>
      <c r="E1974">
        <v>95007.35</v>
      </c>
      <c r="F1974">
        <v>71.5</v>
      </c>
      <c r="G1974">
        <v>249</v>
      </c>
      <c r="H1974">
        <v>152</v>
      </c>
      <c r="I1974" t="s">
        <v>32</v>
      </c>
      <c r="J1974">
        <v>3</v>
      </c>
      <c r="K1974" t="s">
        <v>20</v>
      </c>
      <c r="L1974">
        <v>111030</v>
      </c>
      <c r="M1974">
        <v>3.22</v>
      </c>
      <c r="N1974" s="6">
        <f t="shared" si="31"/>
        <v>10548666070.5</v>
      </c>
    </row>
    <row r="1975" spans="1:14" x14ac:dyDescent="0.35">
      <c r="A1975" t="s">
        <v>29</v>
      </c>
      <c r="B1975" t="s">
        <v>31</v>
      </c>
      <c r="C1975">
        <v>2026</v>
      </c>
      <c r="D1975" t="s">
        <v>43</v>
      </c>
      <c r="E1975">
        <v>53435.31</v>
      </c>
      <c r="F1975">
        <v>80.3</v>
      </c>
      <c r="G1975">
        <v>259</v>
      </c>
      <c r="H1975">
        <v>162</v>
      </c>
      <c r="I1975" t="s">
        <v>32</v>
      </c>
      <c r="J1975">
        <v>4</v>
      </c>
      <c r="K1975" t="s">
        <v>20</v>
      </c>
      <c r="L1975">
        <v>467122</v>
      </c>
      <c r="M1975">
        <v>3.87</v>
      </c>
      <c r="N1975" s="6">
        <f t="shared" si="31"/>
        <v>24960808877.82</v>
      </c>
    </row>
    <row r="1976" spans="1:14" x14ac:dyDescent="0.35">
      <c r="A1976" t="s">
        <v>23</v>
      </c>
      <c r="B1976" t="s">
        <v>82</v>
      </c>
      <c r="C1976">
        <v>2026</v>
      </c>
      <c r="D1976" t="s">
        <v>28</v>
      </c>
      <c r="E1976">
        <v>54836.04</v>
      </c>
      <c r="F1976">
        <v>109.7</v>
      </c>
      <c r="G1976">
        <v>385</v>
      </c>
      <c r="H1976">
        <v>183</v>
      </c>
      <c r="I1976" t="s">
        <v>32</v>
      </c>
      <c r="J1976">
        <v>5</v>
      </c>
      <c r="K1976" t="s">
        <v>20</v>
      </c>
      <c r="L1976">
        <v>17331</v>
      </c>
      <c r="M1976">
        <v>3.77</v>
      </c>
      <c r="N1976" s="6">
        <f t="shared" si="31"/>
        <v>950363409.24000001</v>
      </c>
    </row>
    <row r="1977" spans="1:14" x14ac:dyDescent="0.35">
      <c r="A1977" t="s">
        <v>45</v>
      </c>
      <c r="B1977" t="s">
        <v>77</v>
      </c>
      <c r="C1977">
        <v>2026</v>
      </c>
      <c r="D1977" t="s">
        <v>15</v>
      </c>
      <c r="E1977">
        <v>31398.12</v>
      </c>
      <c r="F1977">
        <v>100.6</v>
      </c>
      <c r="G1977">
        <v>352</v>
      </c>
      <c r="H1977">
        <v>200</v>
      </c>
      <c r="I1977" t="s">
        <v>32</v>
      </c>
      <c r="J1977">
        <v>5</v>
      </c>
      <c r="K1977" t="s">
        <v>20</v>
      </c>
      <c r="L1977">
        <v>240918</v>
      </c>
      <c r="M1977">
        <v>3.58</v>
      </c>
      <c r="N1977" s="6">
        <f t="shared" si="31"/>
        <v>7564372274.1599998</v>
      </c>
    </row>
    <row r="1978" spans="1:14" x14ac:dyDescent="0.35">
      <c r="A1978" t="s">
        <v>45</v>
      </c>
      <c r="B1978" t="s">
        <v>54</v>
      </c>
      <c r="C1978">
        <v>2026</v>
      </c>
      <c r="D1978" t="s">
        <v>20</v>
      </c>
      <c r="E1978">
        <v>58741.09</v>
      </c>
      <c r="F1978">
        <v>43.2</v>
      </c>
      <c r="G1978">
        <v>166</v>
      </c>
      <c r="H1978">
        <v>171</v>
      </c>
      <c r="I1978" t="s">
        <v>40</v>
      </c>
      <c r="J1978">
        <v>5</v>
      </c>
      <c r="K1978" t="s">
        <v>17</v>
      </c>
      <c r="L1978">
        <v>193352</v>
      </c>
      <c r="M1978">
        <v>3.21</v>
      </c>
      <c r="N1978" s="6">
        <f t="shared" si="31"/>
        <v>11357707233.679998</v>
      </c>
    </row>
    <row r="1979" spans="1:14" x14ac:dyDescent="0.35">
      <c r="A1979" t="s">
        <v>26</v>
      </c>
      <c r="B1979" t="s">
        <v>36</v>
      </c>
      <c r="C1979">
        <v>2026</v>
      </c>
      <c r="D1979" t="s">
        <v>15</v>
      </c>
      <c r="E1979">
        <v>89456.85</v>
      </c>
      <c r="F1979">
        <v>106.6</v>
      </c>
      <c r="G1979">
        <v>392</v>
      </c>
      <c r="H1979">
        <v>199</v>
      </c>
      <c r="I1979" t="s">
        <v>25</v>
      </c>
      <c r="J1979">
        <v>4</v>
      </c>
      <c r="K1979" t="s">
        <v>22</v>
      </c>
      <c r="L1979">
        <v>55244</v>
      </c>
      <c r="M1979">
        <v>3.99</v>
      </c>
      <c r="N1979" s="6">
        <f t="shared" si="31"/>
        <v>4941954221.4000006</v>
      </c>
    </row>
    <row r="1980" spans="1:14" x14ac:dyDescent="0.35">
      <c r="A1980" t="s">
        <v>29</v>
      </c>
      <c r="B1980" t="s">
        <v>30</v>
      </c>
      <c r="C1980">
        <v>2026</v>
      </c>
      <c r="D1980" t="s">
        <v>20</v>
      </c>
      <c r="E1980">
        <v>123396.13</v>
      </c>
      <c r="F1980">
        <v>65.5</v>
      </c>
      <c r="G1980">
        <v>201</v>
      </c>
      <c r="H1980">
        <v>135</v>
      </c>
      <c r="I1980" t="s">
        <v>33</v>
      </c>
      <c r="J1980">
        <v>4</v>
      </c>
      <c r="K1980" t="s">
        <v>17</v>
      </c>
      <c r="L1980">
        <v>179193</v>
      </c>
      <c r="M1980">
        <v>3.78</v>
      </c>
      <c r="N1980" s="6">
        <f t="shared" si="31"/>
        <v>22111722723.09</v>
      </c>
    </row>
    <row r="1981" spans="1:14" x14ac:dyDescent="0.35">
      <c r="A1981" t="s">
        <v>49</v>
      </c>
      <c r="B1981" t="s">
        <v>50</v>
      </c>
      <c r="C1981">
        <v>2026</v>
      </c>
      <c r="D1981" t="s">
        <v>43</v>
      </c>
      <c r="E1981">
        <v>40896.410000000003</v>
      </c>
      <c r="F1981">
        <v>84.8</v>
      </c>
      <c r="G1981">
        <v>286</v>
      </c>
      <c r="H1981">
        <v>148</v>
      </c>
      <c r="I1981" t="s">
        <v>16</v>
      </c>
      <c r="J1981">
        <v>4</v>
      </c>
      <c r="K1981" t="s">
        <v>20</v>
      </c>
      <c r="L1981">
        <v>60452</v>
      </c>
      <c r="M1981">
        <v>3.61</v>
      </c>
      <c r="N1981" s="6">
        <f t="shared" si="31"/>
        <v>2472269777.3200002</v>
      </c>
    </row>
    <row r="1982" spans="1:14" x14ac:dyDescent="0.35">
      <c r="A1982" t="s">
        <v>13</v>
      </c>
      <c r="B1982" t="s">
        <v>55</v>
      </c>
      <c r="C1982">
        <v>2026</v>
      </c>
      <c r="D1982" t="s">
        <v>15</v>
      </c>
      <c r="E1982">
        <v>72231.360000000001</v>
      </c>
      <c r="F1982">
        <v>115</v>
      </c>
      <c r="G1982">
        <v>387</v>
      </c>
      <c r="H1982">
        <v>200</v>
      </c>
      <c r="I1982" t="s">
        <v>40</v>
      </c>
      <c r="J1982">
        <v>4</v>
      </c>
      <c r="K1982" t="s">
        <v>17</v>
      </c>
      <c r="L1982">
        <v>241869</v>
      </c>
      <c r="M1982">
        <v>4.05</v>
      </c>
      <c r="N1982" s="6">
        <f t="shared" si="31"/>
        <v>17470526811.84</v>
      </c>
    </row>
    <row r="1983" spans="1:14" x14ac:dyDescent="0.35">
      <c r="A1983" t="s">
        <v>29</v>
      </c>
      <c r="B1983" t="s">
        <v>39</v>
      </c>
      <c r="C1983">
        <v>2026</v>
      </c>
      <c r="D1983" t="s">
        <v>38</v>
      </c>
      <c r="E1983">
        <v>119620.48</v>
      </c>
      <c r="F1983">
        <v>41.3</v>
      </c>
      <c r="G1983">
        <v>150</v>
      </c>
      <c r="H1983">
        <v>162</v>
      </c>
      <c r="I1983" t="s">
        <v>25</v>
      </c>
      <c r="J1983">
        <v>4</v>
      </c>
      <c r="K1983" t="s">
        <v>22</v>
      </c>
      <c r="L1983">
        <v>186324</v>
      </c>
      <c r="M1983">
        <v>3.52</v>
      </c>
      <c r="N1983" s="6">
        <f t="shared" si="31"/>
        <v>22288166315.52</v>
      </c>
    </row>
    <row r="1984" spans="1:14" x14ac:dyDescent="0.35">
      <c r="A1984" t="s">
        <v>49</v>
      </c>
      <c r="B1984" t="s">
        <v>90</v>
      </c>
      <c r="C1984">
        <v>2026</v>
      </c>
      <c r="D1984" t="s">
        <v>20</v>
      </c>
      <c r="E1984">
        <v>83199.83</v>
      </c>
      <c r="F1984">
        <v>49.6</v>
      </c>
      <c r="G1984">
        <v>161</v>
      </c>
      <c r="H1984">
        <v>135</v>
      </c>
      <c r="I1984" t="s">
        <v>40</v>
      </c>
      <c r="J1984">
        <v>3</v>
      </c>
      <c r="K1984" t="s">
        <v>22</v>
      </c>
      <c r="L1984">
        <v>92496</v>
      </c>
      <c r="M1984">
        <v>3.22</v>
      </c>
      <c r="N1984" s="6">
        <f t="shared" si="31"/>
        <v>7695651475.6800003</v>
      </c>
    </row>
    <row r="1985" spans="1:14" x14ac:dyDescent="0.35">
      <c r="A1985" t="s">
        <v>23</v>
      </c>
      <c r="B1985" t="s">
        <v>83</v>
      </c>
      <c r="C1985">
        <v>2026</v>
      </c>
      <c r="D1985" t="s">
        <v>15</v>
      </c>
      <c r="E1985">
        <v>71801.02</v>
      </c>
      <c r="F1985">
        <v>84.4</v>
      </c>
      <c r="G1985">
        <v>304</v>
      </c>
      <c r="H1985">
        <v>200</v>
      </c>
      <c r="I1985" t="s">
        <v>21</v>
      </c>
      <c r="J1985">
        <v>4</v>
      </c>
      <c r="K1985" t="s">
        <v>22</v>
      </c>
      <c r="L1985">
        <v>4745</v>
      </c>
      <c r="M1985">
        <v>3.45</v>
      </c>
      <c r="N1985" s="6">
        <f t="shared" si="31"/>
        <v>340695839.90000004</v>
      </c>
    </row>
    <row r="1986" spans="1:14" x14ac:dyDescent="0.35">
      <c r="A1986" t="s">
        <v>29</v>
      </c>
      <c r="B1986" t="s">
        <v>53</v>
      </c>
      <c r="C1986">
        <v>2026</v>
      </c>
      <c r="D1986" t="s">
        <v>43</v>
      </c>
      <c r="E1986">
        <v>39888.42</v>
      </c>
      <c r="F1986">
        <v>83.1</v>
      </c>
      <c r="G1986">
        <v>277</v>
      </c>
      <c r="H1986">
        <v>136</v>
      </c>
      <c r="I1986" t="s">
        <v>16</v>
      </c>
      <c r="J1986">
        <v>4</v>
      </c>
      <c r="K1986" t="s">
        <v>22</v>
      </c>
      <c r="L1986">
        <v>224642</v>
      </c>
      <c r="M1986">
        <v>3.64</v>
      </c>
      <c r="N1986" s="6">
        <f t="shared" si="31"/>
        <v>8960614445.6399994</v>
      </c>
    </row>
    <row r="1987" spans="1:14" x14ac:dyDescent="0.35">
      <c r="A1987" t="s">
        <v>29</v>
      </c>
      <c r="B1987" t="s">
        <v>59</v>
      </c>
      <c r="C1987">
        <v>2026</v>
      </c>
      <c r="D1987" t="s">
        <v>38</v>
      </c>
      <c r="E1987">
        <v>31180.54</v>
      </c>
      <c r="F1987">
        <v>72.3</v>
      </c>
      <c r="G1987">
        <v>241</v>
      </c>
      <c r="H1987">
        <v>142</v>
      </c>
      <c r="I1987" t="s">
        <v>25</v>
      </c>
      <c r="J1987">
        <v>4</v>
      </c>
      <c r="K1987" t="s">
        <v>17</v>
      </c>
      <c r="L1987">
        <v>143060</v>
      </c>
      <c r="M1987">
        <v>3.87</v>
      </c>
      <c r="N1987" s="6">
        <f t="shared" si="31"/>
        <v>4460688052.4000006</v>
      </c>
    </row>
    <row r="1988" spans="1:14" x14ac:dyDescent="0.35">
      <c r="A1988" t="s">
        <v>64</v>
      </c>
      <c r="B1988" t="s">
        <v>95</v>
      </c>
      <c r="C1988">
        <v>2026</v>
      </c>
      <c r="D1988" t="s">
        <v>28</v>
      </c>
      <c r="E1988">
        <v>125686.6</v>
      </c>
      <c r="F1988">
        <v>91.1</v>
      </c>
      <c r="G1988">
        <v>335</v>
      </c>
      <c r="H1988">
        <v>160</v>
      </c>
      <c r="I1988" t="s">
        <v>16</v>
      </c>
      <c r="J1988">
        <v>5</v>
      </c>
      <c r="K1988" t="s">
        <v>22</v>
      </c>
      <c r="L1988">
        <v>50691</v>
      </c>
      <c r="M1988">
        <v>3.66</v>
      </c>
      <c r="N1988" s="6">
        <f t="shared" si="31"/>
        <v>6371179440.6000004</v>
      </c>
    </row>
    <row r="1989" spans="1:14" x14ac:dyDescent="0.35">
      <c r="A1989" t="s">
        <v>57</v>
      </c>
      <c r="B1989" t="s">
        <v>58</v>
      </c>
      <c r="C1989">
        <v>2026</v>
      </c>
      <c r="D1989" t="s">
        <v>28</v>
      </c>
      <c r="E1989">
        <v>61924.92</v>
      </c>
      <c r="F1989">
        <v>108.2</v>
      </c>
      <c r="G1989">
        <v>354</v>
      </c>
      <c r="H1989">
        <v>168</v>
      </c>
      <c r="I1989" t="s">
        <v>25</v>
      </c>
      <c r="J1989">
        <v>4</v>
      </c>
      <c r="K1989" t="s">
        <v>22</v>
      </c>
      <c r="L1989">
        <v>37462</v>
      </c>
      <c r="M1989">
        <v>3.75</v>
      </c>
      <c r="N1989" s="6">
        <f t="shared" si="31"/>
        <v>2319831353.04</v>
      </c>
    </row>
    <row r="1990" spans="1:14" x14ac:dyDescent="0.35">
      <c r="A1990" t="s">
        <v>26</v>
      </c>
      <c r="B1990" t="s">
        <v>27</v>
      </c>
      <c r="C1990">
        <v>2026</v>
      </c>
      <c r="D1990" t="s">
        <v>43</v>
      </c>
      <c r="E1990">
        <v>75695.59</v>
      </c>
      <c r="F1990">
        <v>58.1</v>
      </c>
      <c r="G1990">
        <v>208</v>
      </c>
      <c r="H1990">
        <v>151</v>
      </c>
      <c r="I1990" t="s">
        <v>21</v>
      </c>
      <c r="J1990">
        <v>4</v>
      </c>
      <c r="K1990" t="s">
        <v>20</v>
      </c>
      <c r="L1990">
        <v>99994</v>
      </c>
      <c r="M1990">
        <v>3.36</v>
      </c>
      <c r="N1990" s="6">
        <f t="shared" si="31"/>
        <v>7569104826.46</v>
      </c>
    </row>
    <row r="1991" spans="1:14" x14ac:dyDescent="0.35">
      <c r="A1991" t="s">
        <v>23</v>
      </c>
      <c r="B1991" t="s">
        <v>82</v>
      </c>
      <c r="C1991">
        <v>2026</v>
      </c>
      <c r="D1991" t="s">
        <v>20</v>
      </c>
      <c r="E1991">
        <v>71451.17</v>
      </c>
      <c r="F1991">
        <v>77</v>
      </c>
      <c r="G1991">
        <v>267</v>
      </c>
      <c r="H1991">
        <v>130</v>
      </c>
      <c r="I1991" t="s">
        <v>25</v>
      </c>
      <c r="J1991">
        <v>5</v>
      </c>
      <c r="K1991" t="s">
        <v>20</v>
      </c>
      <c r="L1991">
        <v>1367</v>
      </c>
      <c r="M1991">
        <v>3.49</v>
      </c>
      <c r="N1991" s="6">
        <f t="shared" si="31"/>
        <v>97673749.390000001</v>
      </c>
    </row>
    <row r="1992" spans="1:14" x14ac:dyDescent="0.35">
      <c r="A1992" t="s">
        <v>13</v>
      </c>
      <c r="B1992" t="s">
        <v>66</v>
      </c>
      <c r="C1992">
        <v>2026</v>
      </c>
      <c r="D1992" t="s">
        <v>15</v>
      </c>
      <c r="E1992">
        <v>77434.92</v>
      </c>
      <c r="F1992">
        <v>112.5</v>
      </c>
      <c r="G1992">
        <v>381</v>
      </c>
      <c r="H1992">
        <v>195</v>
      </c>
      <c r="I1992" t="s">
        <v>40</v>
      </c>
      <c r="J1992">
        <v>5</v>
      </c>
      <c r="K1992" t="s">
        <v>22</v>
      </c>
      <c r="L1992">
        <v>250773</v>
      </c>
      <c r="M1992">
        <v>3.82</v>
      </c>
      <c r="N1992" s="6">
        <f t="shared" si="31"/>
        <v>19418587193.16</v>
      </c>
    </row>
    <row r="1993" spans="1:14" x14ac:dyDescent="0.35">
      <c r="A1993" t="s">
        <v>29</v>
      </c>
      <c r="B1993" t="s">
        <v>31</v>
      </c>
      <c r="C1993">
        <v>2026</v>
      </c>
      <c r="D1993" t="s">
        <v>28</v>
      </c>
      <c r="E1993">
        <v>43501.07</v>
      </c>
      <c r="F1993">
        <v>92.1</v>
      </c>
      <c r="G1993">
        <v>328</v>
      </c>
      <c r="H1993">
        <v>177</v>
      </c>
      <c r="I1993" t="s">
        <v>32</v>
      </c>
      <c r="J1993">
        <v>4</v>
      </c>
      <c r="K1993" t="s">
        <v>20</v>
      </c>
      <c r="L1993">
        <v>417203</v>
      </c>
      <c r="M1993">
        <v>3.88</v>
      </c>
      <c r="N1993" s="6">
        <f t="shared" si="31"/>
        <v>18148776907.209999</v>
      </c>
    </row>
    <row r="1994" spans="1:14" x14ac:dyDescent="0.35">
      <c r="A1994" t="s">
        <v>57</v>
      </c>
      <c r="B1994" t="s">
        <v>79</v>
      </c>
      <c r="C1994">
        <v>2026</v>
      </c>
      <c r="D1994" t="s">
        <v>20</v>
      </c>
      <c r="E1994">
        <v>99667.98</v>
      </c>
      <c r="F1994">
        <v>62.4</v>
      </c>
      <c r="G1994">
        <v>220</v>
      </c>
      <c r="H1994">
        <v>163</v>
      </c>
      <c r="I1994" t="s">
        <v>40</v>
      </c>
      <c r="J1994">
        <v>5</v>
      </c>
      <c r="K1994" t="s">
        <v>22</v>
      </c>
      <c r="L1994">
        <v>21835</v>
      </c>
      <c r="M1994">
        <v>3.4</v>
      </c>
      <c r="N1994" s="6">
        <f t="shared" si="31"/>
        <v>2176250343.2999997</v>
      </c>
    </row>
    <row r="1995" spans="1:14" x14ac:dyDescent="0.35">
      <c r="A1995" t="s">
        <v>26</v>
      </c>
      <c r="B1995" t="s">
        <v>96</v>
      </c>
      <c r="C1995">
        <v>2026</v>
      </c>
      <c r="D1995" t="s">
        <v>15</v>
      </c>
      <c r="E1995">
        <v>46823.3</v>
      </c>
      <c r="F1995">
        <v>98.4</v>
      </c>
      <c r="G1995">
        <v>366</v>
      </c>
      <c r="H1995">
        <v>198</v>
      </c>
      <c r="I1995" t="s">
        <v>40</v>
      </c>
      <c r="J1995">
        <v>3</v>
      </c>
      <c r="K1995" t="s">
        <v>17</v>
      </c>
      <c r="L1995">
        <v>141318</v>
      </c>
      <c r="M1995">
        <v>3.75</v>
      </c>
      <c r="N1995" s="6">
        <f t="shared" si="31"/>
        <v>6616975109.4000006</v>
      </c>
    </row>
    <row r="1996" spans="1:14" x14ac:dyDescent="0.35">
      <c r="A1996" t="s">
        <v>29</v>
      </c>
      <c r="B1996" t="s">
        <v>53</v>
      </c>
      <c r="C1996">
        <v>2026</v>
      </c>
      <c r="D1996" t="s">
        <v>15</v>
      </c>
      <c r="E1996">
        <v>70200.56</v>
      </c>
      <c r="F1996">
        <v>85</v>
      </c>
      <c r="G1996">
        <v>286</v>
      </c>
      <c r="H1996">
        <v>189</v>
      </c>
      <c r="I1996" t="s">
        <v>16</v>
      </c>
      <c r="J1996">
        <v>5</v>
      </c>
      <c r="K1996" t="s">
        <v>47</v>
      </c>
      <c r="L1996">
        <v>166507</v>
      </c>
      <c r="M1996">
        <v>3.89</v>
      </c>
      <c r="N1996" s="6">
        <f t="shared" si="31"/>
        <v>11688884643.92</v>
      </c>
    </row>
    <row r="1997" spans="1:14" x14ac:dyDescent="0.35">
      <c r="A1997" t="s">
        <v>34</v>
      </c>
      <c r="B1997" t="s">
        <v>106</v>
      </c>
      <c r="C1997">
        <v>2026</v>
      </c>
      <c r="D1997" t="s">
        <v>20</v>
      </c>
      <c r="E1997">
        <v>93286.78</v>
      </c>
      <c r="F1997">
        <v>82.1</v>
      </c>
      <c r="G1997">
        <v>282</v>
      </c>
      <c r="H1997">
        <v>136</v>
      </c>
      <c r="I1997" t="s">
        <v>32</v>
      </c>
      <c r="J1997">
        <v>3</v>
      </c>
      <c r="K1997" t="s">
        <v>17</v>
      </c>
      <c r="L1997">
        <v>49781</v>
      </c>
      <c r="M1997">
        <v>3.74</v>
      </c>
      <c r="N1997" s="6">
        <f t="shared" si="31"/>
        <v>4643909195.1800003</v>
      </c>
    </row>
    <row r="1998" spans="1:14" x14ac:dyDescent="0.35">
      <c r="A1998" t="s">
        <v>49</v>
      </c>
      <c r="B1998" t="s">
        <v>71</v>
      </c>
      <c r="C1998">
        <v>2026</v>
      </c>
      <c r="D1998" t="s">
        <v>43</v>
      </c>
      <c r="E1998">
        <v>37257.29</v>
      </c>
      <c r="F1998">
        <v>52.5</v>
      </c>
      <c r="G1998">
        <v>164</v>
      </c>
      <c r="H1998">
        <v>160</v>
      </c>
      <c r="I1998" t="s">
        <v>21</v>
      </c>
      <c r="J1998">
        <v>3</v>
      </c>
      <c r="K1998" t="s">
        <v>20</v>
      </c>
      <c r="L1998">
        <v>64933</v>
      </c>
      <c r="M1998">
        <v>3.24</v>
      </c>
      <c r="N1998" s="6">
        <f t="shared" si="31"/>
        <v>2419227611.5700002</v>
      </c>
    </row>
    <row r="1999" spans="1:14" x14ac:dyDescent="0.35">
      <c r="A1999" t="s">
        <v>13</v>
      </c>
      <c r="B1999" t="s">
        <v>56</v>
      </c>
      <c r="C1999">
        <v>2026</v>
      </c>
      <c r="D1999" t="s">
        <v>38</v>
      </c>
      <c r="E1999">
        <v>69452.44</v>
      </c>
      <c r="F1999">
        <v>63.6</v>
      </c>
      <c r="G1999">
        <v>224</v>
      </c>
      <c r="H1999">
        <v>148</v>
      </c>
      <c r="I1999" t="s">
        <v>25</v>
      </c>
      <c r="J1999">
        <v>4</v>
      </c>
      <c r="K1999" t="s">
        <v>22</v>
      </c>
      <c r="L1999">
        <v>260693</v>
      </c>
      <c r="M1999">
        <v>3.66</v>
      </c>
      <c r="N1999" s="6">
        <f t="shared" si="31"/>
        <v>18105764940.920002</v>
      </c>
    </row>
    <row r="2000" spans="1:14" x14ac:dyDescent="0.35">
      <c r="A2000" t="s">
        <v>29</v>
      </c>
      <c r="B2000" t="s">
        <v>39</v>
      </c>
      <c r="C2000">
        <v>2026</v>
      </c>
      <c r="D2000" t="s">
        <v>38</v>
      </c>
      <c r="E2000">
        <v>119417.95</v>
      </c>
      <c r="F2000">
        <v>65.3</v>
      </c>
      <c r="G2000">
        <v>248</v>
      </c>
      <c r="H2000">
        <v>145</v>
      </c>
      <c r="I2000" t="s">
        <v>40</v>
      </c>
      <c r="J2000">
        <v>5</v>
      </c>
      <c r="K2000" t="s">
        <v>17</v>
      </c>
      <c r="L2000">
        <v>170811</v>
      </c>
      <c r="M2000">
        <v>3.7</v>
      </c>
      <c r="N2000" s="6">
        <f t="shared" si="31"/>
        <v>20397899457.450001</v>
      </c>
    </row>
    <row r="2001" spans="1:14" x14ac:dyDescent="0.35">
      <c r="A2001" t="s">
        <v>29</v>
      </c>
      <c r="B2001" t="s">
        <v>59</v>
      </c>
      <c r="C2001">
        <v>2026</v>
      </c>
      <c r="D2001" t="s">
        <v>20</v>
      </c>
      <c r="E2001">
        <v>139665.73000000001</v>
      </c>
      <c r="F2001">
        <v>70.7</v>
      </c>
      <c r="G2001">
        <v>248</v>
      </c>
      <c r="H2001">
        <v>175</v>
      </c>
      <c r="I2001" t="s">
        <v>33</v>
      </c>
      <c r="J2001">
        <v>3</v>
      </c>
      <c r="K2001" t="s">
        <v>22</v>
      </c>
      <c r="L2001">
        <v>165373</v>
      </c>
      <c r="M2001">
        <v>3.66</v>
      </c>
      <c r="N2001" s="6">
        <f t="shared" si="31"/>
        <v>23096940767.290001</v>
      </c>
    </row>
    <row r="2002" spans="1:14" x14ac:dyDescent="0.35">
      <c r="F2002">
        <f>MAX(F2:F2001)</f>
        <v>119.9</v>
      </c>
      <c r="H2002">
        <f>MAX(H2:H2001)</f>
        <v>200</v>
      </c>
    </row>
    <row r="2003" spans="1:14" x14ac:dyDescent="0.35">
      <c r="F2003">
        <f>MIN(F2:F2001)</f>
        <v>40</v>
      </c>
      <c r="H2003">
        <f>MIN(H2:H2001)</f>
        <v>118</v>
      </c>
    </row>
    <row r="2004" spans="1:14" x14ac:dyDescent="0.35">
      <c r="C2004">
        <f>COUNTA(B2:B2001)</f>
        <v>2000</v>
      </c>
    </row>
    <row r="2005" spans="1:14" ht="15" thickBot="1" x14ac:dyDescent="0.4"/>
    <row r="2006" spans="1:14" ht="15" thickTop="1" x14ac:dyDescent="0.35">
      <c r="N2006" s="9">
        <f>SUBTOTAL(109,Table1[[total sales ]])</f>
        <v>20224928609589.871</v>
      </c>
    </row>
  </sheetData>
  <phoneticPr fontId="18" type="noConversion"/>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EV_INDUSTRY_DATA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2026-05-07T06:23:44Z</dcterms:created>
  <dcterms:modified xsi:type="dcterms:W3CDTF">2026-05-10T05:19:25Z</dcterms:modified>
</cp:coreProperties>
</file>